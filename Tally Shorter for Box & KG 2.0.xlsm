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C05954E8-E12E-442C-A304-912C58844EFC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OVERALL ACH" sheetId="11" r:id="rId1"/>
    <sheet name="TALLY BOX DUMP" sheetId="2" r:id="rId2"/>
    <sheet name="TALLY KG DUMP" sheetId="3" r:id="rId3"/>
    <sheet name="CODE" sheetId="1" r:id="rId4"/>
    <sheet name="ACH CALC" sheetId="9" r:id="rId5"/>
  </sheets>
  <definedNames>
    <definedName name="_xlnm._FilterDatabase" localSheetId="4" hidden="1">'ACH CALC'!$CP$2:$CW$502</definedName>
    <definedName name="_xlnm._FilterDatabase" localSheetId="3" hidden="1">CODE!$A$1:$C$523</definedName>
    <definedName name="_xlnm._FilterDatabase" localSheetId="0" hidden="1">'OVERALL ACH'!$A$1:$EQ$80</definedName>
    <definedName name="_xlnm._FilterDatabase" localSheetId="1" hidden="1">'TALLY BOX DUMP'!$A$2:$HA$41</definedName>
    <definedName name="_xlnm._FilterDatabase" localSheetId="2" hidden="1">'TALLY KG DUMP'!$A$2:$HA$41</definedName>
    <definedName name="DATA1">OFFSET('ACH CALC'!$A$1,3,0,COUNTA('ACH CALC'!$B1048576:$B199)-2,COUNTA('ACH CALC'!$A1:$BZ1)+1)</definedName>
    <definedName name="HEADING1">OFFSET('ACH CALC'!$A$1,1,0,1,COUNTA('ACH CALC'!$A2:$BZ2)+1)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114" i="9" l="1"/>
  <c r="AQ115" i="9"/>
  <c r="AQ116" i="9"/>
  <c r="AQ117" i="9"/>
  <c r="AQ118" i="9"/>
  <c r="AQ119" i="9"/>
  <c r="AQ120" i="9"/>
  <c r="AQ121" i="9"/>
  <c r="AQ122" i="9"/>
  <c r="AQ123" i="9"/>
  <c r="AQ124" i="9"/>
  <c r="AQ125" i="9"/>
  <c r="AQ126" i="9"/>
  <c r="AQ127" i="9"/>
  <c r="AQ128" i="9"/>
  <c r="AQ129" i="9"/>
  <c r="AQ130" i="9"/>
  <c r="AQ131" i="9"/>
  <c r="AQ132" i="9"/>
  <c r="AQ133" i="9"/>
  <c r="AQ134" i="9"/>
  <c r="AQ135" i="9"/>
  <c r="AQ136" i="9"/>
  <c r="AQ137" i="9"/>
  <c r="AQ138" i="9"/>
  <c r="AQ139" i="9"/>
  <c r="AQ140" i="9"/>
  <c r="AQ141" i="9"/>
  <c r="AQ142" i="9"/>
  <c r="AQ143" i="9"/>
  <c r="AQ144" i="9"/>
  <c r="AQ145" i="9"/>
  <c r="AQ146" i="9"/>
  <c r="AQ147" i="9"/>
  <c r="AQ148" i="9"/>
  <c r="AQ149" i="9"/>
  <c r="AQ150" i="9"/>
  <c r="AQ151" i="9"/>
  <c r="AQ152" i="9"/>
  <c r="AQ153" i="9"/>
  <c r="AQ154" i="9"/>
  <c r="AQ155" i="9"/>
  <c r="AQ156" i="9"/>
  <c r="AQ157" i="9"/>
  <c r="AQ158" i="9"/>
  <c r="AQ159" i="9"/>
  <c r="AQ160" i="9"/>
  <c r="AQ161" i="9"/>
  <c r="AQ162" i="9"/>
  <c r="AQ163" i="9"/>
  <c r="AQ164" i="9"/>
  <c r="AQ165" i="9"/>
  <c r="AQ166" i="9"/>
  <c r="AQ167" i="9"/>
  <c r="AQ168" i="9"/>
  <c r="AQ169" i="9"/>
  <c r="AQ170" i="9"/>
  <c r="AQ171" i="9"/>
  <c r="AQ172" i="9"/>
  <c r="AQ173" i="9"/>
  <c r="AQ174" i="9"/>
  <c r="AQ175" i="9"/>
  <c r="AQ176" i="9"/>
  <c r="AQ177" i="9"/>
  <c r="AQ178" i="9"/>
  <c r="AQ179" i="9"/>
  <c r="AQ180" i="9"/>
  <c r="AQ181" i="9"/>
  <c r="AQ182" i="9"/>
  <c r="AQ183" i="9"/>
  <c r="AQ184" i="9"/>
  <c r="AQ185" i="9"/>
  <c r="AQ186" i="9"/>
  <c r="AQ187" i="9"/>
  <c r="AQ188" i="9"/>
  <c r="AQ189" i="9"/>
  <c r="AQ190" i="9"/>
  <c r="AQ191" i="9"/>
  <c r="AQ192" i="9"/>
  <c r="AQ193" i="9"/>
  <c r="AQ194" i="9"/>
  <c r="AQ195" i="9"/>
  <c r="AQ196" i="9"/>
  <c r="AQ197" i="9"/>
  <c r="AQ198" i="9"/>
  <c r="AQ199" i="9"/>
  <c r="AQ200" i="9"/>
  <c r="AL114" i="9"/>
  <c r="AL115" i="9"/>
  <c r="AL116" i="9"/>
  <c r="AL117" i="9"/>
  <c r="AL118" i="9"/>
  <c r="AL119" i="9"/>
  <c r="AL120" i="9"/>
  <c r="AL121" i="9"/>
  <c r="AL122" i="9"/>
  <c r="AL123" i="9"/>
  <c r="AL124" i="9"/>
  <c r="AL125" i="9"/>
  <c r="AL126" i="9"/>
  <c r="AL127" i="9"/>
  <c r="AL128" i="9"/>
  <c r="AL129" i="9"/>
  <c r="AL130" i="9"/>
  <c r="AL131" i="9"/>
  <c r="AL132" i="9"/>
  <c r="AL133" i="9"/>
  <c r="AL134" i="9"/>
  <c r="AL135" i="9"/>
  <c r="AL136" i="9"/>
  <c r="AL137" i="9"/>
  <c r="AL138" i="9"/>
  <c r="AL139" i="9"/>
  <c r="AL140" i="9"/>
  <c r="AL141" i="9"/>
  <c r="AL142" i="9"/>
  <c r="AL143" i="9"/>
  <c r="AL144" i="9"/>
  <c r="AL145" i="9"/>
  <c r="AL146" i="9"/>
  <c r="AL147" i="9"/>
  <c r="AL148" i="9"/>
  <c r="AL149" i="9"/>
  <c r="AL150" i="9"/>
  <c r="AL151" i="9"/>
  <c r="AL152" i="9"/>
  <c r="AL153" i="9"/>
  <c r="AL154" i="9"/>
  <c r="AL155" i="9"/>
  <c r="AL156" i="9"/>
  <c r="AL157" i="9"/>
  <c r="AL158" i="9"/>
  <c r="AL159" i="9"/>
  <c r="AL160" i="9"/>
  <c r="AL161" i="9"/>
  <c r="AL162" i="9"/>
  <c r="AL163" i="9"/>
  <c r="AL164" i="9"/>
  <c r="AL165" i="9"/>
  <c r="AL166" i="9"/>
  <c r="AL167" i="9"/>
  <c r="AL168" i="9"/>
  <c r="AL169" i="9"/>
  <c r="AL170" i="9"/>
  <c r="AL171" i="9"/>
  <c r="AL172" i="9"/>
  <c r="AL173" i="9"/>
  <c r="AL174" i="9"/>
  <c r="AL175" i="9"/>
  <c r="AL176" i="9"/>
  <c r="AL177" i="9"/>
  <c r="AL178" i="9"/>
  <c r="AL179" i="9"/>
  <c r="AL180" i="9"/>
  <c r="AL181" i="9"/>
  <c r="AL182" i="9"/>
  <c r="AL183" i="9"/>
  <c r="AL184" i="9"/>
  <c r="AL185" i="9"/>
  <c r="AL186" i="9"/>
  <c r="AL187" i="9"/>
  <c r="AL188" i="9"/>
  <c r="AL189" i="9"/>
  <c r="AL190" i="9"/>
  <c r="AL191" i="9"/>
  <c r="AL192" i="9"/>
  <c r="AL193" i="9"/>
  <c r="AL194" i="9"/>
  <c r="AL195" i="9"/>
  <c r="AL196" i="9"/>
  <c r="AL197" i="9"/>
  <c r="AL198" i="9"/>
  <c r="AL199" i="9"/>
  <c r="AL200" i="9"/>
  <c r="B1" i="11" l="1" a="1"/>
  <c r="B1" i="11" s="1"/>
  <c r="BA24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BA5" i="9"/>
  <c r="BA6" i="9"/>
  <c r="BA7" i="9"/>
  <c r="BA8" i="9"/>
  <c r="BA9" i="9"/>
  <c r="BA10" i="9"/>
  <c r="BA11" i="9"/>
  <c r="BA12" i="9"/>
  <c r="BA13" i="9"/>
  <c r="BA14" i="9"/>
  <c r="BA15" i="9"/>
  <c r="BA16" i="9"/>
  <c r="BA17" i="9"/>
  <c r="BA18" i="9"/>
  <c r="BA19" i="9"/>
  <c r="BA20" i="9"/>
  <c r="BA21" i="9"/>
  <c r="BA22" i="9"/>
  <c r="BA23" i="9"/>
  <c r="BA2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5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5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5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5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5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5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5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185" i="9"/>
  <c r="BA186" i="9"/>
  <c r="BA187" i="9"/>
  <c r="BA188" i="9"/>
  <c r="BA189" i="9"/>
  <c r="BA190" i="9"/>
  <c r="BA191" i="9"/>
  <c r="BA192" i="9"/>
  <c r="BA193" i="9"/>
  <c r="BA194" i="9"/>
  <c r="BA195" i="9"/>
  <c r="BA196" i="9"/>
  <c r="BA197" i="9"/>
  <c r="BA198" i="9"/>
  <c r="BA199" i="9"/>
  <c r="BA200" i="9"/>
  <c r="BA4" i="9"/>
  <c r="CG5" i="1"/>
  <c r="CF5" i="1"/>
  <c r="CH5" i="1"/>
  <c r="CE1000" i="1" a="1"/>
  <c r="CE1000" i="1" s="1"/>
  <c r="CE2" i="1" a="1"/>
  <c r="CE2" i="1" s="1"/>
  <c r="AI132" i="9"/>
  <c r="AI133" i="9"/>
  <c r="AI134" i="9"/>
  <c r="AI135" i="9"/>
  <c r="AI136" i="9"/>
  <c r="AI137" i="9"/>
  <c r="AI138" i="9"/>
  <c r="AI139" i="9"/>
  <c r="AI140" i="9"/>
  <c r="AI141" i="9"/>
  <c r="AI142" i="9"/>
  <c r="AI143" i="9"/>
  <c r="AI144" i="9"/>
  <c r="AI145" i="9"/>
  <c r="AI146" i="9"/>
  <c r="AI147" i="9"/>
  <c r="AI148" i="9"/>
  <c r="AI149" i="9"/>
  <c r="AI150" i="9"/>
  <c r="AI151" i="9"/>
  <c r="AI152" i="9"/>
  <c r="AI153" i="9"/>
  <c r="AI154" i="9"/>
  <c r="AI155" i="9"/>
  <c r="AI156" i="9"/>
  <c r="AI157" i="9"/>
  <c r="AI158" i="9"/>
  <c r="AI159" i="9"/>
  <c r="AI160" i="9"/>
  <c r="AI161" i="9"/>
  <c r="AI162" i="9"/>
  <c r="AI163" i="9"/>
  <c r="AI164" i="9"/>
  <c r="AI165" i="9"/>
  <c r="AI166" i="9"/>
  <c r="AI167" i="9"/>
  <c r="AI168" i="9"/>
  <c r="AI169" i="9"/>
  <c r="AI170" i="9"/>
  <c r="AI171" i="9"/>
  <c r="AI172" i="9"/>
  <c r="AI173" i="9"/>
  <c r="AI174" i="9"/>
  <c r="AI175" i="9"/>
  <c r="AI176" i="9"/>
  <c r="AI177" i="9"/>
  <c r="AI178" i="9"/>
  <c r="AI179" i="9"/>
  <c r="AI180" i="9"/>
  <c r="AI181" i="9"/>
  <c r="AI182" i="9"/>
  <c r="AI183" i="9"/>
  <c r="AI184" i="9"/>
  <c r="AI185" i="9"/>
  <c r="AI186" i="9"/>
  <c r="AI187" i="9"/>
  <c r="AI188" i="9"/>
  <c r="AI189" i="9"/>
  <c r="AI190" i="9"/>
  <c r="AI191" i="9"/>
  <c r="AI192" i="9"/>
  <c r="AI193" i="9"/>
  <c r="AI194" i="9"/>
  <c r="AI195" i="9"/>
  <c r="AI196" i="9"/>
  <c r="AI197" i="9"/>
  <c r="AI198" i="9"/>
  <c r="AI199" i="9"/>
  <c r="AI200" i="9"/>
  <c r="BX2" i="1" a="1"/>
  <c r="BX2" i="1" s="1"/>
  <c r="BZ2" i="1" a="1"/>
  <c r="BZ2" i="1" s="1"/>
  <c r="BB199" i="9" l="1"/>
  <c r="BB191" i="9"/>
  <c r="BB183" i="9"/>
  <c r="BB175" i="9"/>
  <c r="BB167" i="9"/>
  <c r="BB159" i="9"/>
  <c r="BB151" i="9"/>
  <c r="BB143" i="9"/>
  <c r="BB135" i="9"/>
  <c r="BB194" i="9"/>
  <c r="BB186" i="9"/>
  <c r="BB178" i="9"/>
  <c r="BB170" i="9"/>
  <c r="BB162" i="9"/>
  <c r="BB154" i="9"/>
  <c r="BB146" i="9"/>
  <c r="BB138" i="9"/>
  <c r="BB193" i="9"/>
  <c r="BB145" i="9"/>
  <c r="BB185" i="9"/>
  <c r="BB153" i="9"/>
  <c r="BB177" i="9"/>
  <c r="BB161" i="9"/>
  <c r="BB169" i="9"/>
  <c r="BB137" i="9"/>
  <c r="BB198" i="9"/>
  <c r="BB190" i="9"/>
  <c r="BB182" i="9"/>
  <c r="BB174" i="9"/>
  <c r="BB166" i="9"/>
  <c r="BB158" i="9"/>
  <c r="BB150" i="9"/>
  <c r="BB142" i="9"/>
  <c r="BB134" i="9"/>
  <c r="BB200" i="9"/>
  <c r="BB192" i="9"/>
  <c r="BB184" i="9"/>
  <c r="BB176" i="9"/>
  <c r="BB168" i="9"/>
  <c r="BB160" i="9"/>
  <c r="BB152" i="9"/>
  <c r="BB144" i="9"/>
  <c r="BB136" i="9"/>
  <c r="BB195" i="9"/>
  <c r="BB187" i="9"/>
  <c r="BB179" i="9"/>
  <c r="BB171" i="9"/>
  <c r="BB163" i="9"/>
  <c r="BB155" i="9"/>
  <c r="BB147" i="9"/>
  <c r="BB139" i="9"/>
  <c r="BB197" i="9"/>
  <c r="BB189" i="9"/>
  <c r="BB181" i="9"/>
  <c r="BB173" i="9"/>
  <c r="BB165" i="9"/>
  <c r="BB157" i="9"/>
  <c r="BB149" i="9"/>
  <c r="BB141" i="9"/>
  <c r="BB133" i="9"/>
  <c r="BB196" i="9"/>
  <c r="BB188" i="9"/>
  <c r="BB180" i="9"/>
  <c r="BB172" i="9"/>
  <c r="BB164" i="9"/>
  <c r="BB156" i="9"/>
  <c r="BB148" i="9"/>
  <c r="BB140" i="9"/>
  <c r="BB132" i="9"/>
  <c r="CC2" i="1" a="1"/>
  <c r="CC2" i="1" s="1"/>
  <c r="CI2" i="1" s="1"/>
  <c r="Z132" i="9"/>
  <c r="Z133" i="9"/>
  <c r="Z134" i="9"/>
  <c r="Z135" i="9"/>
  <c r="Z136" i="9"/>
  <c r="Z137" i="9"/>
  <c r="Z138" i="9"/>
  <c r="Z139" i="9"/>
  <c r="Z140" i="9"/>
  <c r="Z141" i="9"/>
  <c r="Z142" i="9"/>
  <c r="Z143" i="9"/>
  <c r="Z144" i="9"/>
  <c r="Z145" i="9"/>
  <c r="Z146" i="9"/>
  <c r="Z147" i="9"/>
  <c r="Z148" i="9"/>
  <c r="Z149" i="9"/>
  <c r="Z150" i="9"/>
  <c r="Z151" i="9"/>
  <c r="Z152" i="9"/>
  <c r="Z153" i="9"/>
  <c r="Z154" i="9"/>
  <c r="Z155" i="9"/>
  <c r="Z156" i="9"/>
  <c r="Z157" i="9"/>
  <c r="Z158" i="9"/>
  <c r="Z159" i="9"/>
  <c r="Z160" i="9"/>
  <c r="Z161" i="9"/>
  <c r="Z162" i="9"/>
  <c r="Z163" i="9"/>
  <c r="Z164" i="9"/>
  <c r="Z165" i="9"/>
  <c r="Z166" i="9"/>
  <c r="Z167" i="9"/>
  <c r="Z168" i="9"/>
  <c r="Z169" i="9"/>
  <c r="Z170" i="9"/>
  <c r="Z171" i="9"/>
  <c r="Z172" i="9"/>
  <c r="Z173" i="9"/>
  <c r="Z174" i="9"/>
  <c r="Z175" i="9"/>
  <c r="Z176" i="9"/>
  <c r="Z177" i="9"/>
  <c r="Z178" i="9"/>
  <c r="Z179" i="9"/>
  <c r="Z180" i="9"/>
  <c r="Z181" i="9"/>
  <c r="Z182" i="9"/>
  <c r="Z183" i="9"/>
  <c r="Z184" i="9"/>
  <c r="Z185" i="9"/>
  <c r="Z186" i="9"/>
  <c r="Z187" i="9"/>
  <c r="Z188" i="9"/>
  <c r="Z189" i="9"/>
  <c r="Z190" i="9"/>
  <c r="Z191" i="9"/>
  <c r="Z192" i="9"/>
  <c r="Z193" i="9"/>
  <c r="Z194" i="9"/>
  <c r="Z195" i="9"/>
  <c r="Z196" i="9"/>
  <c r="Z197" i="9"/>
  <c r="Z198" i="9"/>
  <c r="Z199" i="9"/>
  <c r="Z200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N132" i="9" l="1"/>
  <c r="O132" i="9"/>
  <c r="P132" i="9"/>
  <c r="R132" i="9"/>
  <c r="S132" i="9"/>
  <c r="T132" i="9"/>
  <c r="U132" i="9"/>
  <c r="V132" i="9"/>
  <c r="W132" i="9"/>
  <c r="X132" i="9"/>
  <c r="Y132" i="9"/>
  <c r="AA132" i="9"/>
  <c r="AB132" i="9"/>
  <c r="AC132" i="9"/>
  <c r="AD132" i="9"/>
  <c r="AE132" i="9"/>
  <c r="AF132" i="9"/>
  <c r="AG132" i="9"/>
  <c r="AH132" i="9"/>
  <c r="AJ132" i="9"/>
  <c r="AK132" i="9"/>
  <c r="AM132" i="9"/>
  <c r="AN132" i="9"/>
  <c r="AO132" i="9"/>
  <c r="AP132" i="9"/>
  <c r="AR132" i="9"/>
  <c r="AS132" i="9"/>
  <c r="AT132" i="9"/>
  <c r="AU132" i="9"/>
  <c r="AV132" i="9"/>
  <c r="AW132" i="9"/>
  <c r="AX132" i="9"/>
  <c r="AY132" i="9"/>
  <c r="AZ132" i="9"/>
  <c r="N133" i="9"/>
  <c r="O133" i="9"/>
  <c r="P133" i="9"/>
  <c r="R133" i="9"/>
  <c r="S133" i="9"/>
  <c r="T133" i="9"/>
  <c r="U133" i="9"/>
  <c r="V133" i="9"/>
  <c r="W133" i="9"/>
  <c r="X133" i="9"/>
  <c r="Y133" i="9"/>
  <c r="AA133" i="9"/>
  <c r="AB133" i="9"/>
  <c r="AC133" i="9"/>
  <c r="AD133" i="9"/>
  <c r="AE133" i="9"/>
  <c r="AF133" i="9"/>
  <c r="AG133" i="9"/>
  <c r="AH133" i="9"/>
  <c r="AJ133" i="9"/>
  <c r="AK133" i="9"/>
  <c r="AM133" i="9"/>
  <c r="AN133" i="9"/>
  <c r="AO133" i="9"/>
  <c r="AP133" i="9"/>
  <c r="AR133" i="9"/>
  <c r="AS133" i="9"/>
  <c r="AT133" i="9"/>
  <c r="AU133" i="9"/>
  <c r="AV133" i="9"/>
  <c r="AW133" i="9"/>
  <c r="AX133" i="9"/>
  <c r="AY133" i="9"/>
  <c r="AZ133" i="9"/>
  <c r="N134" i="9"/>
  <c r="O134" i="9"/>
  <c r="P134" i="9"/>
  <c r="R134" i="9"/>
  <c r="S134" i="9"/>
  <c r="T134" i="9"/>
  <c r="U134" i="9"/>
  <c r="V134" i="9"/>
  <c r="W134" i="9"/>
  <c r="X134" i="9"/>
  <c r="Y134" i="9"/>
  <c r="AA134" i="9"/>
  <c r="AB134" i="9"/>
  <c r="AC134" i="9"/>
  <c r="AD134" i="9"/>
  <c r="AE134" i="9"/>
  <c r="AF134" i="9"/>
  <c r="AG134" i="9"/>
  <c r="AH134" i="9"/>
  <c r="AJ134" i="9"/>
  <c r="AK134" i="9"/>
  <c r="AM134" i="9"/>
  <c r="AN134" i="9"/>
  <c r="AO134" i="9"/>
  <c r="AP134" i="9"/>
  <c r="AR134" i="9"/>
  <c r="AS134" i="9"/>
  <c r="AT134" i="9"/>
  <c r="AU134" i="9"/>
  <c r="AV134" i="9"/>
  <c r="AW134" i="9"/>
  <c r="AX134" i="9"/>
  <c r="AY134" i="9"/>
  <c r="AZ134" i="9"/>
  <c r="N135" i="9"/>
  <c r="O135" i="9"/>
  <c r="P135" i="9"/>
  <c r="R135" i="9"/>
  <c r="S135" i="9"/>
  <c r="T135" i="9"/>
  <c r="U135" i="9"/>
  <c r="V135" i="9"/>
  <c r="W135" i="9"/>
  <c r="X135" i="9"/>
  <c r="Y135" i="9"/>
  <c r="AA135" i="9"/>
  <c r="AB135" i="9"/>
  <c r="AC135" i="9"/>
  <c r="AD135" i="9"/>
  <c r="AE135" i="9"/>
  <c r="AF135" i="9"/>
  <c r="AG135" i="9"/>
  <c r="AH135" i="9"/>
  <c r="AJ135" i="9"/>
  <c r="AK135" i="9"/>
  <c r="AM135" i="9"/>
  <c r="AN135" i="9"/>
  <c r="AO135" i="9"/>
  <c r="AP135" i="9"/>
  <c r="AR135" i="9"/>
  <c r="AS135" i="9"/>
  <c r="AT135" i="9"/>
  <c r="AU135" i="9"/>
  <c r="AV135" i="9"/>
  <c r="AW135" i="9"/>
  <c r="AX135" i="9"/>
  <c r="AY135" i="9"/>
  <c r="AZ135" i="9"/>
  <c r="N136" i="9"/>
  <c r="O136" i="9"/>
  <c r="P136" i="9"/>
  <c r="R136" i="9"/>
  <c r="S136" i="9"/>
  <c r="T136" i="9"/>
  <c r="U136" i="9"/>
  <c r="V136" i="9"/>
  <c r="W136" i="9"/>
  <c r="X136" i="9"/>
  <c r="Y136" i="9"/>
  <c r="AA136" i="9"/>
  <c r="AB136" i="9"/>
  <c r="AC136" i="9"/>
  <c r="AD136" i="9"/>
  <c r="AE136" i="9"/>
  <c r="AF136" i="9"/>
  <c r="AG136" i="9"/>
  <c r="AH136" i="9"/>
  <c r="AJ136" i="9"/>
  <c r="AK136" i="9"/>
  <c r="AM136" i="9"/>
  <c r="AN136" i="9"/>
  <c r="AO136" i="9"/>
  <c r="AP136" i="9"/>
  <c r="AR136" i="9"/>
  <c r="AS136" i="9"/>
  <c r="AT136" i="9"/>
  <c r="AU136" i="9"/>
  <c r="AV136" i="9"/>
  <c r="AW136" i="9"/>
  <c r="AX136" i="9"/>
  <c r="AY136" i="9"/>
  <c r="AZ136" i="9"/>
  <c r="N137" i="9"/>
  <c r="O137" i="9"/>
  <c r="P137" i="9"/>
  <c r="R137" i="9"/>
  <c r="S137" i="9"/>
  <c r="T137" i="9"/>
  <c r="U137" i="9"/>
  <c r="V137" i="9"/>
  <c r="W137" i="9"/>
  <c r="X137" i="9"/>
  <c r="Y137" i="9"/>
  <c r="AA137" i="9"/>
  <c r="AB137" i="9"/>
  <c r="AC137" i="9"/>
  <c r="AD137" i="9"/>
  <c r="AE137" i="9"/>
  <c r="AF137" i="9"/>
  <c r="AG137" i="9"/>
  <c r="AH137" i="9"/>
  <c r="AJ137" i="9"/>
  <c r="AK137" i="9"/>
  <c r="AM137" i="9"/>
  <c r="AN137" i="9"/>
  <c r="AO137" i="9"/>
  <c r="AP137" i="9"/>
  <c r="AR137" i="9"/>
  <c r="AS137" i="9"/>
  <c r="AT137" i="9"/>
  <c r="AU137" i="9"/>
  <c r="AV137" i="9"/>
  <c r="AW137" i="9"/>
  <c r="AX137" i="9"/>
  <c r="AY137" i="9"/>
  <c r="AZ137" i="9"/>
  <c r="N138" i="9"/>
  <c r="O138" i="9"/>
  <c r="P138" i="9"/>
  <c r="R138" i="9"/>
  <c r="S138" i="9"/>
  <c r="T138" i="9"/>
  <c r="U138" i="9"/>
  <c r="V138" i="9"/>
  <c r="W138" i="9"/>
  <c r="X138" i="9"/>
  <c r="Y138" i="9"/>
  <c r="AA138" i="9"/>
  <c r="AB138" i="9"/>
  <c r="AC138" i="9"/>
  <c r="AD138" i="9"/>
  <c r="AE138" i="9"/>
  <c r="AF138" i="9"/>
  <c r="AG138" i="9"/>
  <c r="AH138" i="9"/>
  <c r="AJ138" i="9"/>
  <c r="AK138" i="9"/>
  <c r="AM138" i="9"/>
  <c r="AN138" i="9"/>
  <c r="AO138" i="9"/>
  <c r="AP138" i="9"/>
  <c r="AR138" i="9"/>
  <c r="AS138" i="9"/>
  <c r="AT138" i="9"/>
  <c r="AU138" i="9"/>
  <c r="AV138" i="9"/>
  <c r="AW138" i="9"/>
  <c r="AX138" i="9"/>
  <c r="AY138" i="9"/>
  <c r="AZ138" i="9"/>
  <c r="N139" i="9"/>
  <c r="O139" i="9"/>
  <c r="P139" i="9"/>
  <c r="R139" i="9"/>
  <c r="S139" i="9"/>
  <c r="T139" i="9"/>
  <c r="U139" i="9"/>
  <c r="V139" i="9"/>
  <c r="W139" i="9"/>
  <c r="X139" i="9"/>
  <c r="Y139" i="9"/>
  <c r="AA139" i="9"/>
  <c r="AB139" i="9"/>
  <c r="AC139" i="9"/>
  <c r="AD139" i="9"/>
  <c r="AE139" i="9"/>
  <c r="AF139" i="9"/>
  <c r="AG139" i="9"/>
  <c r="AH139" i="9"/>
  <c r="AJ139" i="9"/>
  <c r="AK139" i="9"/>
  <c r="AM139" i="9"/>
  <c r="AN139" i="9"/>
  <c r="AO139" i="9"/>
  <c r="AP139" i="9"/>
  <c r="AR139" i="9"/>
  <c r="AS139" i="9"/>
  <c r="AT139" i="9"/>
  <c r="AU139" i="9"/>
  <c r="AV139" i="9"/>
  <c r="AW139" i="9"/>
  <c r="AX139" i="9"/>
  <c r="AY139" i="9"/>
  <c r="AZ139" i="9"/>
  <c r="N140" i="9"/>
  <c r="O140" i="9"/>
  <c r="P140" i="9"/>
  <c r="R140" i="9"/>
  <c r="S140" i="9"/>
  <c r="T140" i="9"/>
  <c r="U140" i="9"/>
  <c r="V140" i="9"/>
  <c r="W140" i="9"/>
  <c r="X140" i="9"/>
  <c r="Y140" i="9"/>
  <c r="AA140" i="9"/>
  <c r="AB140" i="9"/>
  <c r="AC140" i="9"/>
  <c r="AD140" i="9"/>
  <c r="AE140" i="9"/>
  <c r="AF140" i="9"/>
  <c r="AG140" i="9"/>
  <c r="AH140" i="9"/>
  <c r="AJ140" i="9"/>
  <c r="AK140" i="9"/>
  <c r="AM140" i="9"/>
  <c r="AN140" i="9"/>
  <c r="AO140" i="9"/>
  <c r="AP140" i="9"/>
  <c r="AR140" i="9"/>
  <c r="AS140" i="9"/>
  <c r="AT140" i="9"/>
  <c r="AU140" i="9"/>
  <c r="AV140" i="9"/>
  <c r="AW140" i="9"/>
  <c r="AX140" i="9"/>
  <c r="AY140" i="9"/>
  <c r="AZ140" i="9"/>
  <c r="N141" i="9"/>
  <c r="O141" i="9"/>
  <c r="P141" i="9"/>
  <c r="R141" i="9"/>
  <c r="S141" i="9"/>
  <c r="T141" i="9"/>
  <c r="U141" i="9"/>
  <c r="V141" i="9"/>
  <c r="W141" i="9"/>
  <c r="X141" i="9"/>
  <c r="Y141" i="9"/>
  <c r="AA141" i="9"/>
  <c r="AB141" i="9"/>
  <c r="AC141" i="9"/>
  <c r="AD141" i="9"/>
  <c r="AE141" i="9"/>
  <c r="AF141" i="9"/>
  <c r="AG141" i="9"/>
  <c r="AH141" i="9"/>
  <c r="AJ141" i="9"/>
  <c r="AK141" i="9"/>
  <c r="AM141" i="9"/>
  <c r="AN141" i="9"/>
  <c r="AO141" i="9"/>
  <c r="AP141" i="9"/>
  <c r="AR141" i="9"/>
  <c r="AS141" i="9"/>
  <c r="AT141" i="9"/>
  <c r="AU141" i="9"/>
  <c r="AV141" i="9"/>
  <c r="AW141" i="9"/>
  <c r="AX141" i="9"/>
  <c r="AY141" i="9"/>
  <c r="AZ141" i="9"/>
  <c r="N142" i="9"/>
  <c r="O142" i="9"/>
  <c r="P142" i="9"/>
  <c r="R142" i="9"/>
  <c r="S142" i="9"/>
  <c r="T142" i="9"/>
  <c r="U142" i="9"/>
  <c r="V142" i="9"/>
  <c r="W142" i="9"/>
  <c r="X142" i="9"/>
  <c r="Y142" i="9"/>
  <c r="AA142" i="9"/>
  <c r="AB142" i="9"/>
  <c r="AC142" i="9"/>
  <c r="AD142" i="9"/>
  <c r="AE142" i="9"/>
  <c r="AF142" i="9"/>
  <c r="AG142" i="9"/>
  <c r="AH142" i="9"/>
  <c r="AJ142" i="9"/>
  <c r="AK142" i="9"/>
  <c r="AM142" i="9"/>
  <c r="AN142" i="9"/>
  <c r="AO142" i="9"/>
  <c r="AP142" i="9"/>
  <c r="AR142" i="9"/>
  <c r="AS142" i="9"/>
  <c r="AT142" i="9"/>
  <c r="AU142" i="9"/>
  <c r="AV142" i="9"/>
  <c r="AW142" i="9"/>
  <c r="AX142" i="9"/>
  <c r="AY142" i="9"/>
  <c r="AZ142" i="9"/>
  <c r="N143" i="9"/>
  <c r="O143" i="9"/>
  <c r="P143" i="9"/>
  <c r="R143" i="9"/>
  <c r="S143" i="9"/>
  <c r="T143" i="9"/>
  <c r="U143" i="9"/>
  <c r="V143" i="9"/>
  <c r="W143" i="9"/>
  <c r="X143" i="9"/>
  <c r="Y143" i="9"/>
  <c r="AA143" i="9"/>
  <c r="AB143" i="9"/>
  <c r="AC143" i="9"/>
  <c r="AD143" i="9"/>
  <c r="AE143" i="9"/>
  <c r="AF143" i="9"/>
  <c r="AG143" i="9"/>
  <c r="AH143" i="9"/>
  <c r="AJ143" i="9"/>
  <c r="AK143" i="9"/>
  <c r="AM143" i="9"/>
  <c r="AN143" i="9"/>
  <c r="AO143" i="9"/>
  <c r="AP143" i="9"/>
  <c r="AR143" i="9"/>
  <c r="AS143" i="9"/>
  <c r="AT143" i="9"/>
  <c r="AU143" i="9"/>
  <c r="AV143" i="9"/>
  <c r="AW143" i="9"/>
  <c r="AX143" i="9"/>
  <c r="AY143" i="9"/>
  <c r="AZ143" i="9"/>
  <c r="N144" i="9"/>
  <c r="O144" i="9"/>
  <c r="P144" i="9"/>
  <c r="R144" i="9"/>
  <c r="S144" i="9"/>
  <c r="T144" i="9"/>
  <c r="U144" i="9"/>
  <c r="V144" i="9"/>
  <c r="W144" i="9"/>
  <c r="X144" i="9"/>
  <c r="Y144" i="9"/>
  <c r="AA144" i="9"/>
  <c r="AB144" i="9"/>
  <c r="AC144" i="9"/>
  <c r="AD144" i="9"/>
  <c r="AE144" i="9"/>
  <c r="AF144" i="9"/>
  <c r="AG144" i="9"/>
  <c r="AH144" i="9"/>
  <c r="AJ144" i="9"/>
  <c r="AK144" i="9"/>
  <c r="AM144" i="9"/>
  <c r="AN144" i="9"/>
  <c r="AO144" i="9"/>
  <c r="AP144" i="9"/>
  <c r="AR144" i="9"/>
  <c r="AS144" i="9"/>
  <c r="AT144" i="9"/>
  <c r="AU144" i="9"/>
  <c r="AV144" i="9"/>
  <c r="AW144" i="9"/>
  <c r="AX144" i="9"/>
  <c r="AY144" i="9"/>
  <c r="AZ144" i="9"/>
  <c r="N145" i="9"/>
  <c r="O145" i="9"/>
  <c r="P145" i="9"/>
  <c r="R145" i="9"/>
  <c r="S145" i="9"/>
  <c r="T145" i="9"/>
  <c r="U145" i="9"/>
  <c r="V145" i="9"/>
  <c r="W145" i="9"/>
  <c r="X145" i="9"/>
  <c r="Y145" i="9"/>
  <c r="AA145" i="9"/>
  <c r="AB145" i="9"/>
  <c r="AC145" i="9"/>
  <c r="AD145" i="9"/>
  <c r="AE145" i="9"/>
  <c r="AF145" i="9"/>
  <c r="AG145" i="9"/>
  <c r="AH145" i="9"/>
  <c r="AJ145" i="9"/>
  <c r="AK145" i="9"/>
  <c r="AM145" i="9"/>
  <c r="AN145" i="9"/>
  <c r="AO145" i="9"/>
  <c r="AP145" i="9"/>
  <c r="AR145" i="9"/>
  <c r="AS145" i="9"/>
  <c r="AT145" i="9"/>
  <c r="AU145" i="9"/>
  <c r="AV145" i="9"/>
  <c r="AW145" i="9"/>
  <c r="AX145" i="9"/>
  <c r="AY145" i="9"/>
  <c r="AZ145" i="9"/>
  <c r="N146" i="9"/>
  <c r="O146" i="9"/>
  <c r="P146" i="9"/>
  <c r="R146" i="9"/>
  <c r="S146" i="9"/>
  <c r="T146" i="9"/>
  <c r="U146" i="9"/>
  <c r="V146" i="9"/>
  <c r="W146" i="9"/>
  <c r="X146" i="9"/>
  <c r="Y146" i="9"/>
  <c r="AA146" i="9"/>
  <c r="AB146" i="9"/>
  <c r="AC146" i="9"/>
  <c r="AD146" i="9"/>
  <c r="AE146" i="9"/>
  <c r="AF146" i="9"/>
  <c r="AG146" i="9"/>
  <c r="AH146" i="9"/>
  <c r="AJ146" i="9"/>
  <c r="AK146" i="9"/>
  <c r="AM146" i="9"/>
  <c r="AN146" i="9"/>
  <c r="AO146" i="9"/>
  <c r="AP146" i="9"/>
  <c r="AR146" i="9"/>
  <c r="AS146" i="9"/>
  <c r="AT146" i="9"/>
  <c r="AU146" i="9"/>
  <c r="AV146" i="9"/>
  <c r="AW146" i="9"/>
  <c r="AX146" i="9"/>
  <c r="AY146" i="9"/>
  <c r="AZ146" i="9"/>
  <c r="N147" i="9"/>
  <c r="O147" i="9"/>
  <c r="P147" i="9"/>
  <c r="R147" i="9"/>
  <c r="S147" i="9"/>
  <c r="T147" i="9"/>
  <c r="U147" i="9"/>
  <c r="V147" i="9"/>
  <c r="W147" i="9"/>
  <c r="X147" i="9"/>
  <c r="Y147" i="9"/>
  <c r="AA147" i="9"/>
  <c r="AB147" i="9"/>
  <c r="AC147" i="9"/>
  <c r="AD147" i="9"/>
  <c r="AE147" i="9"/>
  <c r="AF147" i="9"/>
  <c r="AG147" i="9"/>
  <c r="AH147" i="9"/>
  <c r="AJ147" i="9"/>
  <c r="AK147" i="9"/>
  <c r="AM147" i="9"/>
  <c r="AN147" i="9"/>
  <c r="AO147" i="9"/>
  <c r="AP147" i="9"/>
  <c r="AR147" i="9"/>
  <c r="AS147" i="9"/>
  <c r="AT147" i="9"/>
  <c r="AU147" i="9"/>
  <c r="AV147" i="9"/>
  <c r="AW147" i="9"/>
  <c r="AX147" i="9"/>
  <c r="AY147" i="9"/>
  <c r="AZ147" i="9"/>
  <c r="N148" i="9"/>
  <c r="O148" i="9"/>
  <c r="P148" i="9"/>
  <c r="R148" i="9"/>
  <c r="S148" i="9"/>
  <c r="T148" i="9"/>
  <c r="U148" i="9"/>
  <c r="V148" i="9"/>
  <c r="W148" i="9"/>
  <c r="X148" i="9"/>
  <c r="Y148" i="9"/>
  <c r="AA148" i="9"/>
  <c r="AB148" i="9"/>
  <c r="AC148" i="9"/>
  <c r="AD148" i="9"/>
  <c r="AE148" i="9"/>
  <c r="AF148" i="9"/>
  <c r="AG148" i="9"/>
  <c r="AH148" i="9"/>
  <c r="AJ148" i="9"/>
  <c r="AK148" i="9"/>
  <c r="AM148" i="9"/>
  <c r="AN148" i="9"/>
  <c r="AO148" i="9"/>
  <c r="AP148" i="9"/>
  <c r="AR148" i="9"/>
  <c r="AS148" i="9"/>
  <c r="AT148" i="9"/>
  <c r="AU148" i="9"/>
  <c r="AV148" i="9"/>
  <c r="AW148" i="9"/>
  <c r="AX148" i="9"/>
  <c r="AY148" i="9"/>
  <c r="AZ148" i="9"/>
  <c r="N149" i="9"/>
  <c r="O149" i="9"/>
  <c r="P149" i="9"/>
  <c r="R149" i="9"/>
  <c r="S149" i="9"/>
  <c r="T149" i="9"/>
  <c r="U149" i="9"/>
  <c r="V149" i="9"/>
  <c r="W149" i="9"/>
  <c r="X149" i="9"/>
  <c r="Y149" i="9"/>
  <c r="AA149" i="9"/>
  <c r="AB149" i="9"/>
  <c r="AC149" i="9"/>
  <c r="AD149" i="9"/>
  <c r="AE149" i="9"/>
  <c r="AF149" i="9"/>
  <c r="AG149" i="9"/>
  <c r="AH149" i="9"/>
  <c r="AJ149" i="9"/>
  <c r="AK149" i="9"/>
  <c r="AM149" i="9"/>
  <c r="AN149" i="9"/>
  <c r="AO149" i="9"/>
  <c r="AP149" i="9"/>
  <c r="AR149" i="9"/>
  <c r="AS149" i="9"/>
  <c r="AT149" i="9"/>
  <c r="AU149" i="9"/>
  <c r="AV149" i="9"/>
  <c r="AW149" i="9"/>
  <c r="AX149" i="9"/>
  <c r="AY149" i="9"/>
  <c r="AZ149" i="9"/>
  <c r="N150" i="9"/>
  <c r="O150" i="9"/>
  <c r="P150" i="9"/>
  <c r="R150" i="9"/>
  <c r="S150" i="9"/>
  <c r="T150" i="9"/>
  <c r="U150" i="9"/>
  <c r="V150" i="9"/>
  <c r="W150" i="9"/>
  <c r="X150" i="9"/>
  <c r="Y150" i="9"/>
  <c r="AA150" i="9"/>
  <c r="AB150" i="9"/>
  <c r="AC150" i="9"/>
  <c r="AD150" i="9"/>
  <c r="AE150" i="9"/>
  <c r="AF150" i="9"/>
  <c r="AG150" i="9"/>
  <c r="AH150" i="9"/>
  <c r="AJ150" i="9"/>
  <c r="AK150" i="9"/>
  <c r="AM150" i="9"/>
  <c r="AN150" i="9"/>
  <c r="AO150" i="9"/>
  <c r="AP150" i="9"/>
  <c r="AR150" i="9"/>
  <c r="AS150" i="9"/>
  <c r="AT150" i="9"/>
  <c r="AU150" i="9"/>
  <c r="AV150" i="9"/>
  <c r="AW150" i="9"/>
  <c r="AX150" i="9"/>
  <c r="AY150" i="9"/>
  <c r="AZ150" i="9"/>
  <c r="N151" i="9"/>
  <c r="O151" i="9"/>
  <c r="P151" i="9"/>
  <c r="R151" i="9"/>
  <c r="S151" i="9"/>
  <c r="T151" i="9"/>
  <c r="U151" i="9"/>
  <c r="V151" i="9"/>
  <c r="W151" i="9"/>
  <c r="X151" i="9"/>
  <c r="Y151" i="9"/>
  <c r="AA151" i="9"/>
  <c r="AB151" i="9"/>
  <c r="AC151" i="9"/>
  <c r="AD151" i="9"/>
  <c r="AE151" i="9"/>
  <c r="AF151" i="9"/>
  <c r="AG151" i="9"/>
  <c r="AH151" i="9"/>
  <c r="AJ151" i="9"/>
  <c r="AK151" i="9"/>
  <c r="AM151" i="9"/>
  <c r="AN151" i="9"/>
  <c r="AO151" i="9"/>
  <c r="AP151" i="9"/>
  <c r="AR151" i="9"/>
  <c r="AS151" i="9"/>
  <c r="AT151" i="9"/>
  <c r="AU151" i="9"/>
  <c r="AV151" i="9"/>
  <c r="AW151" i="9"/>
  <c r="AX151" i="9"/>
  <c r="AY151" i="9"/>
  <c r="AZ151" i="9"/>
  <c r="N152" i="9"/>
  <c r="O152" i="9"/>
  <c r="P152" i="9"/>
  <c r="R152" i="9"/>
  <c r="S152" i="9"/>
  <c r="T152" i="9"/>
  <c r="U152" i="9"/>
  <c r="V152" i="9"/>
  <c r="W152" i="9"/>
  <c r="X152" i="9"/>
  <c r="Y152" i="9"/>
  <c r="AA152" i="9"/>
  <c r="AB152" i="9"/>
  <c r="AC152" i="9"/>
  <c r="AD152" i="9"/>
  <c r="AE152" i="9"/>
  <c r="AF152" i="9"/>
  <c r="AG152" i="9"/>
  <c r="AH152" i="9"/>
  <c r="AJ152" i="9"/>
  <c r="AK152" i="9"/>
  <c r="AM152" i="9"/>
  <c r="AN152" i="9"/>
  <c r="AO152" i="9"/>
  <c r="AP152" i="9"/>
  <c r="AR152" i="9"/>
  <c r="AS152" i="9"/>
  <c r="AT152" i="9"/>
  <c r="AU152" i="9"/>
  <c r="AV152" i="9"/>
  <c r="AW152" i="9"/>
  <c r="AX152" i="9"/>
  <c r="AY152" i="9"/>
  <c r="AZ152" i="9"/>
  <c r="N153" i="9"/>
  <c r="O153" i="9"/>
  <c r="P153" i="9"/>
  <c r="R153" i="9"/>
  <c r="S153" i="9"/>
  <c r="T153" i="9"/>
  <c r="U153" i="9"/>
  <c r="V153" i="9"/>
  <c r="W153" i="9"/>
  <c r="X153" i="9"/>
  <c r="Y153" i="9"/>
  <c r="AA153" i="9"/>
  <c r="AB153" i="9"/>
  <c r="AC153" i="9"/>
  <c r="AD153" i="9"/>
  <c r="AE153" i="9"/>
  <c r="AF153" i="9"/>
  <c r="AG153" i="9"/>
  <c r="AH153" i="9"/>
  <c r="AJ153" i="9"/>
  <c r="AK153" i="9"/>
  <c r="AM153" i="9"/>
  <c r="AN153" i="9"/>
  <c r="AO153" i="9"/>
  <c r="AP153" i="9"/>
  <c r="AR153" i="9"/>
  <c r="AS153" i="9"/>
  <c r="AT153" i="9"/>
  <c r="AU153" i="9"/>
  <c r="AV153" i="9"/>
  <c r="AW153" i="9"/>
  <c r="AX153" i="9"/>
  <c r="AY153" i="9"/>
  <c r="AZ153" i="9"/>
  <c r="N154" i="9"/>
  <c r="O154" i="9"/>
  <c r="P154" i="9"/>
  <c r="R154" i="9"/>
  <c r="S154" i="9"/>
  <c r="T154" i="9"/>
  <c r="U154" i="9"/>
  <c r="V154" i="9"/>
  <c r="W154" i="9"/>
  <c r="X154" i="9"/>
  <c r="Y154" i="9"/>
  <c r="AA154" i="9"/>
  <c r="AB154" i="9"/>
  <c r="AC154" i="9"/>
  <c r="AD154" i="9"/>
  <c r="AE154" i="9"/>
  <c r="AF154" i="9"/>
  <c r="AG154" i="9"/>
  <c r="AH154" i="9"/>
  <c r="AJ154" i="9"/>
  <c r="AK154" i="9"/>
  <c r="AM154" i="9"/>
  <c r="AN154" i="9"/>
  <c r="AO154" i="9"/>
  <c r="AP154" i="9"/>
  <c r="AR154" i="9"/>
  <c r="AS154" i="9"/>
  <c r="AT154" i="9"/>
  <c r="AU154" i="9"/>
  <c r="AV154" i="9"/>
  <c r="AW154" i="9"/>
  <c r="AX154" i="9"/>
  <c r="AY154" i="9"/>
  <c r="AZ154" i="9"/>
  <c r="N155" i="9"/>
  <c r="O155" i="9"/>
  <c r="P155" i="9"/>
  <c r="R155" i="9"/>
  <c r="S155" i="9"/>
  <c r="T155" i="9"/>
  <c r="U155" i="9"/>
  <c r="V155" i="9"/>
  <c r="W155" i="9"/>
  <c r="X155" i="9"/>
  <c r="Y155" i="9"/>
  <c r="AA155" i="9"/>
  <c r="AB155" i="9"/>
  <c r="AC155" i="9"/>
  <c r="AD155" i="9"/>
  <c r="AE155" i="9"/>
  <c r="AF155" i="9"/>
  <c r="AG155" i="9"/>
  <c r="AH155" i="9"/>
  <c r="AJ155" i="9"/>
  <c r="AK155" i="9"/>
  <c r="AM155" i="9"/>
  <c r="AN155" i="9"/>
  <c r="AO155" i="9"/>
  <c r="AP155" i="9"/>
  <c r="AR155" i="9"/>
  <c r="AS155" i="9"/>
  <c r="AT155" i="9"/>
  <c r="AU155" i="9"/>
  <c r="AV155" i="9"/>
  <c r="AW155" i="9"/>
  <c r="AX155" i="9"/>
  <c r="AY155" i="9"/>
  <c r="AZ155" i="9"/>
  <c r="N156" i="9"/>
  <c r="O156" i="9"/>
  <c r="P156" i="9"/>
  <c r="R156" i="9"/>
  <c r="S156" i="9"/>
  <c r="T156" i="9"/>
  <c r="U156" i="9"/>
  <c r="V156" i="9"/>
  <c r="W156" i="9"/>
  <c r="X156" i="9"/>
  <c r="Y156" i="9"/>
  <c r="AA156" i="9"/>
  <c r="AB156" i="9"/>
  <c r="AC156" i="9"/>
  <c r="AD156" i="9"/>
  <c r="AE156" i="9"/>
  <c r="AF156" i="9"/>
  <c r="AG156" i="9"/>
  <c r="AH156" i="9"/>
  <c r="AJ156" i="9"/>
  <c r="AK156" i="9"/>
  <c r="AM156" i="9"/>
  <c r="AN156" i="9"/>
  <c r="AO156" i="9"/>
  <c r="AP156" i="9"/>
  <c r="AR156" i="9"/>
  <c r="AS156" i="9"/>
  <c r="AT156" i="9"/>
  <c r="AU156" i="9"/>
  <c r="AV156" i="9"/>
  <c r="AW156" i="9"/>
  <c r="AX156" i="9"/>
  <c r="AY156" i="9"/>
  <c r="AZ156" i="9"/>
  <c r="N157" i="9"/>
  <c r="O157" i="9"/>
  <c r="P157" i="9"/>
  <c r="R157" i="9"/>
  <c r="S157" i="9"/>
  <c r="T157" i="9"/>
  <c r="U157" i="9"/>
  <c r="V157" i="9"/>
  <c r="W157" i="9"/>
  <c r="X157" i="9"/>
  <c r="Y157" i="9"/>
  <c r="AA157" i="9"/>
  <c r="AB157" i="9"/>
  <c r="AC157" i="9"/>
  <c r="AD157" i="9"/>
  <c r="AE157" i="9"/>
  <c r="AF157" i="9"/>
  <c r="AG157" i="9"/>
  <c r="AH157" i="9"/>
  <c r="AJ157" i="9"/>
  <c r="AK157" i="9"/>
  <c r="AM157" i="9"/>
  <c r="AN157" i="9"/>
  <c r="AO157" i="9"/>
  <c r="AP157" i="9"/>
  <c r="AR157" i="9"/>
  <c r="AS157" i="9"/>
  <c r="AT157" i="9"/>
  <c r="AU157" i="9"/>
  <c r="AV157" i="9"/>
  <c r="AW157" i="9"/>
  <c r="AX157" i="9"/>
  <c r="AY157" i="9"/>
  <c r="AZ157" i="9"/>
  <c r="N158" i="9"/>
  <c r="O158" i="9"/>
  <c r="P158" i="9"/>
  <c r="R158" i="9"/>
  <c r="S158" i="9"/>
  <c r="T158" i="9"/>
  <c r="U158" i="9"/>
  <c r="V158" i="9"/>
  <c r="W158" i="9"/>
  <c r="X158" i="9"/>
  <c r="Y158" i="9"/>
  <c r="AA158" i="9"/>
  <c r="AB158" i="9"/>
  <c r="AC158" i="9"/>
  <c r="AD158" i="9"/>
  <c r="AE158" i="9"/>
  <c r="AF158" i="9"/>
  <c r="AG158" i="9"/>
  <c r="AH158" i="9"/>
  <c r="AJ158" i="9"/>
  <c r="AK158" i="9"/>
  <c r="AM158" i="9"/>
  <c r="AN158" i="9"/>
  <c r="AO158" i="9"/>
  <c r="AP158" i="9"/>
  <c r="AR158" i="9"/>
  <c r="AS158" i="9"/>
  <c r="AT158" i="9"/>
  <c r="AU158" i="9"/>
  <c r="AV158" i="9"/>
  <c r="AW158" i="9"/>
  <c r="AX158" i="9"/>
  <c r="AY158" i="9"/>
  <c r="AZ158" i="9"/>
  <c r="N159" i="9"/>
  <c r="O159" i="9"/>
  <c r="P159" i="9"/>
  <c r="R159" i="9"/>
  <c r="S159" i="9"/>
  <c r="T159" i="9"/>
  <c r="U159" i="9"/>
  <c r="V159" i="9"/>
  <c r="W159" i="9"/>
  <c r="X159" i="9"/>
  <c r="Y159" i="9"/>
  <c r="AA159" i="9"/>
  <c r="AB159" i="9"/>
  <c r="AC159" i="9"/>
  <c r="AD159" i="9"/>
  <c r="AE159" i="9"/>
  <c r="AF159" i="9"/>
  <c r="AG159" i="9"/>
  <c r="AH159" i="9"/>
  <c r="AJ159" i="9"/>
  <c r="AK159" i="9"/>
  <c r="AM159" i="9"/>
  <c r="AN159" i="9"/>
  <c r="AO159" i="9"/>
  <c r="AP159" i="9"/>
  <c r="AR159" i="9"/>
  <c r="AS159" i="9"/>
  <c r="AT159" i="9"/>
  <c r="AU159" i="9"/>
  <c r="AV159" i="9"/>
  <c r="AW159" i="9"/>
  <c r="AX159" i="9"/>
  <c r="AY159" i="9"/>
  <c r="AZ159" i="9"/>
  <c r="N160" i="9"/>
  <c r="O160" i="9"/>
  <c r="P160" i="9"/>
  <c r="R160" i="9"/>
  <c r="S160" i="9"/>
  <c r="T160" i="9"/>
  <c r="U160" i="9"/>
  <c r="V160" i="9"/>
  <c r="W160" i="9"/>
  <c r="X160" i="9"/>
  <c r="Y160" i="9"/>
  <c r="AA160" i="9"/>
  <c r="AB160" i="9"/>
  <c r="AC160" i="9"/>
  <c r="AD160" i="9"/>
  <c r="AE160" i="9"/>
  <c r="AF160" i="9"/>
  <c r="AG160" i="9"/>
  <c r="AH160" i="9"/>
  <c r="AJ160" i="9"/>
  <c r="AK160" i="9"/>
  <c r="AM160" i="9"/>
  <c r="AN160" i="9"/>
  <c r="AO160" i="9"/>
  <c r="AP160" i="9"/>
  <c r="AR160" i="9"/>
  <c r="AS160" i="9"/>
  <c r="AT160" i="9"/>
  <c r="AU160" i="9"/>
  <c r="AV160" i="9"/>
  <c r="AW160" i="9"/>
  <c r="AX160" i="9"/>
  <c r="AY160" i="9"/>
  <c r="AZ160" i="9"/>
  <c r="N161" i="9"/>
  <c r="O161" i="9"/>
  <c r="P161" i="9"/>
  <c r="R161" i="9"/>
  <c r="S161" i="9"/>
  <c r="T161" i="9"/>
  <c r="U161" i="9"/>
  <c r="V161" i="9"/>
  <c r="W161" i="9"/>
  <c r="X161" i="9"/>
  <c r="Y161" i="9"/>
  <c r="AA161" i="9"/>
  <c r="AB161" i="9"/>
  <c r="AC161" i="9"/>
  <c r="AD161" i="9"/>
  <c r="AE161" i="9"/>
  <c r="AF161" i="9"/>
  <c r="AG161" i="9"/>
  <c r="AH161" i="9"/>
  <c r="AJ161" i="9"/>
  <c r="AK161" i="9"/>
  <c r="AM161" i="9"/>
  <c r="AN161" i="9"/>
  <c r="AO161" i="9"/>
  <c r="AP161" i="9"/>
  <c r="AR161" i="9"/>
  <c r="AS161" i="9"/>
  <c r="AT161" i="9"/>
  <c r="AU161" i="9"/>
  <c r="AV161" i="9"/>
  <c r="AW161" i="9"/>
  <c r="AX161" i="9"/>
  <c r="AY161" i="9"/>
  <c r="AZ161" i="9"/>
  <c r="N162" i="9"/>
  <c r="O162" i="9"/>
  <c r="P162" i="9"/>
  <c r="R162" i="9"/>
  <c r="S162" i="9"/>
  <c r="T162" i="9"/>
  <c r="U162" i="9"/>
  <c r="V162" i="9"/>
  <c r="W162" i="9"/>
  <c r="X162" i="9"/>
  <c r="Y162" i="9"/>
  <c r="AA162" i="9"/>
  <c r="AB162" i="9"/>
  <c r="AC162" i="9"/>
  <c r="AD162" i="9"/>
  <c r="AE162" i="9"/>
  <c r="AF162" i="9"/>
  <c r="AG162" i="9"/>
  <c r="AH162" i="9"/>
  <c r="AJ162" i="9"/>
  <c r="AK162" i="9"/>
  <c r="AM162" i="9"/>
  <c r="AN162" i="9"/>
  <c r="AO162" i="9"/>
  <c r="AP162" i="9"/>
  <c r="AR162" i="9"/>
  <c r="AS162" i="9"/>
  <c r="AT162" i="9"/>
  <c r="AU162" i="9"/>
  <c r="AV162" i="9"/>
  <c r="AW162" i="9"/>
  <c r="AX162" i="9"/>
  <c r="AY162" i="9"/>
  <c r="AZ162" i="9"/>
  <c r="N163" i="9"/>
  <c r="O163" i="9"/>
  <c r="P163" i="9"/>
  <c r="R163" i="9"/>
  <c r="S163" i="9"/>
  <c r="T163" i="9"/>
  <c r="U163" i="9"/>
  <c r="V163" i="9"/>
  <c r="W163" i="9"/>
  <c r="X163" i="9"/>
  <c r="Y163" i="9"/>
  <c r="AA163" i="9"/>
  <c r="AB163" i="9"/>
  <c r="AC163" i="9"/>
  <c r="AD163" i="9"/>
  <c r="AE163" i="9"/>
  <c r="AF163" i="9"/>
  <c r="AG163" i="9"/>
  <c r="AH163" i="9"/>
  <c r="AJ163" i="9"/>
  <c r="AK163" i="9"/>
  <c r="AM163" i="9"/>
  <c r="AN163" i="9"/>
  <c r="AO163" i="9"/>
  <c r="AP163" i="9"/>
  <c r="AR163" i="9"/>
  <c r="AS163" i="9"/>
  <c r="AT163" i="9"/>
  <c r="AU163" i="9"/>
  <c r="AV163" i="9"/>
  <c r="AW163" i="9"/>
  <c r="AX163" i="9"/>
  <c r="AY163" i="9"/>
  <c r="AZ163" i="9"/>
  <c r="N164" i="9"/>
  <c r="O164" i="9"/>
  <c r="P164" i="9"/>
  <c r="R164" i="9"/>
  <c r="S164" i="9"/>
  <c r="T164" i="9"/>
  <c r="U164" i="9"/>
  <c r="V164" i="9"/>
  <c r="W164" i="9"/>
  <c r="X164" i="9"/>
  <c r="Y164" i="9"/>
  <c r="AA164" i="9"/>
  <c r="AB164" i="9"/>
  <c r="AC164" i="9"/>
  <c r="AD164" i="9"/>
  <c r="AE164" i="9"/>
  <c r="AF164" i="9"/>
  <c r="AG164" i="9"/>
  <c r="AH164" i="9"/>
  <c r="AJ164" i="9"/>
  <c r="AK164" i="9"/>
  <c r="AM164" i="9"/>
  <c r="AN164" i="9"/>
  <c r="AO164" i="9"/>
  <c r="AP164" i="9"/>
  <c r="AR164" i="9"/>
  <c r="AS164" i="9"/>
  <c r="AT164" i="9"/>
  <c r="AU164" i="9"/>
  <c r="AV164" i="9"/>
  <c r="AW164" i="9"/>
  <c r="AX164" i="9"/>
  <c r="AY164" i="9"/>
  <c r="AZ164" i="9"/>
  <c r="N165" i="9"/>
  <c r="O165" i="9"/>
  <c r="P165" i="9"/>
  <c r="R165" i="9"/>
  <c r="S165" i="9"/>
  <c r="T165" i="9"/>
  <c r="U165" i="9"/>
  <c r="V165" i="9"/>
  <c r="W165" i="9"/>
  <c r="X165" i="9"/>
  <c r="Y165" i="9"/>
  <c r="AA165" i="9"/>
  <c r="AB165" i="9"/>
  <c r="AC165" i="9"/>
  <c r="AD165" i="9"/>
  <c r="AE165" i="9"/>
  <c r="AF165" i="9"/>
  <c r="AG165" i="9"/>
  <c r="AH165" i="9"/>
  <c r="AJ165" i="9"/>
  <c r="AK165" i="9"/>
  <c r="AM165" i="9"/>
  <c r="AN165" i="9"/>
  <c r="AO165" i="9"/>
  <c r="AP165" i="9"/>
  <c r="AR165" i="9"/>
  <c r="AS165" i="9"/>
  <c r="AT165" i="9"/>
  <c r="AU165" i="9"/>
  <c r="AV165" i="9"/>
  <c r="AW165" i="9"/>
  <c r="AX165" i="9"/>
  <c r="AY165" i="9"/>
  <c r="AZ165" i="9"/>
  <c r="N166" i="9"/>
  <c r="O166" i="9"/>
  <c r="P166" i="9"/>
  <c r="R166" i="9"/>
  <c r="S166" i="9"/>
  <c r="T166" i="9"/>
  <c r="U166" i="9"/>
  <c r="V166" i="9"/>
  <c r="W166" i="9"/>
  <c r="X166" i="9"/>
  <c r="Y166" i="9"/>
  <c r="AA166" i="9"/>
  <c r="AB166" i="9"/>
  <c r="AC166" i="9"/>
  <c r="AD166" i="9"/>
  <c r="AE166" i="9"/>
  <c r="AF166" i="9"/>
  <c r="AG166" i="9"/>
  <c r="AH166" i="9"/>
  <c r="AJ166" i="9"/>
  <c r="AK166" i="9"/>
  <c r="AM166" i="9"/>
  <c r="AN166" i="9"/>
  <c r="AO166" i="9"/>
  <c r="AP166" i="9"/>
  <c r="AR166" i="9"/>
  <c r="AS166" i="9"/>
  <c r="AT166" i="9"/>
  <c r="AU166" i="9"/>
  <c r="AV166" i="9"/>
  <c r="AW166" i="9"/>
  <c r="AX166" i="9"/>
  <c r="AY166" i="9"/>
  <c r="AZ166" i="9"/>
  <c r="N167" i="9"/>
  <c r="O167" i="9"/>
  <c r="P167" i="9"/>
  <c r="R167" i="9"/>
  <c r="S167" i="9"/>
  <c r="T167" i="9"/>
  <c r="U167" i="9"/>
  <c r="V167" i="9"/>
  <c r="W167" i="9"/>
  <c r="X167" i="9"/>
  <c r="Y167" i="9"/>
  <c r="AA167" i="9"/>
  <c r="AB167" i="9"/>
  <c r="AC167" i="9"/>
  <c r="AD167" i="9"/>
  <c r="AE167" i="9"/>
  <c r="AF167" i="9"/>
  <c r="AG167" i="9"/>
  <c r="AH167" i="9"/>
  <c r="AJ167" i="9"/>
  <c r="AK167" i="9"/>
  <c r="AM167" i="9"/>
  <c r="AN167" i="9"/>
  <c r="AO167" i="9"/>
  <c r="AP167" i="9"/>
  <c r="AR167" i="9"/>
  <c r="AS167" i="9"/>
  <c r="AT167" i="9"/>
  <c r="AU167" i="9"/>
  <c r="AV167" i="9"/>
  <c r="AW167" i="9"/>
  <c r="AX167" i="9"/>
  <c r="AY167" i="9"/>
  <c r="AZ167" i="9"/>
  <c r="N168" i="9"/>
  <c r="O168" i="9"/>
  <c r="P168" i="9"/>
  <c r="R168" i="9"/>
  <c r="S168" i="9"/>
  <c r="T168" i="9"/>
  <c r="U168" i="9"/>
  <c r="V168" i="9"/>
  <c r="W168" i="9"/>
  <c r="X168" i="9"/>
  <c r="Y168" i="9"/>
  <c r="AA168" i="9"/>
  <c r="AB168" i="9"/>
  <c r="AC168" i="9"/>
  <c r="AD168" i="9"/>
  <c r="AE168" i="9"/>
  <c r="AF168" i="9"/>
  <c r="AG168" i="9"/>
  <c r="AH168" i="9"/>
  <c r="AJ168" i="9"/>
  <c r="AK168" i="9"/>
  <c r="AM168" i="9"/>
  <c r="AN168" i="9"/>
  <c r="AO168" i="9"/>
  <c r="AP168" i="9"/>
  <c r="AR168" i="9"/>
  <c r="AS168" i="9"/>
  <c r="AT168" i="9"/>
  <c r="AU168" i="9"/>
  <c r="AV168" i="9"/>
  <c r="AW168" i="9"/>
  <c r="AX168" i="9"/>
  <c r="AY168" i="9"/>
  <c r="AZ168" i="9"/>
  <c r="N169" i="9"/>
  <c r="O169" i="9"/>
  <c r="P169" i="9"/>
  <c r="R169" i="9"/>
  <c r="S169" i="9"/>
  <c r="T169" i="9"/>
  <c r="U169" i="9"/>
  <c r="V169" i="9"/>
  <c r="W169" i="9"/>
  <c r="X169" i="9"/>
  <c r="Y169" i="9"/>
  <c r="AA169" i="9"/>
  <c r="AB169" i="9"/>
  <c r="AC169" i="9"/>
  <c r="AD169" i="9"/>
  <c r="AE169" i="9"/>
  <c r="AF169" i="9"/>
  <c r="AG169" i="9"/>
  <c r="AH169" i="9"/>
  <c r="AJ169" i="9"/>
  <c r="AK169" i="9"/>
  <c r="AM169" i="9"/>
  <c r="AN169" i="9"/>
  <c r="AO169" i="9"/>
  <c r="AP169" i="9"/>
  <c r="AR169" i="9"/>
  <c r="AS169" i="9"/>
  <c r="AT169" i="9"/>
  <c r="AU169" i="9"/>
  <c r="AV169" i="9"/>
  <c r="AW169" i="9"/>
  <c r="AX169" i="9"/>
  <c r="AY169" i="9"/>
  <c r="AZ169" i="9"/>
  <c r="N170" i="9"/>
  <c r="O170" i="9"/>
  <c r="P170" i="9"/>
  <c r="R170" i="9"/>
  <c r="S170" i="9"/>
  <c r="T170" i="9"/>
  <c r="U170" i="9"/>
  <c r="V170" i="9"/>
  <c r="W170" i="9"/>
  <c r="X170" i="9"/>
  <c r="Y170" i="9"/>
  <c r="AA170" i="9"/>
  <c r="AB170" i="9"/>
  <c r="AC170" i="9"/>
  <c r="AD170" i="9"/>
  <c r="AE170" i="9"/>
  <c r="AF170" i="9"/>
  <c r="AG170" i="9"/>
  <c r="AH170" i="9"/>
  <c r="AJ170" i="9"/>
  <c r="AK170" i="9"/>
  <c r="AM170" i="9"/>
  <c r="AN170" i="9"/>
  <c r="AO170" i="9"/>
  <c r="AP170" i="9"/>
  <c r="AR170" i="9"/>
  <c r="AS170" i="9"/>
  <c r="AT170" i="9"/>
  <c r="AU170" i="9"/>
  <c r="AV170" i="9"/>
  <c r="AW170" i="9"/>
  <c r="AX170" i="9"/>
  <c r="AY170" i="9"/>
  <c r="AZ170" i="9"/>
  <c r="N171" i="9"/>
  <c r="O171" i="9"/>
  <c r="P171" i="9"/>
  <c r="R171" i="9"/>
  <c r="S171" i="9"/>
  <c r="T171" i="9"/>
  <c r="U171" i="9"/>
  <c r="V171" i="9"/>
  <c r="W171" i="9"/>
  <c r="X171" i="9"/>
  <c r="Y171" i="9"/>
  <c r="AA171" i="9"/>
  <c r="AB171" i="9"/>
  <c r="AC171" i="9"/>
  <c r="AD171" i="9"/>
  <c r="AE171" i="9"/>
  <c r="AF171" i="9"/>
  <c r="AG171" i="9"/>
  <c r="AH171" i="9"/>
  <c r="AJ171" i="9"/>
  <c r="AK171" i="9"/>
  <c r="AM171" i="9"/>
  <c r="AN171" i="9"/>
  <c r="AO171" i="9"/>
  <c r="AP171" i="9"/>
  <c r="AR171" i="9"/>
  <c r="AS171" i="9"/>
  <c r="AT171" i="9"/>
  <c r="AU171" i="9"/>
  <c r="AV171" i="9"/>
  <c r="AW171" i="9"/>
  <c r="AX171" i="9"/>
  <c r="AY171" i="9"/>
  <c r="AZ171" i="9"/>
  <c r="N172" i="9"/>
  <c r="O172" i="9"/>
  <c r="P172" i="9"/>
  <c r="R172" i="9"/>
  <c r="S172" i="9"/>
  <c r="T172" i="9"/>
  <c r="U172" i="9"/>
  <c r="V172" i="9"/>
  <c r="W172" i="9"/>
  <c r="X172" i="9"/>
  <c r="Y172" i="9"/>
  <c r="AA172" i="9"/>
  <c r="AB172" i="9"/>
  <c r="AC172" i="9"/>
  <c r="AD172" i="9"/>
  <c r="AE172" i="9"/>
  <c r="AF172" i="9"/>
  <c r="AG172" i="9"/>
  <c r="AH172" i="9"/>
  <c r="AJ172" i="9"/>
  <c r="AK172" i="9"/>
  <c r="AM172" i="9"/>
  <c r="AN172" i="9"/>
  <c r="AO172" i="9"/>
  <c r="AP172" i="9"/>
  <c r="AR172" i="9"/>
  <c r="AS172" i="9"/>
  <c r="AT172" i="9"/>
  <c r="AU172" i="9"/>
  <c r="AV172" i="9"/>
  <c r="AW172" i="9"/>
  <c r="AX172" i="9"/>
  <c r="AY172" i="9"/>
  <c r="AZ172" i="9"/>
  <c r="N173" i="9"/>
  <c r="O173" i="9"/>
  <c r="P173" i="9"/>
  <c r="R173" i="9"/>
  <c r="S173" i="9"/>
  <c r="T173" i="9"/>
  <c r="U173" i="9"/>
  <c r="V173" i="9"/>
  <c r="W173" i="9"/>
  <c r="X173" i="9"/>
  <c r="Y173" i="9"/>
  <c r="AA173" i="9"/>
  <c r="AB173" i="9"/>
  <c r="AC173" i="9"/>
  <c r="AD173" i="9"/>
  <c r="AE173" i="9"/>
  <c r="AF173" i="9"/>
  <c r="AG173" i="9"/>
  <c r="AH173" i="9"/>
  <c r="AJ173" i="9"/>
  <c r="AK173" i="9"/>
  <c r="AM173" i="9"/>
  <c r="AN173" i="9"/>
  <c r="AO173" i="9"/>
  <c r="AP173" i="9"/>
  <c r="AR173" i="9"/>
  <c r="AS173" i="9"/>
  <c r="AT173" i="9"/>
  <c r="AU173" i="9"/>
  <c r="AV173" i="9"/>
  <c r="AW173" i="9"/>
  <c r="AX173" i="9"/>
  <c r="AY173" i="9"/>
  <c r="AZ173" i="9"/>
  <c r="N174" i="9"/>
  <c r="O174" i="9"/>
  <c r="P174" i="9"/>
  <c r="R174" i="9"/>
  <c r="S174" i="9"/>
  <c r="T174" i="9"/>
  <c r="U174" i="9"/>
  <c r="V174" i="9"/>
  <c r="W174" i="9"/>
  <c r="X174" i="9"/>
  <c r="Y174" i="9"/>
  <c r="AA174" i="9"/>
  <c r="AB174" i="9"/>
  <c r="AC174" i="9"/>
  <c r="AD174" i="9"/>
  <c r="AE174" i="9"/>
  <c r="AF174" i="9"/>
  <c r="AG174" i="9"/>
  <c r="AH174" i="9"/>
  <c r="AJ174" i="9"/>
  <c r="AK174" i="9"/>
  <c r="AM174" i="9"/>
  <c r="AN174" i="9"/>
  <c r="AO174" i="9"/>
  <c r="AP174" i="9"/>
  <c r="AR174" i="9"/>
  <c r="AS174" i="9"/>
  <c r="AT174" i="9"/>
  <c r="AU174" i="9"/>
  <c r="AV174" i="9"/>
  <c r="AW174" i="9"/>
  <c r="AX174" i="9"/>
  <c r="AY174" i="9"/>
  <c r="AZ174" i="9"/>
  <c r="N175" i="9"/>
  <c r="O175" i="9"/>
  <c r="P175" i="9"/>
  <c r="R175" i="9"/>
  <c r="S175" i="9"/>
  <c r="T175" i="9"/>
  <c r="U175" i="9"/>
  <c r="V175" i="9"/>
  <c r="W175" i="9"/>
  <c r="X175" i="9"/>
  <c r="Y175" i="9"/>
  <c r="AA175" i="9"/>
  <c r="AB175" i="9"/>
  <c r="AC175" i="9"/>
  <c r="AD175" i="9"/>
  <c r="AE175" i="9"/>
  <c r="AF175" i="9"/>
  <c r="AG175" i="9"/>
  <c r="AH175" i="9"/>
  <c r="AJ175" i="9"/>
  <c r="AK175" i="9"/>
  <c r="AM175" i="9"/>
  <c r="AN175" i="9"/>
  <c r="AO175" i="9"/>
  <c r="AP175" i="9"/>
  <c r="AR175" i="9"/>
  <c r="AS175" i="9"/>
  <c r="AT175" i="9"/>
  <c r="AU175" i="9"/>
  <c r="AV175" i="9"/>
  <c r="AW175" i="9"/>
  <c r="AX175" i="9"/>
  <c r="AY175" i="9"/>
  <c r="AZ175" i="9"/>
  <c r="N176" i="9"/>
  <c r="O176" i="9"/>
  <c r="P176" i="9"/>
  <c r="R176" i="9"/>
  <c r="S176" i="9"/>
  <c r="T176" i="9"/>
  <c r="U176" i="9"/>
  <c r="V176" i="9"/>
  <c r="W176" i="9"/>
  <c r="X176" i="9"/>
  <c r="Y176" i="9"/>
  <c r="AA176" i="9"/>
  <c r="AB176" i="9"/>
  <c r="AC176" i="9"/>
  <c r="AD176" i="9"/>
  <c r="AE176" i="9"/>
  <c r="AF176" i="9"/>
  <c r="AG176" i="9"/>
  <c r="AH176" i="9"/>
  <c r="AJ176" i="9"/>
  <c r="AK176" i="9"/>
  <c r="AM176" i="9"/>
  <c r="AN176" i="9"/>
  <c r="AO176" i="9"/>
  <c r="AP176" i="9"/>
  <c r="AR176" i="9"/>
  <c r="AS176" i="9"/>
  <c r="AT176" i="9"/>
  <c r="AU176" i="9"/>
  <c r="AV176" i="9"/>
  <c r="AW176" i="9"/>
  <c r="AX176" i="9"/>
  <c r="AY176" i="9"/>
  <c r="AZ176" i="9"/>
  <c r="N177" i="9"/>
  <c r="O177" i="9"/>
  <c r="P177" i="9"/>
  <c r="R177" i="9"/>
  <c r="S177" i="9"/>
  <c r="T177" i="9"/>
  <c r="U177" i="9"/>
  <c r="V177" i="9"/>
  <c r="W177" i="9"/>
  <c r="X177" i="9"/>
  <c r="Y177" i="9"/>
  <c r="AA177" i="9"/>
  <c r="AB177" i="9"/>
  <c r="AC177" i="9"/>
  <c r="AD177" i="9"/>
  <c r="AE177" i="9"/>
  <c r="AF177" i="9"/>
  <c r="AG177" i="9"/>
  <c r="AH177" i="9"/>
  <c r="AJ177" i="9"/>
  <c r="AK177" i="9"/>
  <c r="AM177" i="9"/>
  <c r="AN177" i="9"/>
  <c r="AO177" i="9"/>
  <c r="AP177" i="9"/>
  <c r="AR177" i="9"/>
  <c r="AS177" i="9"/>
  <c r="AT177" i="9"/>
  <c r="AU177" i="9"/>
  <c r="AV177" i="9"/>
  <c r="AW177" i="9"/>
  <c r="AX177" i="9"/>
  <c r="AY177" i="9"/>
  <c r="AZ177" i="9"/>
  <c r="N178" i="9"/>
  <c r="O178" i="9"/>
  <c r="P178" i="9"/>
  <c r="R178" i="9"/>
  <c r="S178" i="9"/>
  <c r="T178" i="9"/>
  <c r="U178" i="9"/>
  <c r="V178" i="9"/>
  <c r="W178" i="9"/>
  <c r="X178" i="9"/>
  <c r="Y178" i="9"/>
  <c r="AA178" i="9"/>
  <c r="AB178" i="9"/>
  <c r="AC178" i="9"/>
  <c r="AD178" i="9"/>
  <c r="AE178" i="9"/>
  <c r="AF178" i="9"/>
  <c r="AG178" i="9"/>
  <c r="AH178" i="9"/>
  <c r="AJ178" i="9"/>
  <c r="AK178" i="9"/>
  <c r="AM178" i="9"/>
  <c r="AN178" i="9"/>
  <c r="AO178" i="9"/>
  <c r="AP178" i="9"/>
  <c r="AR178" i="9"/>
  <c r="AS178" i="9"/>
  <c r="AT178" i="9"/>
  <c r="AU178" i="9"/>
  <c r="AV178" i="9"/>
  <c r="AW178" i="9"/>
  <c r="AX178" i="9"/>
  <c r="AY178" i="9"/>
  <c r="AZ178" i="9"/>
  <c r="N179" i="9"/>
  <c r="O179" i="9"/>
  <c r="P179" i="9"/>
  <c r="R179" i="9"/>
  <c r="S179" i="9"/>
  <c r="T179" i="9"/>
  <c r="U179" i="9"/>
  <c r="V179" i="9"/>
  <c r="W179" i="9"/>
  <c r="X179" i="9"/>
  <c r="Y179" i="9"/>
  <c r="AA179" i="9"/>
  <c r="AB179" i="9"/>
  <c r="AC179" i="9"/>
  <c r="AD179" i="9"/>
  <c r="AE179" i="9"/>
  <c r="AF179" i="9"/>
  <c r="AG179" i="9"/>
  <c r="AH179" i="9"/>
  <c r="AJ179" i="9"/>
  <c r="AK179" i="9"/>
  <c r="AM179" i="9"/>
  <c r="AN179" i="9"/>
  <c r="AO179" i="9"/>
  <c r="AP179" i="9"/>
  <c r="AR179" i="9"/>
  <c r="AS179" i="9"/>
  <c r="AT179" i="9"/>
  <c r="AU179" i="9"/>
  <c r="AV179" i="9"/>
  <c r="AW179" i="9"/>
  <c r="AX179" i="9"/>
  <c r="AY179" i="9"/>
  <c r="AZ179" i="9"/>
  <c r="N180" i="9"/>
  <c r="O180" i="9"/>
  <c r="P180" i="9"/>
  <c r="R180" i="9"/>
  <c r="S180" i="9"/>
  <c r="T180" i="9"/>
  <c r="U180" i="9"/>
  <c r="V180" i="9"/>
  <c r="W180" i="9"/>
  <c r="X180" i="9"/>
  <c r="Y180" i="9"/>
  <c r="AA180" i="9"/>
  <c r="AB180" i="9"/>
  <c r="AC180" i="9"/>
  <c r="AD180" i="9"/>
  <c r="AE180" i="9"/>
  <c r="AF180" i="9"/>
  <c r="AG180" i="9"/>
  <c r="AH180" i="9"/>
  <c r="AJ180" i="9"/>
  <c r="AK180" i="9"/>
  <c r="AM180" i="9"/>
  <c r="AN180" i="9"/>
  <c r="AO180" i="9"/>
  <c r="AP180" i="9"/>
  <c r="AR180" i="9"/>
  <c r="AS180" i="9"/>
  <c r="AT180" i="9"/>
  <c r="AU180" i="9"/>
  <c r="AV180" i="9"/>
  <c r="AW180" i="9"/>
  <c r="AX180" i="9"/>
  <c r="AY180" i="9"/>
  <c r="AZ180" i="9"/>
  <c r="N181" i="9"/>
  <c r="O181" i="9"/>
  <c r="P181" i="9"/>
  <c r="R181" i="9"/>
  <c r="S181" i="9"/>
  <c r="T181" i="9"/>
  <c r="U181" i="9"/>
  <c r="V181" i="9"/>
  <c r="W181" i="9"/>
  <c r="X181" i="9"/>
  <c r="Y181" i="9"/>
  <c r="AA181" i="9"/>
  <c r="AB181" i="9"/>
  <c r="AC181" i="9"/>
  <c r="AD181" i="9"/>
  <c r="AE181" i="9"/>
  <c r="AF181" i="9"/>
  <c r="AG181" i="9"/>
  <c r="AH181" i="9"/>
  <c r="AJ181" i="9"/>
  <c r="AK181" i="9"/>
  <c r="AM181" i="9"/>
  <c r="AN181" i="9"/>
  <c r="AO181" i="9"/>
  <c r="AP181" i="9"/>
  <c r="AR181" i="9"/>
  <c r="AS181" i="9"/>
  <c r="AT181" i="9"/>
  <c r="AU181" i="9"/>
  <c r="AV181" i="9"/>
  <c r="AW181" i="9"/>
  <c r="AX181" i="9"/>
  <c r="AY181" i="9"/>
  <c r="AZ181" i="9"/>
  <c r="N182" i="9"/>
  <c r="O182" i="9"/>
  <c r="P182" i="9"/>
  <c r="R182" i="9"/>
  <c r="S182" i="9"/>
  <c r="T182" i="9"/>
  <c r="U182" i="9"/>
  <c r="V182" i="9"/>
  <c r="W182" i="9"/>
  <c r="X182" i="9"/>
  <c r="Y182" i="9"/>
  <c r="AA182" i="9"/>
  <c r="AB182" i="9"/>
  <c r="AC182" i="9"/>
  <c r="AD182" i="9"/>
  <c r="AE182" i="9"/>
  <c r="AF182" i="9"/>
  <c r="AG182" i="9"/>
  <c r="AH182" i="9"/>
  <c r="AJ182" i="9"/>
  <c r="AK182" i="9"/>
  <c r="AM182" i="9"/>
  <c r="AN182" i="9"/>
  <c r="AO182" i="9"/>
  <c r="AP182" i="9"/>
  <c r="AR182" i="9"/>
  <c r="AS182" i="9"/>
  <c r="AT182" i="9"/>
  <c r="AU182" i="9"/>
  <c r="AV182" i="9"/>
  <c r="AW182" i="9"/>
  <c r="AX182" i="9"/>
  <c r="AY182" i="9"/>
  <c r="AZ182" i="9"/>
  <c r="N183" i="9"/>
  <c r="O183" i="9"/>
  <c r="P183" i="9"/>
  <c r="R183" i="9"/>
  <c r="S183" i="9"/>
  <c r="T183" i="9"/>
  <c r="U183" i="9"/>
  <c r="V183" i="9"/>
  <c r="W183" i="9"/>
  <c r="X183" i="9"/>
  <c r="Y183" i="9"/>
  <c r="AA183" i="9"/>
  <c r="AB183" i="9"/>
  <c r="AC183" i="9"/>
  <c r="AD183" i="9"/>
  <c r="AE183" i="9"/>
  <c r="AF183" i="9"/>
  <c r="AG183" i="9"/>
  <c r="AH183" i="9"/>
  <c r="AJ183" i="9"/>
  <c r="AK183" i="9"/>
  <c r="AM183" i="9"/>
  <c r="AN183" i="9"/>
  <c r="AO183" i="9"/>
  <c r="AP183" i="9"/>
  <c r="AR183" i="9"/>
  <c r="AS183" i="9"/>
  <c r="AT183" i="9"/>
  <c r="AU183" i="9"/>
  <c r="AV183" i="9"/>
  <c r="AW183" i="9"/>
  <c r="AX183" i="9"/>
  <c r="AY183" i="9"/>
  <c r="AZ183" i="9"/>
  <c r="N184" i="9"/>
  <c r="O184" i="9"/>
  <c r="P184" i="9"/>
  <c r="R184" i="9"/>
  <c r="S184" i="9"/>
  <c r="T184" i="9"/>
  <c r="U184" i="9"/>
  <c r="V184" i="9"/>
  <c r="W184" i="9"/>
  <c r="X184" i="9"/>
  <c r="Y184" i="9"/>
  <c r="AA184" i="9"/>
  <c r="AB184" i="9"/>
  <c r="AC184" i="9"/>
  <c r="AD184" i="9"/>
  <c r="AE184" i="9"/>
  <c r="AF184" i="9"/>
  <c r="AG184" i="9"/>
  <c r="AH184" i="9"/>
  <c r="AJ184" i="9"/>
  <c r="AK184" i="9"/>
  <c r="AM184" i="9"/>
  <c r="AN184" i="9"/>
  <c r="AO184" i="9"/>
  <c r="AP184" i="9"/>
  <c r="AR184" i="9"/>
  <c r="AS184" i="9"/>
  <c r="AT184" i="9"/>
  <c r="AU184" i="9"/>
  <c r="AV184" i="9"/>
  <c r="AW184" i="9"/>
  <c r="AX184" i="9"/>
  <c r="AY184" i="9"/>
  <c r="AZ184" i="9"/>
  <c r="N185" i="9"/>
  <c r="O185" i="9"/>
  <c r="P185" i="9"/>
  <c r="R185" i="9"/>
  <c r="S185" i="9"/>
  <c r="T185" i="9"/>
  <c r="U185" i="9"/>
  <c r="V185" i="9"/>
  <c r="W185" i="9"/>
  <c r="X185" i="9"/>
  <c r="Y185" i="9"/>
  <c r="AA185" i="9"/>
  <c r="AB185" i="9"/>
  <c r="AC185" i="9"/>
  <c r="AD185" i="9"/>
  <c r="AE185" i="9"/>
  <c r="AF185" i="9"/>
  <c r="AG185" i="9"/>
  <c r="AH185" i="9"/>
  <c r="AJ185" i="9"/>
  <c r="AK185" i="9"/>
  <c r="AM185" i="9"/>
  <c r="AN185" i="9"/>
  <c r="AO185" i="9"/>
  <c r="AP185" i="9"/>
  <c r="AR185" i="9"/>
  <c r="AS185" i="9"/>
  <c r="AT185" i="9"/>
  <c r="AU185" i="9"/>
  <c r="AV185" i="9"/>
  <c r="AW185" i="9"/>
  <c r="AX185" i="9"/>
  <c r="AY185" i="9"/>
  <c r="AZ185" i="9"/>
  <c r="N186" i="9"/>
  <c r="O186" i="9"/>
  <c r="P186" i="9"/>
  <c r="R186" i="9"/>
  <c r="S186" i="9"/>
  <c r="T186" i="9"/>
  <c r="U186" i="9"/>
  <c r="V186" i="9"/>
  <c r="W186" i="9"/>
  <c r="X186" i="9"/>
  <c r="Y186" i="9"/>
  <c r="AA186" i="9"/>
  <c r="AB186" i="9"/>
  <c r="AC186" i="9"/>
  <c r="AD186" i="9"/>
  <c r="AE186" i="9"/>
  <c r="AF186" i="9"/>
  <c r="AG186" i="9"/>
  <c r="AH186" i="9"/>
  <c r="AJ186" i="9"/>
  <c r="AK186" i="9"/>
  <c r="AM186" i="9"/>
  <c r="AN186" i="9"/>
  <c r="AO186" i="9"/>
  <c r="AP186" i="9"/>
  <c r="AR186" i="9"/>
  <c r="AS186" i="9"/>
  <c r="AT186" i="9"/>
  <c r="AU186" i="9"/>
  <c r="AV186" i="9"/>
  <c r="AW186" i="9"/>
  <c r="AX186" i="9"/>
  <c r="AY186" i="9"/>
  <c r="AZ186" i="9"/>
  <c r="N187" i="9"/>
  <c r="O187" i="9"/>
  <c r="P187" i="9"/>
  <c r="R187" i="9"/>
  <c r="S187" i="9"/>
  <c r="T187" i="9"/>
  <c r="U187" i="9"/>
  <c r="V187" i="9"/>
  <c r="W187" i="9"/>
  <c r="X187" i="9"/>
  <c r="Y187" i="9"/>
  <c r="AA187" i="9"/>
  <c r="AB187" i="9"/>
  <c r="AC187" i="9"/>
  <c r="AD187" i="9"/>
  <c r="AE187" i="9"/>
  <c r="AF187" i="9"/>
  <c r="AG187" i="9"/>
  <c r="AH187" i="9"/>
  <c r="AJ187" i="9"/>
  <c r="AK187" i="9"/>
  <c r="AM187" i="9"/>
  <c r="AN187" i="9"/>
  <c r="AO187" i="9"/>
  <c r="AP187" i="9"/>
  <c r="AR187" i="9"/>
  <c r="AS187" i="9"/>
  <c r="AT187" i="9"/>
  <c r="AU187" i="9"/>
  <c r="AV187" i="9"/>
  <c r="AW187" i="9"/>
  <c r="AX187" i="9"/>
  <c r="AY187" i="9"/>
  <c r="AZ187" i="9"/>
  <c r="N188" i="9"/>
  <c r="O188" i="9"/>
  <c r="P188" i="9"/>
  <c r="R188" i="9"/>
  <c r="S188" i="9"/>
  <c r="T188" i="9"/>
  <c r="U188" i="9"/>
  <c r="V188" i="9"/>
  <c r="W188" i="9"/>
  <c r="X188" i="9"/>
  <c r="Y188" i="9"/>
  <c r="AA188" i="9"/>
  <c r="AB188" i="9"/>
  <c r="AC188" i="9"/>
  <c r="AD188" i="9"/>
  <c r="AE188" i="9"/>
  <c r="AF188" i="9"/>
  <c r="AG188" i="9"/>
  <c r="AH188" i="9"/>
  <c r="AJ188" i="9"/>
  <c r="AK188" i="9"/>
  <c r="AM188" i="9"/>
  <c r="AN188" i="9"/>
  <c r="AO188" i="9"/>
  <c r="AP188" i="9"/>
  <c r="AR188" i="9"/>
  <c r="AS188" i="9"/>
  <c r="AT188" i="9"/>
  <c r="AU188" i="9"/>
  <c r="AV188" i="9"/>
  <c r="AW188" i="9"/>
  <c r="AX188" i="9"/>
  <c r="AY188" i="9"/>
  <c r="AZ188" i="9"/>
  <c r="N189" i="9"/>
  <c r="O189" i="9"/>
  <c r="P189" i="9"/>
  <c r="R189" i="9"/>
  <c r="S189" i="9"/>
  <c r="T189" i="9"/>
  <c r="U189" i="9"/>
  <c r="V189" i="9"/>
  <c r="W189" i="9"/>
  <c r="X189" i="9"/>
  <c r="Y189" i="9"/>
  <c r="AA189" i="9"/>
  <c r="AB189" i="9"/>
  <c r="AC189" i="9"/>
  <c r="AD189" i="9"/>
  <c r="AE189" i="9"/>
  <c r="AF189" i="9"/>
  <c r="AG189" i="9"/>
  <c r="AH189" i="9"/>
  <c r="AJ189" i="9"/>
  <c r="AK189" i="9"/>
  <c r="AM189" i="9"/>
  <c r="AN189" i="9"/>
  <c r="AO189" i="9"/>
  <c r="AP189" i="9"/>
  <c r="AR189" i="9"/>
  <c r="AS189" i="9"/>
  <c r="AT189" i="9"/>
  <c r="AU189" i="9"/>
  <c r="AV189" i="9"/>
  <c r="AW189" i="9"/>
  <c r="AX189" i="9"/>
  <c r="AY189" i="9"/>
  <c r="AZ189" i="9"/>
  <c r="N190" i="9"/>
  <c r="O190" i="9"/>
  <c r="P190" i="9"/>
  <c r="R190" i="9"/>
  <c r="S190" i="9"/>
  <c r="T190" i="9"/>
  <c r="U190" i="9"/>
  <c r="V190" i="9"/>
  <c r="W190" i="9"/>
  <c r="X190" i="9"/>
  <c r="Y190" i="9"/>
  <c r="AA190" i="9"/>
  <c r="AB190" i="9"/>
  <c r="AC190" i="9"/>
  <c r="AD190" i="9"/>
  <c r="AE190" i="9"/>
  <c r="AF190" i="9"/>
  <c r="AG190" i="9"/>
  <c r="AH190" i="9"/>
  <c r="AJ190" i="9"/>
  <c r="AK190" i="9"/>
  <c r="AM190" i="9"/>
  <c r="AN190" i="9"/>
  <c r="AO190" i="9"/>
  <c r="AP190" i="9"/>
  <c r="AR190" i="9"/>
  <c r="AS190" i="9"/>
  <c r="AT190" i="9"/>
  <c r="AU190" i="9"/>
  <c r="AV190" i="9"/>
  <c r="AW190" i="9"/>
  <c r="AX190" i="9"/>
  <c r="AY190" i="9"/>
  <c r="AZ190" i="9"/>
  <c r="N191" i="9"/>
  <c r="O191" i="9"/>
  <c r="P191" i="9"/>
  <c r="R191" i="9"/>
  <c r="S191" i="9"/>
  <c r="T191" i="9"/>
  <c r="U191" i="9"/>
  <c r="V191" i="9"/>
  <c r="W191" i="9"/>
  <c r="X191" i="9"/>
  <c r="Y191" i="9"/>
  <c r="AA191" i="9"/>
  <c r="AB191" i="9"/>
  <c r="AC191" i="9"/>
  <c r="AD191" i="9"/>
  <c r="AE191" i="9"/>
  <c r="AF191" i="9"/>
  <c r="AG191" i="9"/>
  <c r="AH191" i="9"/>
  <c r="AJ191" i="9"/>
  <c r="AK191" i="9"/>
  <c r="AM191" i="9"/>
  <c r="AN191" i="9"/>
  <c r="AO191" i="9"/>
  <c r="AP191" i="9"/>
  <c r="AR191" i="9"/>
  <c r="AS191" i="9"/>
  <c r="AT191" i="9"/>
  <c r="AU191" i="9"/>
  <c r="AV191" i="9"/>
  <c r="AW191" i="9"/>
  <c r="AX191" i="9"/>
  <c r="AY191" i="9"/>
  <c r="AZ191" i="9"/>
  <c r="N192" i="9"/>
  <c r="O192" i="9"/>
  <c r="P192" i="9"/>
  <c r="R192" i="9"/>
  <c r="S192" i="9"/>
  <c r="T192" i="9"/>
  <c r="U192" i="9"/>
  <c r="V192" i="9"/>
  <c r="W192" i="9"/>
  <c r="X192" i="9"/>
  <c r="Y192" i="9"/>
  <c r="AA192" i="9"/>
  <c r="AB192" i="9"/>
  <c r="AC192" i="9"/>
  <c r="AD192" i="9"/>
  <c r="AE192" i="9"/>
  <c r="AF192" i="9"/>
  <c r="AG192" i="9"/>
  <c r="AH192" i="9"/>
  <c r="AJ192" i="9"/>
  <c r="AK192" i="9"/>
  <c r="AM192" i="9"/>
  <c r="AN192" i="9"/>
  <c r="AO192" i="9"/>
  <c r="AP192" i="9"/>
  <c r="AR192" i="9"/>
  <c r="AS192" i="9"/>
  <c r="AT192" i="9"/>
  <c r="AU192" i="9"/>
  <c r="AV192" i="9"/>
  <c r="AW192" i="9"/>
  <c r="AX192" i="9"/>
  <c r="AY192" i="9"/>
  <c r="AZ192" i="9"/>
  <c r="N193" i="9"/>
  <c r="O193" i="9"/>
  <c r="P193" i="9"/>
  <c r="R193" i="9"/>
  <c r="S193" i="9"/>
  <c r="T193" i="9"/>
  <c r="U193" i="9"/>
  <c r="V193" i="9"/>
  <c r="W193" i="9"/>
  <c r="X193" i="9"/>
  <c r="Y193" i="9"/>
  <c r="AA193" i="9"/>
  <c r="AB193" i="9"/>
  <c r="AC193" i="9"/>
  <c r="AD193" i="9"/>
  <c r="AE193" i="9"/>
  <c r="AF193" i="9"/>
  <c r="AG193" i="9"/>
  <c r="AH193" i="9"/>
  <c r="AJ193" i="9"/>
  <c r="AK193" i="9"/>
  <c r="AM193" i="9"/>
  <c r="AN193" i="9"/>
  <c r="AO193" i="9"/>
  <c r="AP193" i="9"/>
  <c r="AR193" i="9"/>
  <c r="AS193" i="9"/>
  <c r="AT193" i="9"/>
  <c r="AU193" i="9"/>
  <c r="AV193" i="9"/>
  <c r="AW193" i="9"/>
  <c r="AX193" i="9"/>
  <c r="AY193" i="9"/>
  <c r="AZ193" i="9"/>
  <c r="N194" i="9"/>
  <c r="O194" i="9"/>
  <c r="P194" i="9"/>
  <c r="R194" i="9"/>
  <c r="S194" i="9"/>
  <c r="T194" i="9"/>
  <c r="U194" i="9"/>
  <c r="V194" i="9"/>
  <c r="W194" i="9"/>
  <c r="X194" i="9"/>
  <c r="Y194" i="9"/>
  <c r="AA194" i="9"/>
  <c r="AB194" i="9"/>
  <c r="AC194" i="9"/>
  <c r="AD194" i="9"/>
  <c r="AE194" i="9"/>
  <c r="AF194" i="9"/>
  <c r="AG194" i="9"/>
  <c r="AH194" i="9"/>
  <c r="AJ194" i="9"/>
  <c r="AK194" i="9"/>
  <c r="AM194" i="9"/>
  <c r="AN194" i="9"/>
  <c r="AO194" i="9"/>
  <c r="AP194" i="9"/>
  <c r="AR194" i="9"/>
  <c r="AS194" i="9"/>
  <c r="AT194" i="9"/>
  <c r="AU194" i="9"/>
  <c r="AV194" i="9"/>
  <c r="AW194" i="9"/>
  <c r="AX194" i="9"/>
  <c r="AY194" i="9"/>
  <c r="AZ194" i="9"/>
  <c r="N195" i="9"/>
  <c r="O195" i="9"/>
  <c r="P195" i="9"/>
  <c r="R195" i="9"/>
  <c r="S195" i="9"/>
  <c r="T195" i="9"/>
  <c r="U195" i="9"/>
  <c r="V195" i="9"/>
  <c r="W195" i="9"/>
  <c r="X195" i="9"/>
  <c r="Y195" i="9"/>
  <c r="AA195" i="9"/>
  <c r="AB195" i="9"/>
  <c r="AC195" i="9"/>
  <c r="AD195" i="9"/>
  <c r="AE195" i="9"/>
  <c r="AF195" i="9"/>
  <c r="AG195" i="9"/>
  <c r="AH195" i="9"/>
  <c r="AJ195" i="9"/>
  <c r="AK195" i="9"/>
  <c r="AM195" i="9"/>
  <c r="AN195" i="9"/>
  <c r="AO195" i="9"/>
  <c r="AP195" i="9"/>
  <c r="AR195" i="9"/>
  <c r="AS195" i="9"/>
  <c r="AT195" i="9"/>
  <c r="AU195" i="9"/>
  <c r="AV195" i="9"/>
  <c r="AW195" i="9"/>
  <c r="AX195" i="9"/>
  <c r="AY195" i="9"/>
  <c r="AZ195" i="9"/>
  <c r="N196" i="9"/>
  <c r="O196" i="9"/>
  <c r="P196" i="9"/>
  <c r="R196" i="9"/>
  <c r="S196" i="9"/>
  <c r="T196" i="9"/>
  <c r="U196" i="9"/>
  <c r="V196" i="9"/>
  <c r="W196" i="9"/>
  <c r="X196" i="9"/>
  <c r="Y196" i="9"/>
  <c r="AA196" i="9"/>
  <c r="AB196" i="9"/>
  <c r="AC196" i="9"/>
  <c r="AD196" i="9"/>
  <c r="AE196" i="9"/>
  <c r="AF196" i="9"/>
  <c r="AG196" i="9"/>
  <c r="AH196" i="9"/>
  <c r="AJ196" i="9"/>
  <c r="AK196" i="9"/>
  <c r="AM196" i="9"/>
  <c r="AN196" i="9"/>
  <c r="AO196" i="9"/>
  <c r="AP196" i="9"/>
  <c r="AR196" i="9"/>
  <c r="AS196" i="9"/>
  <c r="AT196" i="9"/>
  <c r="AU196" i="9"/>
  <c r="AV196" i="9"/>
  <c r="AW196" i="9"/>
  <c r="AX196" i="9"/>
  <c r="AY196" i="9"/>
  <c r="AZ196" i="9"/>
  <c r="N197" i="9"/>
  <c r="O197" i="9"/>
  <c r="P197" i="9"/>
  <c r="R197" i="9"/>
  <c r="S197" i="9"/>
  <c r="T197" i="9"/>
  <c r="U197" i="9"/>
  <c r="V197" i="9"/>
  <c r="W197" i="9"/>
  <c r="X197" i="9"/>
  <c r="Y197" i="9"/>
  <c r="AA197" i="9"/>
  <c r="AB197" i="9"/>
  <c r="AC197" i="9"/>
  <c r="AD197" i="9"/>
  <c r="AE197" i="9"/>
  <c r="AF197" i="9"/>
  <c r="AG197" i="9"/>
  <c r="AH197" i="9"/>
  <c r="AJ197" i="9"/>
  <c r="AK197" i="9"/>
  <c r="AM197" i="9"/>
  <c r="AN197" i="9"/>
  <c r="AO197" i="9"/>
  <c r="AP197" i="9"/>
  <c r="AR197" i="9"/>
  <c r="AS197" i="9"/>
  <c r="AT197" i="9"/>
  <c r="AU197" i="9"/>
  <c r="AV197" i="9"/>
  <c r="AW197" i="9"/>
  <c r="AX197" i="9"/>
  <c r="AY197" i="9"/>
  <c r="AZ197" i="9"/>
  <c r="N198" i="9"/>
  <c r="O198" i="9"/>
  <c r="P198" i="9"/>
  <c r="R198" i="9"/>
  <c r="S198" i="9"/>
  <c r="T198" i="9"/>
  <c r="U198" i="9"/>
  <c r="V198" i="9"/>
  <c r="W198" i="9"/>
  <c r="X198" i="9"/>
  <c r="Y198" i="9"/>
  <c r="AA198" i="9"/>
  <c r="AB198" i="9"/>
  <c r="AC198" i="9"/>
  <c r="AD198" i="9"/>
  <c r="AE198" i="9"/>
  <c r="AF198" i="9"/>
  <c r="AG198" i="9"/>
  <c r="AH198" i="9"/>
  <c r="AJ198" i="9"/>
  <c r="AK198" i="9"/>
  <c r="AM198" i="9"/>
  <c r="AN198" i="9"/>
  <c r="AO198" i="9"/>
  <c r="AP198" i="9"/>
  <c r="AR198" i="9"/>
  <c r="AS198" i="9"/>
  <c r="AT198" i="9"/>
  <c r="AU198" i="9"/>
  <c r="AV198" i="9"/>
  <c r="AW198" i="9"/>
  <c r="AX198" i="9"/>
  <c r="AY198" i="9"/>
  <c r="AZ198" i="9"/>
  <c r="N199" i="9"/>
  <c r="O199" i="9"/>
  <c r="P199" i="9"/>
  <c r="R199" i="9"/>
  <c r="S199" i="9"/>
  <c r="T199" i="9"/>
  <c r="U199" i="9"/>
  <c r="V199" i="9"/>
  <c r="W199" i="9"/>
  <c r="X199" i="9"/>
  <c r="Y199" i="9"/>
  <c r="AA199" i="9"/>
  <c r="AB199" i="9"/>
  <c r="AC199" i="9"/>
  <c r="AD199" i="9"/>
  <c r="AE199" i="9"/>
  <c r="AF199" i="9"/>
  <c r="AG199" i="9"/>
  <c r="AH199" i="9"/>
  <c r="AJ199" i="9"/>
  <c r="AK199" i="9"/>
  <c r="AM199" i="9"/>
  <c r="AN199" i="9"/>
  <c r="AO199" i="9"/>
  <c r="AP199" i="9"/>
  <c r="AR199" i="9"/>
  <c r="AS199" i="9"/>
  <c r="AT199" i="9"/>
  <c r="AU199" i="9"/>
  <c r="AV199" i="9"/>
  <c r="AW199" i="9"/>
  <c r="AX199" i="9"/>
  <c r="AY199" i="9"/>
  <c r="AZ199" i="9"/>
  <c r="N200" i="9"/>
  <c r="O200" i="9"/>
  <c r="P200" i="9"/>
  <c r="R200" i="9"/>
  <c r="S200" i="9"/>
  <c r="T200" i="9"/>
  <c r="U200" i="9"/>
  <c r="V200" i="9"/>
  <c r="W200" i="9"/>
  <c r="X200" i="9"/>
  <c r="Y200" i="9"/>
  <c r="AA200" i="9"/>
  <c r="AB200" i="9"/>
  <c r="AC200" i="9"/>
  <c r="AD200" i="9"/>
  <c r="AE200" i="9"/>
  <c r="AF200" i="9"/>
  <c r="AG200" i="9"/>
  <c r="AH200" i="9"/>
  <c r="AJ200" i="9"/>
  <c r="AK200" i="9"/>
  <c r="AM200" i="9"/>
  <c r="AN200" i="9"/>
  <c r="AO200" i="9"/>
  <c r="AP200" i="9"/>
  <c r="AR200" i="9"/>
  <c r="AS200" i="9"/>
  <c r="AT200" i="9"/>
  <c r="AU200" i="9"/>
  <c r="AV200" i="9"/>
  <c r="AW200" i="9"/>
  <c r="AX200" i="9"/>
  <c r="AY200" i="9"/>
  <c r="AZ200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B3" i="9" a="1"/>
  <c r="AQ11" i="9" l="1"/>
  <c r="AQ19" i="9"/>
  <c r="AQ27" i="9"/>
  <c r="AQ35" i="9"/>
  <c r="AQ43" i="9"/>
  <c r="AQ51" i="9"/>
  <c r="AQ59" i="9"/>
  <c r="AQ67" i="9"/>
  <c r="AQ75" i="9"/>
  <c r="AQ83" i="9"/>
  <c r="AQ91" i="9"/>
  <c r="AQ99" i="9"/>
  <c r="AQ107" i="9"/>
  <c r="AL99" i="9"/>
  <c r="AL107" i="9"/>
  <c r="AQ77" i="9"/>
  <c r="AQ93" i="9"/>
  <c r="AQ109" i="9"/>
  <c r="AQ88" i="9"/>
  <c r="AL112" i="9"/>
  <c r="AQ33" i="9"/>
  <c r="AQ89" i="9"/>
  <c r="AL113" i="9"/>
  <c r="AQ26" i="9"/>
  <c r="AQ74" i="9"/>
  <c r="AQ106" i="9"/>
  <c r="AQ12" i="9"/>
  <c r="AQ20" i="9"/>
  <c r="AQ28" i="9"/>
  <c r="AQ36" i="9"/>
  <c r="AQ44" i="9"/>
  <c r="AQ52" i="9"/>
  <c r="AQ60" i="9"/>
  <c r="AQ68" i="9"/>
  <c r="AQ76" i="9"/>
  <c r="AQ84" i="9"/>
  <c r="AQ92" i="9"/>
  <c r="AQ100" i="9"/>
  <c r="AQ108" i="9"/>
  <c r="AL100" i="9"/>
  <c r="AL108" i="9"/>
  <c r="AQ69" i="9"/>
  <c r="AQ101" i="9"/>
  <c r="AL109" i="9"/>
  <c r="AQ96" i="9"/>
  <c r="AQ25" i="9"/>
  <c r="AQ81" i="9"/>
  <c r="AL105" i="9"/>
  <c r="AQ34" i="9"/>
  <c r="AQ66" i="9"/>
  <c r="AL106" i="9"/>
  <c r="AQ13" i="9"/>
  <c r="AQ21" i="9"/>
  <c r="AQ29" i="9"/>
  <c r="AQ37" i="9"/>
  <c r="AQ45" i="9"/>
  <c r="AQ53" i="9"/>
  <c r="AQ61" i="9"/>
  <c r="AQ85" i="9"/>
  <c r="AL101" i="9"/>
  <c r="AQ41" i="9"/>
  <c r="AQ42" i="9"/>
  <c r="AQ98" i="9"/>
  <c r="AQ14" i="9"/>
  <c r="AQ22" i="9"/>
  <c r="AQ30" i="9"/>
  <c r="AQ38" i="9"/>
  <c r="AQ46" i="9"/>
  <c r="AQ54" i="9"/>
  <c r="AQ62" i="9"/>
  <c r="AQ70" i="9"/>
  <c r="AQ78" i="9"/>
  <c r="AQ86" i="9"/>
  <c r="AQ94" i="9"/>
  <c r="AQ102" i="9"/>
  <c r="AQ110" i="9"/>
  <c r="AL102" i="9"/>
  <c r="AL110" i="9"/>
  <c r="AQ16" i="9"/>
  <c r="AQ32" i="9"/>
  <c r="AQ48" i="9"/>
  <c r="AQ64" i="9"/>
  <c r="AQ104" i="9"/>
  <c r="AL104" i="9"/>
  <c r="AQ9" i="9"/>
  <c r="AQ49" i="9"/>
  <c r="AQ65" i="9"/>
  <c r="AQ97" i="9"/>
  <c r="AQ113" i="9"/>
  <c r="AL97" i="9"/>
  <c r="AQ18" i="9"/>
  <c r="AQ58" i="9"/>
  <c r="AQ90" i="9"/>
  <c r="AL98" i="9"/>
  <c r="AQ7" i="9"/>
  <c r="AQ15" i="9"/>
  <c r="AQ23" i="9"/>
  <c r="AQ31" i="9"/>
  <c r="AQ39" i="9"/>
  <c r="AQ47" i="9"/>
  <c r="AQ55" i="9"/>
  <c r="AQ63" i="9"/>
  <c r="AQ71" i="9"/>
  <c r="AQ79" i="9"/>
  <c r="AQ87" i="9"/>
  <c r="AQ95" i="9"/>
  <c r="AQ103" i="9"/>
  <c r="AQ111" i="9"/>
  <c r="AL103" i="9"/>
  <c r="AL111" i="9"/>
  <c r="AQ8" i="9"/>
  <c r="AQ24" i="9"/>
  <c r="AQ40" i="9"/>
  <c r="AQ56" i="9"/>
  <c r="AQ72" i="9"/>
  <c r="AQ80" i="9"/>
  <c r="AQ112" i="9"/>
  <c r="AQ17" i="9"/>
  <c r="AQ57" i="9"/>
  <c r="AQ73" i="9"/>
  <c r="AQ105" i="9"/>
  <c r="AQ10" i="9"/>
  <c r="AQ50" i="9"/>
  <c r="AQ82" i="9"/>
  <c r="AQ4" i="9"/>
  <c r="AQ5" i="9"/>
  <c r="AQ6" i="9"/>
  <c r="AL90" i="9"/>
  <c r="AL91" i="9"/>
  <c r="AL92" i="9"/>
  <c r="AL93" i="9"/>
  <c r="AL96" i="9"/>
  <c r="AL94" i="9"/>
  <c r="AL95" i="9"/>
  <c r="AL8" i="9"/>
  <c r="AL16" i="9"/>
  <c r="AL24" i="9"/>
  <c r="AL32" i="9"/>
  <c r="AL40" i="9"/>
  <c r="AL48" i="9"/>
  <c r="AL64" i="9"/>
  <c r="AL80" i="9"/>
  <c r="AL9" i="9"/>
  <c r="AL17" i="9"/>
  <c r="AL25" i="9"/>
  <c r="AL33" i="9"/>
  <c r="AL41" i="9"/>
  <c r="AL49" i="9"/>
  <c r="AL57" i="9"/>
  <c r="AL65" i="9"/>
  <c r="AL73" i="9"/>
  <c r="AL81" i="9"/>
  <c r="AL89" i="9"/>
  <c r="AL11" i="9"/>
  <c r="AL19" i="9"/>
  <c r="AL35" i="9"/>
  <c r="AL43" i="9"/>
  <c r="AL59" i="9"/>
  <c r="AL67" i="9"/>
  <c r="AL83" i="9"/>
  <c r="AL4" i="9"/>
  <c r="AL28" i="9"/>
  <c r="AL44" i="9"/>
  <c r="AL60" i="9"/>
  <c r="AL68" i="9"/>
  <c r="AL84" i="9"/>
  <c r="AL15" i="9"/>
  <c r="AL23" i="9"/>
  <c r="AL47" i="9"/>
  <c r="AL63" i="9"/>
  <c r="AL71" i="9"/>
  <c r="AL56" i="9"/>
  <c r="AL10" i="9"/>
  <c r="AL18" i="9"/>
  <c r="AL26" i="9"/>
  <c r="AL34" i="9"/>
  <c r="AL42" i="9"/>
  <c r="AL50" i="9"/>
  <c r="AL58" i="9"/>
  <c r="AL66" i="9"/>
  <c r="AL74" i="9"/>
  <c r="AL82" i="9"/>
  <c r="AL27" i="9"/>
  <c r="AL51" i="9"/>
  <c r="AL75" i="9"/>
  <c r="AL12" i="9"/>
  <c r="AL36" i="9"/>
  <c r="AL52" i="9"/>
  <c r="AL76" i="9"/>
  <c r="AL7" i="9"/>
  <c r="AL31" i="9"/>
  <c r="AL39" i="9"/>
  <c r="AL55" i="9"/>
  <c r="AL79" i="9"/>
  <c r="AL87" i="9"/>
  <c r="AL72" i="9"/>
  <c r="AL20" i="9"/>
  <c r="AL88" i="9"/>
  <c r="AL5" i="9"/>
  <c r="AL13" i="9"/>
  <c r="AL21" i="9"/>
  <c r="AL29" i="9"/>
  <c r="AL37" i="9"/>
  <c r="AL45" i="9"/>
  <c r="AL53" i="9"/>
  <c r="AL61" i="9"/>
  <c r="AL69" i="9"/>
  <c r="AL77" i="9"/>
  <c r="AL85" i="9"/>
  <c r="AL6" i="9"/>
  <c r="AL14" i="9"/>
  <c r="AL22" i="9"/>
  <c r="AL30" i="9"/>
  <c r="AL38" i="9"/>
  <c r="AL46" i="9"/>
  <c r="AL54" i="9"/>
  <c r="AL62" i="9"/>
  <c r="AL70" i="9"/>
  <c r="AL78" i="9"/>
  <c r="AL86" i="9"/>
  <c r="P124" i="9"/>
  <c r="F127" i="9"/>
  <c r="AZ131" i="9"/>
  <c r="AR131" i="9"/>
  <c r="AJ131" i="9"/>
  <c r="AA131" i="9"/>
  <c r="I131" i="9" s="1"/>
  <c r="R131" i="9"/>
  <c r="AV130" i="9"/>
  <c r="AN130" i="9"/>
  <c r="AE130" i="9"/>
  <c r="V130" i="9"/>
  <c r="AZ129" i="9"/>
  <c r="AR129" i="9"/>
  <c r="AJ129" i="9"/>
  <c r="AA129" i="9"/>
  <c r="R129" i="9"/>
  <c r="AV128" i="9"/>
  <c r="AN128" i="9"/>
  <c r="AE128" i="9"/>
  <c r="V128" i="9"/>
  <c r="AZ127" i="9"/>
  <c r="AR127" i="9"/>
  <c r="AJ127" i="9"/>
  <c r="AA127" i="9"/>
  <c r="I127" i="9" s="1"/>
  <c r="R127" i="9"/>
  <c r="AV126" i="9"/>
  <c r="AN126" i="9"/>
  <c r="AE126" i="9"/>
  <c r="V126" i="9"/>
  <c r="AZ125" i="9"/>
  <c r="AR125" i="9"/>
  <c r="AJ125" i="9"/>
  <c r="AA125" i="9"/>
  <c r="I125" i="9" s="1"/>
  <c r="R125" i="9"/>
  <c r="AV124" i="9"/>
  <c r="AN124" i="9"/>
  <c r="AE124" i="9"/>
  <c r="Z124" i="9" s="1"/>
  <c r="V124" i="9"/>
  <c r="F126" i="9"/>
  <c r="AY131" i="9"/>
  <c r="AH131" i="9"/>
  <c r="Y131" i="9"/>
  <c r="P131" i="9"/>
  <c r="AU130" i="9"/>
  <c r="AM130" i="9"/>
  <c r="AD130" i="9"/>
  <c r="U130" i="9"/>
  <c r="AY129" i="9"/>
  <c r="AH129" i="9"/>
  <c r="Y129" i="9"/>
  <c r="P129" i="9"/>
  <c r="AU128" i="9"/>
  <c r="AM128" i="9"/>
  <c r="AD128" i="9"/>
  <c r="M128" i="9" s="1"/>
  <c r="U128" i="9"/>
  <c r="AY127" i="9"/>
  <c r="AH127" i="9"/>
  <c r="Y127" i="9"/>
  <c r="G127" i="9" s="1"/>
  <c r="P127" i="9"/>
  <c r="AU126" i="9"/>
  <c r="AM126" i="9"/>
  <c r="AD126" i="9"/>
  <c r="M126" i="9" s="1"/>
  <c r="U126" i="9"/>
  <c r="AY125" i="9"/>
  <c r="AH125" i="9"/>
  <c r="Y125" i="9"/>
  <c r="G125" i="9" s="1"/>
  <c r="P125" i="9"/>
  <c r="AU124" i="9"/>
  <c r="AM124" i="9"/>
  <c r="AD124" i="9"/>
  <c r="M124" i="9" s="1"/>
  <c r="U124" i="9"/>
  <c r="AX131" i="9"/>
  <c r="AP131" i="9"/>
  <c r="AG131" i="9"/>
  <c r="X131" i="9"/>
  <c r="O131" i="9"/>
  <c r="AT130" i="9"/>
  <c r="AC130" i="9"/>
  <c r="T130" i="9"/>
  <c r="AG129" i="9"/>
  <c r="O129" i="9"/>
  <c r="AT128" i="9"/>
  <c r="AC128" i="9"/>
  <c r="K128" i="9" s="1"/>
  <c r="T128" i="9"/>
  <c r="AX127" i="9"/>
  <c r="AP127" i="9"/>
  <c r="AG127" i="9"/>
  <c r="X127" i="9"/>
  <c r="O127" i="9"/>
  <c r="AT126" i="9"/>
  <c r="AC126" i="9"/>
  <c r="K126" i="9" s="1"/>
  <c r="T126" i="9"/>
  <c r="AX125" i="9"/>
  <c r="AP125" i="9"/>
  <c r="AG125" i="9"/>
  <c r="X125" i="9"/>
  <c r="O125" i="9"/>
  <c r="AT124" i="9"/>
  <c r="AC124" i="9"/>
  <c r="K124" i="9" s="1"/>
  <c r="T124" i="9"/>
  <c r="F124" i="9"/>
  <c r="AW131" i="9"/>
  <c r="AO131" i="9"/>
  <c r="AF131" i="9"/>
  <c r="W131" i="9"/>
  <c r="N131" i="9"/>
  <c r="AS130" i="9"/>
  <c r="AK130" i="9"/>
  <c r="AB130" i="9"/>
  <c r="S130" i="9"/>
  <c r="AW129" i="9"/>
  <c r="AO129" i="9"/>
  <c r="AF129" i="9"/>
  <c r="W129" i="9"/>
  <c r="N129" i="9"/>
  <c r="AS128" i="9"/>
  <c r="AK128" i="9"/>
  <c r="AB128" i="9"/>
  <c r="J128" i="9" s="1"/>
  <c r="S128" i="9"/>
  <c r="AW127" i="9"/>
  <c r="AO127" i="9"/>
  <c r="AF127" i="9"/>
  <c r="W127" i="9"/>
  <c r="N127" i="9"/>
  <c r="AS126" i="9"/>
  <c r="AK126" i="9"/>
  <c r="AB126" i="9"/>
  <c r="J126" i="9" s="1"/>
  <c r="S126" i="9"/>
  <c r="AW125" i="9"/>
  <c r="AO125" i="9"/>
  <c r="AF125" i="9"/>
  <c r="W125" i="9"/>
  <c r="N125" i="9"/>
  <c r="AS124" i="9"/>
  <c r="AK124" i="9"/>
  <c r="AB124" i="9"/>
  <c r="J124" i="9" s="1"/>
  <c r="S124" i="9"/>
  <c r="F125" i="9"/>
  <c r="X129" i="9"/>
  <c r="AV131" i="9"/>
  <c r="AN131" i="9"/>
  <c r="AE131" i="9"/>
  <c r="Z131" i="9" s="1"/>
  <c r="V131" i="9"/>
  <c r="AZ130" i="9"/>
  <c r="AR130" i="9"/>
  <c r="AJ130" i="9"/>
  <c r="AA130" i="9"/>
  <c r="I130" i="9" s="1"/>
  <c r="R130" i="9"/>
  <c r="AV129" i="9"/>
  <c r="AN129" i="9"/>
  <c r="AE129" i="9"/>
  <c r="Z129" i="9" s="1"/>
  <c r="V129" i="9"/>
  <c r="AZ128" i="9"/>
  <c r="AR128" i="9"/>
  <c r="AJ128" i="9"/>
  <c r="AA128" i="9"/>
  <c r="I128" i="9" s="1"/>
  <c r="R128" i="9"/>
  <c r="AV127" i="9"/>
  <c r="AN127" i="9"/>
  <c r="AE127" i="9"/>
  <c r="Z127" i="9" s="1"/>
  <c r="V127" i="9"/>
  <c r="AZ126" i="9"/>
  <c r="AR126" i="9"/>
  <c r="AJ126" i="9"/>
  <c r="AA126" i="9"/>
  <c r="R126" i="9"/>
  <c r="AV125" i="9"/>
  <c r="AN125" i="9"/>
  <c r="AE125" i="9"/>
  <c r="Z125" i="9" s="1"/>
  <c r="V125" i="9"/>
  <c r="AZ124" i="9"/>
  <c r="AR124" i="9"/>
  <c r="AJ124" i="9"/>
  <c r="AA124" i="9"/>
  <c r="I124" i="9" s="1"/>
  <c r="R124" i="9"/>
  <c r="AP129" i="9"/>
  <c r="F130" i="9"/>
  <c r="AU131" i="9"/>
  <c r="AM131" i="9"/>
  <c r="AD131" i="9"/>
  <c r="M131" i="9" s="1"/>
  <c r="U131" i="9"/>
  <c r="AY130" i="9"/>
  <c r="AH130" i="9"/>
  <c r="Y130" i="9"/>
  <c r="G130" i="9" s="1"/>
  <c r="P130" i="9"/>
  <c r="AU129" i="9"/>
  <c r="AM129" i="9"/>
  <c r="AD129" i="9"/>
  <c r="M129" i="9" s="1"/>
  <c r="U129" i="9"/>
  <c r="AY128" i="9"/>
  <c r="AH128" i="9"/>
  <c r="Y128" i="9"/>
  <c r="G128" i="9" s="1"/>
  <c r="P128" i="9"/>
  <c r="AU127" i="9"/>
  <c r="AM127" i="9"/>
  <c r="AD127" i="9"/>
  <c r="M127" i="9" s="1"/>
  <c r="U127" i="9"/>
  <c r="AY126" i="9"/>
  <c r="AH126" i="9"/>
  <c r="Y126" i="9"/>
  <c r="G126" i="9" s="1"/>
  <c r="P126" i="9"/>
  <c r="AU125" i="9"/>
  <c r="AM125" i="9"/>
  <c r="AD125" i="9"/>
  <c r="M125" i="9" s="1"/>
  <c r="U125" i="9"/>
  <c r="AY124" i="9"/>
  <c r="AH124" i="9"/>
  <c r="Y124" i="9"/>
  <c r="G124" i="9" s="1"/>
  <c r="S122" i="9"/>
  <c r="E127" i="9"/>
  <c r="BB127" i="9" s="1"/>
  <c r="E128" i="9"/>
  <c r="BB128" i="9" s="1"/>
  <c r="E129" i="9"/>
  <c r="BB129" i="9" s="1"/>
  <c r="E130" i="9"/>
  <c r="BB130" i="9" s="1"/>
  <c r="AI131" i="9"/>
  <c r="AI126" i="9"/>
  <c r="E131" i="9"/>
  <c r="BB131" i="9" s="1"/>
  <c r="AI124" i="9"/>
  <c r="E124" i="9"/>
  <c r="BB124" i="9" s="1"/>
  <c r="AI125" i="9"/>
  <c r="AI129" i="9"/>
  <c r="AI130" i="9"/>
  <c r="E125" i="9"/>
  <c r="BB125" i="9" s="1"/>
  <c r="E126" i="9"/>
  <c r="BB126" i="9" s="1"/>
  <c r="AI127" i="9"/>
  <c r="AI128" i="9"/>
  <c r="Z126" i="9"/>
  <c r="J130" i="9"/>
  <c r="G131" i="9"/>
  <c r="L126" i="9"/>
  <c r="L125" i="9"/>
  <c r="I126" i="9"/>
  <c r="Z128" i="9"/>
  <c r="L124" i="9"/>
  <c r="L129" i="9"/>
  <c r="K130" i="9"/>
  <c r="L131" i="9"/>
  <c r="L130" i="9"/>
  <c r="G129" i="9"/>
  <c r="Z130" i="9"/>
  <c r="I129" i="9"/>
  <c r="L127" i="9"/>
  <c r="M130" i="9"/>
  <c r="L128" i="9"/>
  <c r="F129" i="9"/>
  <c r="AT131" i="9"/>
  <c r="AC131" i="9"/>
  <c r="K131" i="9" s="1"/>
  <c r="T131" i="9"/>
  <c r="AX130" i="9"/>
  <c r="AP130" i="9"/>
  <c r="AG130" i="9"/>
  <c r="X130" i="9"/>
  <c r="O130" i="9"/>
  <c r="AT129" i="9"/>
  <c r="AC129" i="9"/>
  <c r="K129" i="9" s="1"/>
  <c r="T129" i="9"/>
  <c r="AX128" i="9"/>
  <c r="AP128" i="9"/>
  <c r="AG128" i="9"/>
  <c r="X128" i="9"/>
  <c r="O128" i="9"/>
  <c r="AT127" i="9"/>
  <c r="AC127" i="9"/>
  <c r="K127" i="9" s="1"/>
  <c r="T127" i="9"/>
  <c r="AX126" i="9"/>
  <c r="AP126" i="9"/>
  <c r="AG126" i="9"/>
  <c r="X126" i="9"/>
  <c r="O126" i="9"/>
  <c r="AT125" i="9"/>
  <c r="AC125" i="9"/>
  <c r="K125" i="9" s="1"/>
  <c r="T125" i="9"/>
  <c r="AX124" i="9"/>
  <c r="AP124" i="9"/>
  <c r="AG124" i="9"/>
  <c r="X124" i="9"/>
  <c r="O124" i="9"/>
  <c r="AX129" i="9"/>
  <c r="F131" i="9"/>
  <c r="F128" i="9"/>
  <c r="AS131" i="9"/>
  <c r="AK131" i="9"/>
  <c r="AB131" i="9"/>
  <c r="J131" i="9" s="1"/>
  <c r="S131" i="9"/>
  <c r="AW130" i="9"/>
  <c r="AO130" i="9"/>
  <c r="AF130" i="9"/>
  <c r="W130" i="9"/>
  <c r="N130" i="9"/>
  <c r="AS129" i="9"/>
  <c r="AK129" i="9"/>
  <c r="AB129" i="9"/>
  <c r="J129" i="9" s="1"/>
  <c r="S129" i="9"/>
  <c r="AW128" i="9"/>
  <c r="AO128" i="9"/>
  <c r="AF128" i="9"/>
  <c r="W128" i="9"/>
  <c r="N128" i="9"/>
  <c r="AS127" i="9"/>
  <c r="AK127" i="9"/>
  <c r="AB127" i="9"/>
  <c r="J127" i="9" s="1"/>
  <c r="S127" i="9"/>
  <c r="AW126" i="9"/>
  <c r="AO126" i="9"/>
  <c r="AF126" i="9"/>
  <c r="W126" i="9"/>
  <c r="N126" i="9"/>
  <c r="AS125" i="9"/>
  <c r="AK125" i="9"/>
  <c r="AB125" i="9"/>
  <c r="J125" i="9" s="1"/>
  <c r="S125" i="9"/>
  <c r="AW124" i="9"/>
  <c r="AO124" i="9"/>
  <c r="AF124" i="9"/>
  <c r="W124" i="9"/>
  <c r="N124" i="9"/>
  <c r="AE122" i="9"/>
  <c r="Z122" i="9" s="1"/>
  <c r="Y123" i="9"/>
  <c r="G123" i="9" s="1"/>
  <c r="AD122" i="9"/>
  <c r="M122" i="9" s="1"/>
  <c r="F123" i="9"/>
  <c r="AX123" i="9"/>
  <c r="AP123" i="9"/>
  <c r="AG123" i="9"/>
  <c r="X123" i="9"/>
  <c r="O123" i="9"/>
  <c r="AT122" i="9"/>
  <c r="AC122" i="9"/>
  <c r="K122" i="9" s="1"/>
  <c r="T122" i="9"/>
  <c r="AV122" i="9"/>
  <c r="AY123" i="9"/>
  <c r="AH123" i="9"/>
  <c r="P123" i="9"/>
  <c r="AU122" i="9"/>
  <c r="AM122" i="9"/>
  <c r="U122" i="9"/>
  <c r="F122" i="9"/>
  <c r="AW123" i="9"/>
  <c r="AO123" i="9"/>
  <c r="AF123" i="9"/>
  <c r="W123" i="9"/>
  <c r="N123" i="9"/>
  <c r="AS122" i="9"/>
  <c r="AK122" i="9"/>
  <c r="AB122" i="9"/>
  <c r="J122" i="9" s="1"/>
  <c r="E120" i="9"/>
  <c r="BB120" i="9" s="1"/>
  <c r="E113" i="9"/>
  <c r="BB113" i="9" s="1"/>
  <c r="E121" i="9"/>
  <c r="BB121" i="9" s="1"/>
  <c r="AI119" i="9"/>
  <c r="AI115" i="9"/>
  <c r="E114" i="9"/>
  <c r="BB114" i="9" s="1"/>
  <c r="E122" i="9"/>
  <c r="BB122" i="9" s="1"/>
  <c r="AI120" i="9"/>
  <c r="E117" i="9"/>
  <c r="BB117" i="9" s="1"/>
  <c r="AI123" i="9"/>
  <c r="AI118" i="9"/>
  <c r="E115" i="9"/>
  <c r="BB115" i="9" s="1"/>
  <c r="E123" i="9"/>
  <c r="BB123" i="9" s="1"/>
  <c r="AI113" i="9"/>
  <c r="AI121" i="9"/>
  <c r="E116" i="9"/>
  <c r="BB116" i="9" s="1"/>
  <c r="AI114" i="9"/>
  <c r="AI122" i="9"/>
  <c r="E118" i="9"/>
  <c r="BB118" i="9" s="1"/>
  <c r="AI116" i="9"/>
  <c r="E119" i="9"/>
  <c r="BB119" i="9" s="1"/>
  <c r="AI117" i="9"/>
  <c r="L122" i="9"/>
  <c r="L123" i="9"/>
  <c r="AV123" i="9"/>
  <c r="AE123" i="9"/>
  <c r="Z123" i="9" s="1"/>
  <c r="AR122" i="9"/>
  <c r="R122" i="9"/>
  <c r="AU123" i="9"/>
  <c r="AM123" i="9"/>
  <c r="AD123" i="9"/>
  <c r="M123" i="9" s="1"/>
  <c r="U123" i="9"/>
  <c r="AY122" i="9"/>
  <c r="AH122" i="9"/>
  <c r="Y122" i="9"/>
  <c r="G122" i="9" s="1"/>
  <c r="P122" i="9"/>
  <c r="AR123" i="9"/>
  <c r="V122" i="9"/>
  <c r="AJ122" i="9"/>
  <c r="AT123" i="9"/>
  <c r="AC123" i="9"/>
  <c r="K123" i="9" s="1"/>
  <c r="T123" i="9"/>
  <c r="AX122" i="9"/>
  <c r="AP122" i="9"/>
  <c r="AG122" i="9"/>
  <c r="X122" i="9"/>
  <c r="O122" i="9"/>
  <c r="AZ123" i="9"/>
  <c r="AJ123" i="9"/>
  <c r="AA123" i="9"/>
  <c r="I123" i="9" s="1"/>
  <c r="R123" i="9"/>
  <c r="AN122" i="9"/>
  <c r="AN123" i="9"/>
  <c r="V123" i="9"/>
  <c r="AZ122" i="9"/>
  <c r="AA122" i="9"/>
  <c r="I122" i="9" s="1"/>
  <c r="AS123" i="9"/>
  <c r="AK123" i="9"/>
  <c r="AB123" i="9"/>
  <c r="J123" i="9" s="1"/>
  <c r="S123" i="9"/>
  <c r="AW122" i="9"/>
  <c r="AO122" i="9"/>
  <c r="AF122" i="9"/>
  <c r="W122" i="9"/>
  <c r="N122" i="9"/>
  <c r="AI112" i="9"/>
  <c r="E110" i="9"/>
  <c r="BB110" i="9" s="1"/>
  <c r="E111" i="9"/>
  <c r="BB111" i="9" s="1"/>
  <c r="E112" i="9"/>
  <c r="BB112" i="9" s="1"/>
  <c r="AI110" i="9"/>
  <c r="AI111" i="9"/>
  <c r="E4" i="9"/>
  <c r="BB4" i="9" s="1"/>
  <c r="E5" i="9"/>
  <c r="BB5" i="9" s="1"/>
  <c r="E13" i="9"/>
  <c r="BB13" i="9" s="1"/>
  <c r="E21" i="9"/>
  <c r="BB21" i="9" s="1"/>
  <c r="E29" i="9"/>
  <c r="BB29" i="9" s="1"/>
  <c r="E37" i="9"/>
  <c r="BB37" i="9" s="1"/>
  <c r="E45" i="9"/>
  <c r="BB45" i="9" s="1"/>
  <c r="E53" i="9"/>
  <c r="BB53" i="9" s="1"/>
  <c r="E61" i="9"/>
  <c r="BB61" i="9" s="1"/>
  <c r="E69" i="9"/>
  <c r="BB69" i="9" s="1"/>
  <c r="E77" i="9"/>
  <c r="BB77" i="9" s="1"/>
  <c r="E85" i="9"/>
  <c r="BB85" i="9" s="1"/>
  <c r="E93" i="9"/>
  <c r="BB93" i="9" s="1"/>
  <c r="E101" i="9"/>
  <c r="BB101" i="9" s="1"/>
  <c r="E109" i="9"/>
  <c r="BB109" i="9" s="1"/>
  <c r="E20" i="9"/>
  <c r="BB20" i="9" s="1"/>
  <c r="E84" i="9"/>
  <c r="BB84" i="9" s="1"/>
  <c r="E6" i="9"/>
  <c r="BB6" i="9" s="1"/>
  <c r="E14" i="9"/>
  <c r="BB14" i="9" s="1"/>
  <c r="E22" i="9"/>
  <c r="BB22" i="9" s="1"/>
  <c r="E30" i="9"/>
  <c r="BB30" i="9" s="1"/>
  <c r="E38" i="9"/>
  <c r="BB38" i="9" s="1"/>
  <c r="E46" i="9"/>
  <c r="BB46" i="9" s="1"/>
  <c r="E54" i="9"/>
  <c r="BB54" i="9" s="1"/>
  <c r="E62" i="9"/>
  <c r="BB62" i="9" s="1"/>
  <c r="E70" i="9"/>
  <c r="BB70" i="9" s="1"/>
  <c r="E78" i="9"/>
  <c r="BB78" i="9" s="1"/>
  <c r="E86" i="9"/>
  <c r="BB86" i="9" s="1"/>
  <c r="E94" i="9"/>
  <c r="BB94" i="9" s="1"/>
  <c r="E102" i="9"/>
  <c r="BB102" i="9" s="1"/>
  <c r="E44" i="9"/>
  <c r="BB44" i="9" s="1"/>
  <c r="E100" i="9"/>
  <c r="BB100" i="9" s="1"/>
  <c r="E7" i="9"/>
  <c r="BB7" i="9" s="1"/>
  <c r="E15" i="9"/>
  <c r="BB15" i="9" s="1"/>
  <c r="E23" i="9"/>
  <c r="BB23" i="9" s="1"/>
  <c r="E31" i="9"/>
  <c r="BB31" i="9" s="1"/>
  <c r="E39" i="9"/>
  <c r="BB39" i="9" s="1"/>
  <c r="E47" i="9"/>
  <c r="BB47" i="9" s="1"/>
  <c r="E55" i="9"/>
  <c r="BB55" i="9" s="1"/>
  <c r="E63" i="9"/>
  <c r="BB63" i="9" s="1"/>
  <c r="E71" i="9"/>
  <c r="BB71" i="9" s="1"/>
  <c r="E79" i="9"/>
  <c r="BB79" i="9" s="1"/>
  <c r="E87" i="9"/>
  <c r="BB87" i="9" s="1"/>
  <c r="E95" i="9"/>
  <c r="BB95" i="9" s="1"/>
  <c r="E103" i="9"/>
  <c r="BB103" i="9" s="1"/>
  <c r="E36" i="9"/>
  <c r="BB36" i="9" s="1"/>
  <c r="E76" i="9"/>
  <c r="BB76" i="9" s="1"/>
  <c r="E8" i="9"/>
  <c r="BB8" i="9" s="1"/>
  <c r="E16" i="9"/>
  <c r="BB16" i="9" s="1"/>
  <c r="E24" i="9"/>
  <c r="BB24" i="9" s="1"/>
  <c r="E32" i="9"/>
  <c r="BB32" i="9" s="1"/>
  <c r="E40" i="9"/>
  <c r="BB40" i="9" s="1"/>
  <c r="E48" i="9"/>
  <c r="BB48" i="9" s="1"/>
  <c r="E56" i="9"/>
  <c r="BB56" i="9" s="1"/>
  <c r="E64" i="9"/>
  <c r="BB64" i="9" s="1"/>
  <c r="E72" i="9"/>
  <c r="BB72" i="9" s="1"/>
  <c r="E80" i="9"/>
  <c r="BB80" i="9" s="1"/>
  <c r="E88" i="9"/>
  <c r="BB88" i="9" s="1"/>
  <c r="E96" i="9"/>
  <c r="BB96" i="9" s="1"/>
  <c r="E104" i="9"/>
  <c r="BB104" i="9" s="1"/>
  <c r="E52" i="9"/>
  <c r="BB52" i="9" s="1"/>
  <c r="E92" i="9"/>
  <c r="BB92" i="9" s="1"/>
  <c r="E9" i="9"/>
  <c r="BB9" i="9" s="1"/>
  <c r="E17" i="9"/>
  <c r="BB17" i="9" s="1"/>
  <c r="E25" i="9"/>
  <c r="BB25" i="9" s="1"/>
  <c r="E33" i="9"/>
  <c r="BB33" i="9" s="1"/>
  <c r="E41" i="9"/>
  <c r="BB41" i="9" s="1"/>
  <c r="E49" i="9"/>
  <c r="BB49" i="9" s="1"/>
  <c r="E57" i="9"/>
  <c r="BB57" i="9" s="1"/>
  <c r="E65" i="9"/>
  <c r="BB65" i="9" s="1"/>
  <c r="E73" i="9"/>
  <c r="BB73" i="9" s="1"/>
  <c r="E81" i="9"/>
  <c r="BB81" i="9" s="1"/>
  <c r="E89" i="9"/>
  <c r="BB89" i="9" s="1"/>
  <c r="E97" i="9"/>
  <c r="BB97" i="9" s="1"/>
  <c r="E105" i="9"/>
  <c r="BB105" i="9" s="1"/>
  <c r="E12" i="9"/>
  <c r="BB12" i="9" s="1"/>
  <c r="E108" i="9"/>
  <c r="BB108" i="9" s="1"/>
  <c r="E10" i="9"/>
  <c r="BB10" i="9" s="1"/>
  <c r="E18" i="9"/>
  <c r="BB18" i="9" s="1"/>
  <c r="E26" i="9"/>
  <c r="BB26" i="9" s="1"/>
  <c r="E34" i="9"/>
  <c r="BB34" i="9" s="1"/>
  <c r="E42" i="9"/>
  <c r="BB42" i="9" s="1"/>
  <c r="E50" i="9"/>
  <c r="BB50" i="9" s="1"/>
  <c r="E58" i="9"/>
  <c r="BB58" i="9" s="1"/>
  <c r="E66" i="9"/>
  <c r="BB66" i="9" s="1"/>
  <c r="E74" i="9"/>
  <c r="BB74" i="9" s="1"/>
  <c r="E82" i="9"/>
  <c r="BB82" i="9" s="1"/>
  <c r="E90" i="9"/>
  <c r="BB90" i="9" s="1"/>
  <c r="E98" i="9"/>
  <c r="BB98" i="9" s="1"/>
  <c r="E106" i="9"/>
  <c r="BB106" i="9" s="1"/>
  <c r="E28" i="9"/>
  <c r="BB28" i="9" s="1"/>
  <c r="E68" i="9"/>
  <c r="BB68" i="9" s="1"/>
  <c r="E11" i="9"/>
  <c r="BB11" i="9" s="1"/>
  <c r="E19" i="9"/>
  <c r="BB19" i="9" s="1"/>
  <c r="E27" i="9"/>
  <c r="BB27" i="9" s="1"/>
  <c r="E35" i="9"/>
  <c r="BB35" i="9" s="1"/>
  <c r="E43" i="9"/>
  <c r="BB43" i="9" s="1"/>
  <c r="E51" i="9"/>
  <c r="BB51" i="9" s="1"/>
  <c r="E59" i="9"/>
  <c r="BB59" i="9" s="1"/>
  <c r="E67" i="9"/>
  <c r="BB67" i="9" s="1"/>
  <c r="E75" i="9"/>
  <c r="BB75" i="9" s="1"/>
  <c r="E83" i="9"/>
  <c r="BB83" i="9" s="1"/>
  <c r="E91" i="9"/>
  <c r="BB91" i="9" s="1"/>
  <c r="E99" i="9"/>
  <c r="BB99" i="9" s="1"/>
  <c r="E107" i="9"/>
  <c r="BB107" i="9" s="1"/>
  <c r="E60" i="9"/>
  <c r="BB60" i="9" s="1"/>
  <c r="AI109" i="9"/>
  <c r="AI97" i="9"/>
  <c r="AI105" i="9"/>
  <c r="AI98" i="9"/>
  <c r="AI106" i="9"/>
  <c r="AI99" i="9"/>
  <c r="AI107" i="9"/>
  <c r="AI108" i="9"/>
  <c r="AI100" i="9"/>
  <c r="AI101" i="9"/>
  <c r="AI102" i="9"/>
  <c r="AI103" i="9"/>
  <c r="AI104" i="9"/>
  <c r="AI92" i="9"/>
  <c r="AI93" i="9"/>
  <c r="AI94" i="9"/>
  <c r="AI90" i="9"/>
  <c r="AI95" i="9"/>
  <c r="AI96" i="9"/>
  <c r="AI91" i="9"/>
  <c r="AI59" i="9"/>
  <c r="AI71" i="9"/>
  <c r="AI83" i="9"/>
  <c r="AI82" i="9"/>
  <c r="AI60" i="9"/>
  <c r="AI72" i="9"/>
  <c r="AI84" i="9"/>
  <c r="AI74" i="9"/>
  <c r="AI75" i="9"/>
  <c r="AI64" i="9"/>
  <c r="AI88" i="9"/>
  <c r="AI77" i="9"/>
  <c r="AI66" i="9"/>
  <c r="AI67" i="9"/>
  <c r="AI68" i="9"/>
  <c r="AI81" i="9"/>
  <c r="AI70" i="9"/>
  <c r="AI61" i="9"/>
  <c r="AI73" i="9"/>
  <c r="AI85" i="9"/>
  <c r="AI62" i="9"/>
  <c r="AI86" i="9"/>
  <c r="AI63" i="9"/>
  <c r="AI87" i="9"/>
  <c r="AI76" i="9"/>
  <c r="AI65" i="9"/>
  <c r="AI89" i="9"/>
  <c r="AI78" i="9"/>
  <c r="AI79" i="9"/>
  <c r="AI80" i="9"/>
  <c r="AI69" i="9"/>
  <c r="AI4" i="9"/>
  <c r="AI5" i="9"/>
  <c r="AI6" i="9"/>
  <c r="AI18" i="9"/>
  <c r="AI30" i="9"/>
  <c r="AI42" i="9"/>
  <c r="AI54" i="9"/>
  <c r="AI7" i="9"/>
  <c r="AI19" i="9"/>
  <c r="AI31" i="9"/>
  <c r="AI43" i="9"/>
  <c r="AI55" i="9"/>
  <c r="AI8" i="9"/>
  <c r="AI20" i="9"/>
  <c r="AI32" i="9"/>
  <c r="AI44" i="9"/>
  <c r="AI56" i="9"/>
  <c r="AI9" i="9"/>
  <c r="AI21" i="9"/>
  <c r="AI33" i="9"/>
  <c r="AI45" i="9"/>
  <c r="AI57" i="9"/>
  <c r="AI10" i="9"/>
  <c r="AI22" i="9"/>
  <c r="AI34" i="9"/>
  <c r="AI46" i="9"/>
  <c r="AI58" i="9"/>
  <c r="AI11" i="9"/>
  <c r="AI23" i="9"/>
  <c r="AI35" i="9"/>
  <c r="AI47" i="9"/>
  <c r="AI12" i="9"/>
  <c r="AI24" i="9"/>
  <c r="AI36" i="9"/>
  <c r="AI48" i="9"/>
  <c r="AI13" i="9"/>
  <c r="AI25" i="9"/>
  <c r="AI37" i="9"/>
  <c r="AI49" i="9"/>
  <c r="AI14" i="9"/>
  <c r="AI26" i="9"/>
  <c r="AI38" i="9"/>
  <c r="AI50" i="9"/>
  <c r="AI15" i="9"/>
  <c r="AI27" i="9"/>
  <c r="AI39" i="9"/>
  <c r="AI51" i="9"/>
  <c r="AI16" i="9"/>
  <c r="AI28" i="9"/>
  <c r="AI40" i="9"/>
  <c r="AI52" i="9"/>
  <c r="AI17" i="9"/>
  <c r="AI29" i="9"/>
  <c r="AI41" i="9"/>
  <c r="AI53" i="9"/>
  <c r="P115" i="9"/>
  <c r="AZ120" i="9"/>
  <c r="AY116" i="9"/>
  <c r="AN116" i="9"/>
  <c r="AM116" i="9"/>
  <c r="AZ116" i="9"/>
  <c r="AY118" i="9"/>
  <c r="AN118" i="9"/>
  <c r="AM120" i="9"/>
  <c r="AM118" i="9"/>
  <c r="AA120" i="9"/>
  <c r="I120" i="9" s="1"/>
  <c r="AA118" i="9"/>
  <c r="I118" i="9" s="1"/>
  <c r="AA116" i="9"/>
  <c r="I116" i="9" s="1"/>
  <c r="AZ121" i="9"/>
  <c r="Y120" i="9"/>
  <c r="G120" i="9" s="1"/>
  <c r="Y118" i="9"/>
  <c r="G118" i="9" s="1"/>
  <c r="Y116" i="9"/>
  <c r="G116" i="9" s="1"/>
  <c r="AZ118" i="9"/>
  <c r="AY120" i="9"/>
  <c r="AZ117" i="9"/>
  <c r="AY119" i="9"/>
  <c r="AY115" i="9"/>
  <c r="AM121" i="9"/>
  <c r="AN119" i="9"/>
  <c r="AN117" i="9"/>
  <c r="AN115" i="9"/>
  <c r="AN120" i="9"/>
  <c r="AY121" i="9"/>
  <c r="AZ119" i="9"/>
  <c r="AZ115" i="9"/>
  <c r="AN121" i="9"/>
  <c r="AY117" i="9"/>
  <c r="AM119" i="9"/>
  <c r="AM117" i="9"/>
  <c r="AM115" i="9"/>
  <c r="AA117" i="9"/>
  <c r="I117" i="9" s="1"/>
  <c r="AA121" i="9"/>
  <c r="I121" i="9" s="1"/>
  <c r="AA119" i="9"/>
  <c r="I119" i="9" s="1"/>
  <c r="AA115" i="9"/>
  <c r="I115" i="9" s="1"/>
  <c r="Y121" i="9"/>
  <c r="Y119" i="9"/>
  <c r="G119" i="9" s="1"/>
  <c r="Y117" i="9"/>
  <c r="G117" i="9" s="1"/>
  <c r="Y115" i="9"/>
  <c r="G115" i="9" s="1"/>
  <c r="AW115" i="9"/>
  <c r="AU118" i="9"/>
  <c r="AT115" i="9"/>
  <c r="AS121" i="9"/>
  <c r="AF121" i="9"/>
  <c r="S121" i="9"/>
  <c r="AS120" i="9"/>
  <c r="AF120" i="9"/>
  <c r="S120" i="9"/>
  <c r="AS119" i="9"/>
  <c r="AF119" i="9"/>
  <c r="S119" i="9"/>
  <c r="AS118" i="9"/>
  <c r="AF118" i="9"/>
  <c r="S118" i="9"/>
  <c r="AS117" i="9"/>
  <c r="AF117" i="9"/>
  <c r="S117" i="9"/>
  <c r="AS116" i="9"/>
  <c r="AF116" i="9"/>
  <c r="S116" i="9"/>
  <c r="AS115" i="9"/>
  <c r="AF115" i="9"/>
  <c r="S115" i="9"/>
  <c r="AX120" i="9"/>
  <c r="X120" i="9"/>
  <c r="X119" i="9"/>
  <c r="AX117" i="9"/>
  <c r="X117" i="9"/>
  <c r="AX116" i="9"/>
  <c r="X116" i="9"/>
  <c r="AX115" i="9"/>
  <c r="AK121" i="9"/>
  <c r="AW120" i="9"/>
  <c r="W120" i="9"/>
  <c r="AK119" i="9"/>
  <c r="W119" i="9"/>
  <c r="W118" i="9"/>
  <c r="AK117" i="9"/>
  <c r="AK116" i="9"/>
  <c r="AK115" i="9"/>
  <c r="AJ121" i="9"/>
  <c r="AV120" i="9"/>
  <c r="V120" i="9"/>
  <c r="AJ119" i="9"/>
  <c r="AV118" i="9"/>
  <c r="AJ118" i="9"/>
  <c r="AV117" i="9"/>
  <c r="V117" i="9"/>
  <c r="AJ116" i="9"/>
  <c r="AV115" i="9"/>
  <c r="F121" i="9"/>
  <c r="AH121" i="9"/>
  <c r="AU120" i="9"/>
  <c r="U120" i="9"/>
  <c r="AU119" i="9"/>
  <c r="U119" i="9"/>
  <c r="U118" i="9"/>
  <c r="AU117" i="9"/>
  <c r="U117" i="9"/>
  <c r="AU116" i="9"/>
  <c r="AH116" i="9"/>
  <c r="U116" i="9"/>
  <c r="AU115" i="9"/>
  <c r="U115" i="9"/>
  <c r="AG121" i="9"/>
  <c r="AT120" i="9"/>
  <c r="AG120" i="9"/>
  <c r="AT119" i="9"/>
  <c r="AG119" i="9"/>
  <c r="AT118" i="9"/>
  <c r="AG118" i="9"/>
  <c r="T118" i="9"/>
  <c r="AT117" i="9"/>
  <c r="AG117" i="9"/>
  <c r="T117" i="9"/>
  <c r="AT116" i="9"/>
  <c r="AG116" i="9"/>
  <c r="T116" i="9"/>
  <c r="T115" i="9"/>
  <c r="F118" i="9"/>
  <c r="AR121" i="9"/>
  <c r="AE121" i="9"/>
  <c r="Z121" i="9" s="1"/>
  <c r="R121" i="9"/>
  <c r="AR120" i="9"/>
  <c r="AE120" i="9"/>
  <c r="Z120" i="9" s="1"/>
  <c r="R120" i="9"/>
  <c r="AR119" i="9"/>
  <c r="AE119" i="9"/>
  <c r="Z119" i="9" s="1"/>
  <c r="R119" i="9"/>
  <c r="AR118" i="9"/>
  <c r="AE118" i="9"/>
  <c r="Z118" i="9" s="1"/>
  <c r="R118" i="9"/>
  <c r="AR117" i="9"/>
  <c r="AE117" i="9"/>
  <c r="Z117" i="9" s="1"/>
  <c r="R117" i="9"/>
  <c r="AR116" i="9"/>
  <c r="AE116" i="9"/>
  <c r="Z116" i="9" s="1"/>
  <c r="R116" i="9"/>
  <c r="AR115" i="9"/>
  <c r="AE115" i="9"/>
  <c r="Z115" i="9" s="1"/>
  <c r="R115" i="9"/>
  <c r="AX121" i="9"/>
  <c r="X121" i="9"/>
  <c r="AX119" i="9"/>
  <c r="AX118" i="9"/>
  <c r="X118" i="9"/>
  <c r="X115" i="9"/>
  <c r="AW121" i="9"/>
  <c r="W121" i="9"/>
  <c r="AK120" i="9"/>
  <c r="AW119" i="9"/>
  <c r="AW118" i="9"/>
  <c r="AW117" i="9"/>
  <c r="W117" i="9"/>
  <c r="AW116" i="9"/>
  <c r="W116" i="9"/>
  <c r="W115" i="9"/>
  <c r="AV121" i="9"/>
  <c r="V121" i="9"/>
  <c r="AJ120" i="9"/>
  <c r="AV119" i="9"/>
  <c r="V119" i="9"/>
  <c r="V118" i="9"/>
  <c r="AJ117" i="9"/>
  <c r="AV116" i="9"/>
  <c r="V116" i="9"/>
  <c r="AJ115" i="9"/>
  <c r="AU121" i="9"/>
  <c r="U121" i="9"/>
  <c r="AH120" i="9"/>
  <c r="AH119" i="9"/>
  <c r="AH118" i="9"/>
  <c r="AH117" i="9"/>
  <c r="AH115" i="9"/>
  <c r="F120" i="9"/>
  <c r="AT121" i="9"/>
  <c r="T121" i="9"/>
  <c r="T120" i="9"/>
  <c r="T119" i="9"/>
  <c r="AG115" i="9"/>
  <c r="F117" i="9"/>
  <c r="AD121" i="9"/>
  <c r="M121" i="9" s="1"/>
  <c r="P121" i="9"/>
  <c r="AD120" i="9"/>
  <c r="M120" i="9" s="1"/>
  <c r="P120" i="9"/>
  <c r="AD119" i="9"/>
  <c r="M119" i="9" s="1"/>
  <c r="P119" i="9"/>
  <c r="AD118" i="9"/>
  <c r="M118" i="9" s="1"/>
  <c r="P118" i="9"/>
  <c r="AD117" i="9"/>
  <c r="M117" i="9" s="1"/>
  <c r="P117" i="9"/>
  <c r="AD116" i="9"/>
  <c r="M116" i="9" s="1"/>
  <c r="P116" i="9"/>
  <c r="AD115" i="9"/>
  <c r="M115" i="9" s="1"/>
  <c r="R114" i="9"/>
  <c r="L120" i="9"/>
  <c r="L116" i="9"/>
  <c r="L115" i="9"/>
  <c r="G121" i="9"/>
  <c r="L119" i="9"/>
  <c r="L118" i="9"/>
  <c r="L117" i="9"/>
  <c r="L121" i="9"/>
  <c r="F119" i="9"/>
  <c r="F116" i="9"/>
  <c r="AP121" i="9"/>
  <c r="AC121" i="9"/>
  <c r="K121" i="9" s="1"/>
  <c r="O121" i="9"/>
  <c r="AP120" i="9"/>
  <c r="AC120" i="9"/>
  <c r="K120" i="9" s="1"/>
  <c r="O120" i="9"/>
  <c r="AP119" i="9"/>
  <c r="AC119" i="9"/>
  <c r="K119" i="9" s="1"/>
  <c r="O119" i="9"/>
  <c r="AP118" i="9"/>
  <c r="AC118" i="9"/>
  <c r="K118" i="9" s="1"/>
  <c r="O118" i="9"/>
  <c r="AP117" i="9"/>
  <c r="AC117" i="9"/>
  <c r="K117" i="9" s="1"/>
  <c r="O117" i="9"/>
  <c r="AP116" i="9"/>
  <c r="AC116" i="9"/>
  <c r="K116" i="9" s="1"/>
  <c r="O116" i="9"/>
  <c r="AP115" i="9"/>
  <c r="AC115" i="9"/>
  <c r="K115" i="9" s="1"/>
  <c r="O115" i="9"/>
  <c r="AK118" i="9"/>
  <c r="V115" i="9"/>
  <c r="F115" i="9"/>
  <c r="AO121" i="9"/>
  <c r="AB121" i="9"/>
  <c r="J121" i="9" s="1"/>
  <c r="N121" i="9"/>
  <c r="AO120" i="9"/>
  <c r="AB120" i="9"/>
  <c r="J120" i="9" s="1"/>
  <c r="N120" i="9"/>
  <c r="AO119" i="9"/>
  <c r="AB119" i="9"/>
  <c r="J119" i="9" s="1"/>
  <c r="N119" i="9"/>
  <c r="AO118" i="9"/>
  <c r="AB118" i="9"/>
  <c r="J118" i="9" s="1"/>
  <c r="N118" i="9"/>
  <c r="AO117" i="9"/>
  <c r="AB117" i="9"/>
  <c r="J117" i="9" s="1"/>
  <c r="N117" i="9"/>
  <c r="AO116" i="9"/>
  <c r="AB116" i="9"/>
  <c r="J116" i="9" s="1"/>
  <c r="N116" i="9"/>
  <c r="AO115" i="9"/>
  <c r="AB115" i="9"/>
  <c r="J115" i="9" s="1"/>
  <c r="N115" i="9"/>
  <c r="AY114" i="9"/>
  <c r="AW114" i="9"/>
  <c r="U114" i="9"/>
  <c r="AF114" i="9"/>
  <c r="AR114" i="9"/>
  <c r="AE114" i="9"/>
  <c r="Z114" i="9" s="1"/>
  <c r="AV87" i="9"/>
  <c r="L114" i="9"/>
  <c r="AU114" i="9"/>
  <c r="AH114" i="9"/>
  <c r="AT114" i="9"/>
  <c r="AG114" i="9"/>
  <c r="T114" i="9"/>
  <c r="AS114" i="9"/>
  <c r="S114" i="9"/>
  <c r="AD114" i="9"/>
  <c r="M114" i="9" s="1"/>
  <c r="P114" i="9"/>
  <c r="AZ114" i="9"/>
  <c r="AN114" i="9"/>
  <c r="Y114" i="9"/>
  <c r="G114" i="9" s="1"/>
  <c r="W114" i="9"/>
  <c r="AJ114" i="9"/>
  <c r="AP114" i="9"/>
  <c r="AC114" i="9"/>
  <c r="K114" i="9" s="1"/>
  <c r="O114" i="9"/>
  <c r="AA114" i="9"/>
  <c r="I114" i="9" s="1"/>
  <c r="AM114" i="9"/>
  <c r="AX114" i="9"/>
  <c r="X114" i="9"/>
  <c r="AK114" i="9"/>
  <c r="AV114" i="9"/>
  <c r="V114" i="9"/>
  <c r="F114" i="9"/>
  <c r="AO114" i="9"/>
  <c r="AB114" i="9"/>
  <c r="J114" i="9" s="1"/>
  <c r="N114" i="9"/>
  <c r="AH110" i="9"/>
  <c r="AF110" i="9"/>
  <c r="AZ102" i="9"/>
  <c r="AZ94" i="9"/>
  <c r="X109" i="9"/>
  <c r="AO101" i="9"/>
  <c r="AO93" i="9"/>
  <c r="W109" i="9"/>
  <c r="AN101" i="9"/>
  <c r="AN93" i="9"/>
  <c r="N95" i="9"/>
  <c r="AB92" i="9"/>
  <c r="J92" i="9" s="1"/>
  <c r="F107" i="9"/>
  <c r="X108" i="9"/>
  <c r="AA100" i="9"/>
  <c r="I100" i="9" s="1"/>
  <c r="AA92" i="9"/>
  <c r="I92" i="9" s="1"/>
  <c r="AM113" i="9"/>
  <c r="N107" i="9"/>
  <c r="N99" i="9"/>
  <c r="N91" i="9"/>
  <c r="AZ106" i="9"/>
  <c r="AZ98" i="9"/>
  <c r="AZ90" i="9"/>
  <c r="N103" i="9"/>
  <c r="F108" i="9"/>
  <c r="Y108" i="9"/>
  <c r="G108" i="9" s="1"/>
  <c r="AB100" i="9"/>
  <c r="J100" i="9" s="1"/>
  <c r="AN112" i="9"/>
  <c r="AO105" i="9"/>
  <c r="AO97" i="9"/>
  <c r="AO89" i="9"/>
  <c r="AB112" i="9"/>
  <c r="J112" i="9" s="1"/>
  <c r="AN105" i="9"/>
  <c r="AN97" i="9"/>
  <c r="AN89" i="9"/>
  <c r="AB96" i="9"/>
  <c r="J96" i="9" s="1"/>
  <c r="AF111" i="9"/>
  <c r="AB104" i="9"/>
  <c r="J104" i="9" s="1"/>
  <c r="AB88" i="9"/>
  <c r="J88" i="9" s="1"/>
  <c r="AC111" i="9"/>
  <c r="K111" i="9" s="1"/>
  <c r="AA104" i="9"/>
  <c r="I104" i="9" s="1"/>
  <c r="AA96" i="9"/>
  <c r="I96" i="9" s="1"/>
  <c r="AA88" i="9"/>
  <c r="I88" i="9" s="1"/>
  <c r="V109" i="9"/>
  <c r="AA111" i="9"/>
  <c r="I111" i="9" s="1"/>
  <c r="AX107" i="9"/>
  <c r="X104" i="9"/>
  <c r="X100" i="9"/>
  <c r="X96" i="9"/>
  <c r="AX94" i="9"/>
  <c r="X92" i="9"/>
  <c r="X88" i="9"/>
  <c r="W113" i="9"/>
  <c r="N111" i="9"/>
  <c r="O110" i="9"/>
  <c r="S109" i="9"/>
  <c r="AW107" i="9"/>
  <c r="X105" i="9"/>
  <c r="AX103" i="9"/>
  <c r="X101" i="9"/>
  <c r="AX99" i="9"/>
  <c r="X97" i="9"/>
  <c r="AX95" i="9"/>
  <c r="X93" i="9"/>
  <c r="AX91" i="9"/>
  <c r="AX87" i="9"/>
  <c r="F93" i="9"/>
  <c r="V113" i="9"/>
  <c r="W112" i="9"/>
  <c r="AZ110" i="9"/>
  <c r="N110" i="9"/>
  <c r="AU108" i="9"/>
  <c r="AV107" i="9"/>
  <c r="AK106" i="9"/>
  <c r="W105" i="9"/>
  <c r="AW103" i="9"/>
  <c r="AK102" i="9"/>
  <c r="W101" i="9"/>
  <c r="AW99" i="9"/>
  <c r="AK98" i="9"/>
  <c r="W97" i="9"/>
  <c r="AW95" i="9"/>
  <c r="AK94" i="9"/>
  <c r="W93" i="9"/>
  <c r="AW91" i="9"/>
  <c r="AK90" i="9"/>
  <c r="W89" i="9"/>
  <c r="AW87" i="9"/>
  <c r="F91" i="9"/>
  <c r="U113" i="9"/>
  <c r="AX111" i="9"/>
  <c r="AY110" i="9"/>
  <c r="AZ109" i="9"/>
  <c r="AS108" i="9"/>
  <c r="AU107" i="9"/>
  <c r="AJ106" i="9"/>
  <c r="V105" i="9"/>
  <c r="AV103" i="9"/>
  <c r="AJ102" i="9"/>
  <c r="V101" i="9"/>
  <c r="AV99" i="9"/>
  <c r="AJ98" i="9"/>
  <c r="V97" i="9"/>
  <c r="AV95" i="9"/>
  <c r="AJ94" i="9"/>
  <c r="V93" i="9"/>
  <c r="AV91" i="9"/>
  <c r="AJ90" i="9"/>
  <c r="V89" i="9"/>
  <c r="L104" i="9"/>
  <c r="L92" i="9"/>
  <c r="L103" i="9"/>
  <c r="L97" i="9"/>
  <c r="L96" i="9"/>
  <c r="L91" i="9"/>
  <c r="L107" i="9"/>
  <c r="L106" i="9"/>
  <c r="L93" i="9"/>
  <c r="L102" i="9"/>
  <c r="L90" i="9"/>
  <c r="L112" i="9"/>
  <c r="L109" i="9"/>
  <c r="L113" i="9"/>
  <c r="L101" i="9"/>
  <c r="L89" i="9"/>
  <c r="L100" i="9"/>
  <c r="L88" i="9"/>
  <c r="L94" i="9"/>
  <c r="L105" i="9"/>
  <c r="L111" i="9"/>
  <c r="L99" i="9"/>
  <c r="L87" i="9"/>
  <c r="L95" i="9"/>
  <c r="L110" i="9"/>
  <c r="L98" i="9"/>
  <c r="L108" i="9"/>
  <c r="O87" i="9"/>
  <c r="P87" i="9"/>
  <c r="AD87" i="9"/>
  <c r="M87" i="9" s="1"/>
  <c r="P88" i="9"/>
  <c r="AD88" i="9"/>
  <c r="M88" i="9" s="1"/>
  <c r="P89" i="9"/>
  <c r="AD89" i="9"/>
  <c r="M89" i="9" s="1"/>
  <c r="P90" i="9"/>
  <c r="AD90" i="9"/>
  <c r="M90" i="9" s="1"/>
  <c r="P91" i="9"/>
  <c r="AD91" i="9"/>
  <c r="M91" i="9" s="1"/>
  <c r="P92" i="9"/>
  <c r="AD92" i="9"/>
  <c r="M92" i="9" s="1"/>
  <c r="P93" i="9"/>
  <c r="AD93" i="9"/>
  <c r="M93" i="9" s="1"/>
  <c r="P94" i="9"/>
  <c r="AD94" i="9"/>
  <c r="M94" i="9" s="1"/>
  <c r="P95" i="9"/>
  <c r="AD95" i="9"/>
  <c r="M95" i="9" s="1"/>
  <c r="P96" i="9"/>
  <c r="AD96" i="9"/>
  <c r="M96" i="9" s="1"/>
  <c r="P97" i="9"/>
  <c r="AD97" i="9"/>
  <c r="M97" i="9" s="1"/>
  <c r="P98" i="9"/>
  <c r="AD98" i="9"/>
  <c r="M98" i="9" s="1"/>
  <c r="P99" i="9"/>
  <c r="AD99" i="9"/>
  <c r="M99" i="9" s="1"/>
  <c r="P100" i="9"/>
  <c r="AD100" i="9"/>
  <c r="M100" i="9" s="1"/>
  <c r="P101" i="9"/>
  <c r="AD101" i="9"/>
  <c r="M101" i="9" s="1"/>
  <c r="P102" i="9"/>
  <c r="AD102" i="9"/>
  <c r="M102" i="9" s="1"/>
  <c r="P103" i="9"/>
  <c r="AD103" i="9"/>
  <c r="M103" i="9" s="1"/>
  <c r="P104" i="9"/>
  <c r="AD104" i="9"/>
  <c r="M104" i="9" s="1"/>
  <c r="P105" i="9"/>
  <c r="AD105" i="9"/>
  <c r="M105" i="9" s="1"/>
  <c r="P106" i="9"/>
  <c r="AD106" i="9"/>
  <c r="M106" i="9" s="1"/>
  <c r="P107" i="9"/>
  <c r="AD107" i="9"/>
  <c r="M107" i="9" s="1"/>
  <c r="P108" i="9"/>
  <c r="AD108" i="9"/>
  <c r="M108" i="9" s="1"/>
  <c r="P109" i="9"/>
  <c r="AD109" i="9"/>
  <c r="M109" i="9" s="1"/>
  <c r="P110" i="9"/>
  <c r="AD110" i="9"/>
  <c r="M110" i="9" s="1"/>
  <c r="P111" i="9"/>
  <c r="AD111" i="9"/>
  <c r="M111" i="9" s="1"/>
  <c r="P112" i="9"/>
  <c r="AD112" i="9"/>
  <c r="M112" i="9" s="1"/>
  <c r="P113" i="9"/>
  <c r="AD113" i="9"/>
  <c r="M113" i="9" s="1"/>
  <c r="F89" i="9"/>
  <c r="F101" i="9"/>
  <c r="F113" i="9"/>
  <c r="R87" i="9"/>
  <c r="AE87" i="9"/>
  <c r="Z87" i="9" s="1"/>
  <c r="AR87" i="9"/>
  <c r="R88" i="9"/>
  <c r="AE88" i="9"/>
  <c r="Z88" i="9" s="1"/>
  <c r="AR88" i="9"/>
  <c r="R89" i="9"/>
  <c r="AE89" i="9"/>
  <c r="Z89" i="9" s="1"/>
  <c r="AR89" i="9"/>
  <c r="R90" i="9"/>
  <c r="AE90" i="9"/>
  <c r="Z90" i="9" s="1"/>
  <c r="AR90" i="9"/>
  <c r="R91" i="9"/>
  <c r="AE91" i="9"/>
  <c r="Z91" i="9" s="1"/>
  <c r="AR91" i="9"/>
  <c r="R92" i="9"/>
  <c r="AE92" i="9"/>
  <c r="Z92" i="9" s="1"/>
  <c r="AR92" i="9"/>
  <c r="R93" i="9"/>
  <c r="AE93" i="9"/>
  <c r="Z93" i="9" s="1"/>
  <c r="AR93" i="9"/>
  <c r="R94" i="9"/>
  <c r="AE94" i="9"/>
  <c r="Z94" i="9" s="1"/>
  <c r="AR94" i="9"/>
  <c r="R95" i="9"/>
  <c r="AE95" i="9"/>
  <c r="Z95" i="9" s="1"/>
  <c r="AR95" i="9"/>
  <c r="R96" i="9"/>
  <c r="AE96" i="9"/>
  <c r="Z96" i="9" s="1"/>
  <c r="AR96" i="9"/>
  <c r="R97" i="9"/>
  <c r="AE97" i="9"/>
  <c r="Z97" i="9" s="1"/>
  <c r="AR97" i="9"/>
  <c r="R98" i="9"/>
  <c r="AE98" i="9"/>
  <c r="Z98" i="9" s="1"/>
  <c r="AR98" i="9"/>
  <c r="R99" i="9"/>
  <c r="AE99" i="9"/>
  <c r="Z99" i="9" s="1"/>
  <c r="AR99" i="9"/>
  <c r="R100" i="9"/>
  <c r="AE100" i="9"/>
  <c r="Z100" i="9" s="1"/>
  <c r="AR100" i="9"/>
  <c r="R101" i="9"/>
  <c r="AE101" i="9"/>
  <c r="Z101" i="9" s="1"/>
  <c r="AR101" i="9"/>
  <c r="R102" i="9"/>
  <c r="AE102" i="9"/>
  <c r="Z102" i="9" s="1"/>
  <c r="AR102" i="9"/>
  <c r="R103" i="9"/>
  <c r="AE103" i="9"/>
  <c r="Z103" i="9" s="1"/>
  <c r="AR103" i="9"/>
  <c r="R104" i="9"/>
  <c r="AE104" i="9"/>
  <c r="Z104" i="9" s="1"/>
  <c r="AR104" i="9"/>
  <c r="R105" i="9"/>
  <c r="AE105" i="9"/>
  <c r="Z105" i="9" s="1"/>
  <c r="AR105" i="9"/>
  <c r="R106" i="9"/>
  <c r="AE106" i="9"/>
  <c r="Z106" i="9" s="1"/>
  <c r="AR106" i="9"/>
  <c r="R107" i="9"/>
  <c r="AE107" i="9"/>
  <c r="Z107" i="9" s="1"/>
  <c r="AR107" i="9"/>
  <c r="R108" i="9"/>
  <c r="AE108" i="9"/>
  <c r="Z108" i="9" s="1"/>
  <c r="AR108" i="9"/>
  <c r="R109" i="9"/>
  <c r="AE109" i="9"/>
  <c r="Z109" i="9" s="1"/>
  <c r="AR109" i="9"/>
  <c r="R110" i="9"/>
  <c r="AE110" i="9"/>
  <c r="Z110" i="9" s="1"/>
  <c r="AR110" i="9"/>
  <c r="R111" i="9"/>
  <c r="AE111" i="9"/>
  <c r="Z111" i="9" s="1"/>
  <c r="AR111" i="9"/>
  <c r="R112" i="9"/>
  <c r="AE112" i="9"/>
  <c r="Z112" i="9" s="1"/>
  <c r="AR112" i="9"/>
  <c r="R113" i="9"/>
  <c r="AE113" i="9"/>
  <c r="Z113" i="9" s="1"/>
  <c r="AR113" i="9"/>
  <c r="F90" i="9"/>
  <c r="F102" i="9"/>
  <c r="T87" i="9"/>
  <c r="AG87" i="9"/>
  <c r="AT87" i="9"/>
  <c r="T88" i="9"/>
  <c r="AG88" i="9"/>
  <c r="AT88" i="9"/>
  <c r="T89" i="9"/>
  <c r="AG89" i="9"/>
  <c r="AT89" i="9"/>
  <c r="T90" i="9"/>
  <c r="AG90" i="9"/>
  <c r="AT90" i="9"/>
  <c r="T91" i="9"/>
  <c r="AG91" i="9"/>
  <c r="AT91" i="9"/>
  <c r="T92" i="9"/>
  <c r="AG92" i="9"/>
  <c r="AT92" i="9"/>
  <c r="T93" i="9"/>
  <c r="AG93" i="9"/>
  <c r="AT93" i="9"/>
  <c r="T94" i="9"/>
  <c r="AG94" i="9"/>
  <c r="AT94" i="9"/>
  <c r="T95" i="9"/>
  <c r="AG95" i="9"/>
  <c r="AT95" i="9"/>
  <c r="T96" i="9"/>
  <c r="AG96" i="9"/>
  <c r="AT96" i="9"/>
  <c r="T97" i="9"/>
  <c r="AG97" i="9"/>
  <c r="AT97" i="9"/>
  <c r="T98" i="9"/>
  <c r="AG98" i="9"/>
  <c r="AT98" i="9"/>
  <c r="T99" i="9"/>
  <c r="AG99" i="9"/>
  <c r="AT99" i="9"/>
  <c r="T100" i="9"/>
  <c r="AG100" i="9"/>
  <c r="AT100" i="9"/>
  <c r="T101" i="9"/>
  <c r="AG101" i="9"/>
  <c r="AT101" i="9"/>
  <c r="T102" i="9"/>
  <c r="AG102" i="9"/>
  <c r="AT102" i="9"/>
  <c r="T103" i="9"/>
  <c r="AG103" i="9"/>
  <c r="AT103" i="9"/>
  <c r="T104" i="9"/>
  <c r="AG104" i="9"/>
  <c r="AT104" i="9"/>
  <c r="T105" i="9"/>
  <c r="AG105" i="9"/>
  <c r="AT105" i="9"/>
  <c r="T106" i="9"/>
  <c r="AG106" i="9"/>
  <c r="AT106" i="9"/>
  <c r="T107" i="9"/>
  <c r="AG107" i="9"/>
  <c r="AT107" i="9"/>
  <c r="T108" i="9"/>
  <c r="AG108" i="9"/>
  <c r="AT108" i="9"/>
  <c r="T109" i="9"/>
  <c r="AG109" i="9"/>
  <c r="AT109" i="9"/>
  <c r="T110" i="9"/>
  <c r="AG110" i="9"/>
  <c r="AT110" i="9"/>
  <c r="T111" i="9"/>
  <c r="AG111" i="9"/>
  <c r="AT111" i="9"/>
  <c r="T112" i="9"/>
  <c r="AG112" i="9"/>
  <c r="AT112" i="9"/>
  <c r="T113" i="9"/>
  <c r="AG113" i="9"/>
  <c r="AT113" i="9"/>
  <c r="F92" i="9"/>
  <c r="F104" i="9"/>
  <c r="N87" i="9"/>
  <c r="AJ87" i="9"/>
  <c r="AY87" i="9"/>
  <c r="AC88" i="9"/>
  <c r="K88" i="9" s="1"/>
  <c r="AV88" i="9"/>
  <c r="Y89" i="9"/>
  <c r="G89" i="9" s="1"/>
  <c r="AP89" i="9"/>
  <c r="V90" i="9"/>
  <c r="AM90" i="9"/>
  <c r="O91" i="9"/>
  <c r="AJ91" i="9"/>
  <c r="AY91" i="9"/>
  <c r="AC92" i="9"/>
  <c r="K92" i="9" s="1"/>
  <c r="AV92" i="9"/>
  <c r="Y93" i="9"/>
  <c r="G93" i="9" s="1"/>
  <c r="AP93" i="9"/>
  <c r="V94" i="9"/>
  <c r="AM94" i="9"/>
  <c r="O95" i="9"/>
  <c r="AJ95" i="9"/>
  <c r="AY95" i="9"/>
  <c r="AC96" i="9"/>
  <c r="K96" i="9" s="1"/>
  <c r="AV96" i="9"/>
  <c r="Y97" i="9"/>
  <c r="G97" i="9" s="1"/>
  <c r="AP97" i="9"/>
  <c r="V98" i="9"/>
  <c r="AM98" i="9"/>
  <c r="O99" i="9"/>
  <c r="AJ99" i="9"/>
  <c r="AY99" i="9"/>
  <c r="AC100" i="9"/>
  <c r="K100" i="9" s="1"/>
  <c r="AV100" i="9"/>
  <c r="Y101" i="9"/>
  <c r="G101" i="9" s="1"/>
  <c r="AP101" i="9"/>
  <c r="V102" i="9"/>
  <c r="AM102" i="9"/>
  <c r="O103" i="9"/>
  <c r="AJ103" i="9"/>
  <c r="AY103" i="9"/>
  <c r="AC104" i="9"/>
  <c r="K104" i="9" s="1"/>
  <c r="AV104" i="9"/>
  <c r="Y105" i="9"/>
  <c r="G105" i="9" s="1"/>
  <c r="AP105" i="9"/>
  <c r="V106" i="9"/>
  <c r="AM106" i="9"/>
  <c r="O107" i="9"/>
  <c r="AJ107" i="9"/>
  <c r="AY107" i="9"/>
  <c r="AC108" i="9"/>
  <c r="K108" i="9" s="1"/>
  <c r="AV108" i="9"/>
  <c r="Y109" i="9"/>
  <c r="G109" i="9" s="1"/>
  <c r="AP109" i="9"/>
  <c r="V110" i="9"/>
  <c r="AM110" i="9"/>
  <c r="O111" i="9"/>
  <c r="AJ111" i="9"/>
  <c r="AY111" i="9"/>
  <c r="AC112" i="9"/>
  <c r="K112" i="9" s="1"/>
  <c r="AV112" i="9"/>
  <c r="Y113" i="9"/>
  <c r="G113" i="9" s="1"/>
  <c r="AP113" i="9"/>
  <c r="F94" i="9"/>
  <c r="F109" i="9"/>
  <c r="W87" i="9"/>
  <c r="AS90" i="9"/>
  <c r="AZ92" i="9"/>
  <c r="AS94" i="9"/>
  <c r="S96" i="9"/>
  <c r="AW97" i="9"/>
  <c r="AN99" i="9"/>
  <c r="AF101" i="9"/>
  <c r="AN103" i="9"/>
  <c r="AZ104" i="9"/>
  <c r="AS106" i="9"/>
  <c r="AZ108" i="9"/>
  <c r="AA110" i="9"/>
  <c r="I110" i="9" s="1"/>
  <c r="AK112" i="9"/>
  <c r="S87" i="9"/>
  <c r="AK87" i="9"/>
  <c r="AZ87" i="9"/>
  <c r="AF88" i="9"/>
  <c r="AW88" i="9"/>
  <c r="AA89" i="9"/>
  <c r="I89" i="9" s="1"/>
  <c r="AS89" i="9"/>
  <c r="W90" i="9"/>
  <c r="AN90" i="9"/>
  <c r="S91" i="9"/>
  <c r="AK91" i="9"/>
  <c r="AZ91" i="9"/>
  <c r="AF92" i="9"/>
  <c r="AW92" i="9"/>
  <c r="AA93" i="9"/>
  <c r="I93" i="9" s="1"/>
  <c r="AS93" i="9"/>
  <c r="W94" i="9"/>
  <c r="AN94" i="9"/>
  <c r="S95" i="9"/>
  <c r="AK95" i="9"/>
  <c r="AZ95" i="9"/>
  <c r="AF96" i="9"/>
  <c r="AW96" i="9"/>
  <c r="AA97" i="9"/>
  <c r="I97" i="9" s="1"/>
  <c r="AS97" i="9"/>
  <c r="W98" i="9"/>
  <c r="AN98" i="9"/>
  <c r="S99" i="9"/>
  <c r="AK99" i="9"/>
  <c r="AZ99" i="9"/>
  <c r="AF100" i="9"/>
  <c r="AW100" i="9"/>
  <c r="AA101" i="9"/>
  <c r="I101" i="9" s="1"/>
  <c r="AS101" i="9"/>
  <c r="W102" i="9"/>
  <c r="AN102" i="9"/>
  <c r="S103" i="9"/>
  <c r="AK103" i="9"/>
  <c r="AZ103" i="9"/>
  <c r="AF104" i="9"/>
  <c r="AW104" i="9"/>
  <c r="AA105" i="9"/>
  <c r="I105" i="9" s="1"/>
  <c r="AS105" i="9"/>
  <c r="W106" i="9"/>
  <c r="AN106" i="9"/>
  <c r="S107" i="9"/>
  <c r="AK107" i="9"/>
  <c r="AZ107" i="9"/>
  <c r="AF108" i="9"/>
  <c r="AW108" i="9"/>
  <c r="AA109" i="9"/>
  <c r="I109" i="9" s="1"/>
  <c r="AS109" i="9"/>
  <c r="W110" i="9"/>
  <c r="AN110" i="9"/>
  <c r="S111" i="9"/>
  <c r="AK111" i="9"/>
  <c r="AZ111" i="9"/>
  <c r="AF112" i="9"/>
  <c r="AW112" i="9"/>
  <c r="AA113" i="9"/>
  <c r="I113" i="9" s="1"/>
  <c r="AS113" i="9"/>
  <c r="F95" i="9"/>
  <c r="F110" i="9"/>
  <c r="AN87" i="9"/>
  <c r="AA90" i="9"/>
  <c r="I90" i="9" s="1"/>
  <c r="AK92" i="9"/>
  <c r="AA94" i="9"/>
  <c r="I94" i="9" s="1"/>
  <c r="AK96" i="9"/>
  <c r="AA98" i="9"/>
  <c r="I98" i="9" s="1"/>
  <c r="S100" i="9"/>
  <c r="AW101" i="9"/>
  <c r="W103" i="9"/>
  <c r="AF105" i="9"/>
  <c r="W107" i="9"/>
  <c r="AK108" i="9"/>
  <c r="AS110" i="9"/>
  <c r="S112" i="9"/>
  <c r="AW113" i="9"/>
  <c r="F98" i="9"/>
  <c r="U87" i="9"/>
  <c r="N88" i="9"/>
  <c r="AH88" i="9"/>
  <c r="AX88" i="9"/>
  <c r="AB89" i="9"/>
  <c r="J89" i="9" s="1"/>
  <c r="AU89" i="9"/>
  <c r="X90" i="9"/>
  <c r="AO90" i="9"/>
  <c r="U91" i="9"/>
  <c r="N92" i="9"/>
  <c r="AH92" i="9"/>
  <c r="AX92" i="9"/>
  <c r="AB93" i="9"/>
  <c r="J93" i="9" s="1"/>
  <c r="AU93" i="9"/>
  <c r="X94" i="9"/>
  <c r="AO94" i="9"/>
  <c r="U95" i="9"/>
  <c r="N96" i="9"/>
  <c r="AH96" i="9"/>
  <c r="AX96" i="9"/>
  <c r="AB97" i="9"/>
  <c r="J97" i="9" s="1"/>
  <c r="AU97" i="9"/>
  <c r="X98" i="9"/>
  <c r="AO98" i="9"/>
  <c r="U99" i="9"/>
  <c r="N100" i="9"/>
  <c r="AH100" i="9"/>
  <c r="AX100" i="9"/>
  <c r="AB101" i="9"/>
  <c r="J101" i="9" s="1"/>
  <c r="AU101" i="9"/>
  <c r="X102" i="9"/>
  <c r="AO102" i="9"/>
  <c r="U103" i="9"/>
  <c r="N104" i="9"/>
  <c r="AH104" i="9"/>
  <c r="AX104" i="9"/>
  <c r="AB105" i="9"/>
  <c r="J105" i="9" s="1"/>
  <c r="AU105" i="9"/>
  <c r="X106" i="9"/>
  <c r="AO106" i="9"/>
  <c r="U107" i="9"/>
  <c r="N108" i="9"/>
  <c r="AH108" i="9"/>
  <c r="AX108" i="9"/>
  <c r="AB109" i="9"/>
  <c r="J109" i="9" s="1"/>
  <c r="AU109" i="9"/>
  <c r="X110" i="9"/>
  <c r="AO110" i="9"/>
  <c r="U111" i="9"/>
  <c r="N112" i="9"/>
  <c r="AH112" i="9"/>
  <c r="AX112" i="9"/>
  <c r="AB113" i="9"/>
  <c r="J113" i="9" s="1"/>
  <c r="AU113" i="9"/>
  <c r="F96" i="9"/>
  <c r="F111" i="9"/>
  <c r="S88" i="9"/>
  <c r="AF89" i="9"/>
  <c r="W91" i="9"/>
  <c r="S92" i="9"/>
  <c r="AW93" i="9"/>
  <c r="W95" i="9"/>
  <c r="AZ96" i="9"/>
  <c r="W99" i="9"/>
  <c r="AK100" i="9"/>
  <c r="AA102" i="9"/>
  <c r="I102" i="9" s="1"/>
  <c r="S104" i="9"/>
  <c r="AW105" i="9"/>
  <c r="AN107" i="9"/>
  <c r="AF109" i="9"/>
  <c r="W111" i="9"/>
  <c r="AF113" i="9"/>
  <c r="V87" i="9"/>
  <c r="AM87" i="9"/>
  <c r="O88" i="9"/>
  <c r="AJ88" i="9"/>
  <c r="AY88" i="9"/>
  <c r="AC89" i="9"/>
  <c r="K89" i="9" s="1"/>
  <c r="AV89" i="9"/>
  <c r="Y90" i="9"/>
  <c r="G90" i="9" s="1"/>
  <c r="AP90" i="9"/>
  <c r="V91" i="9"/>
  <c r="AM91" i="9"/>
  <c r="O92" i="9"/>
  <c r="AJ92" i="9"/>
  <c r="AY92" i="9"/>
  <c r="AC93" i="9"/>
  <c r="K93" i="9" s="1"/>
  <c r="AV93" i="9"/>
  <c r="Y94" i="9"/>
  <c r="G94" i="9" s="1"/>
  <c r="AP94" i="9"/>
  <c r="V95" i="9"/>
  <c r="AM95" i="9"/>
  <c r="O96" i="9"/>
  <c r="AJ96" i="9"/>
  <c r="AY96" i="9"/>
  <c r="AC97" i="9"/>
  <c r="K97" i="9" s="1"/>
  <c r="AV97" i="9"/>
  <c r="Y98" i="9"/>
  <c r="G98" i="9" s="1"/>
  <c r="AP98" i="9"/>
  <c r="V99" i="9"/>
  <c r="AM99" i="9"/>
  <c r="O100" i="9"/>
  <c r="AJ100" i="9"/>
  <c r="AY100" i="9"/>
  <c r="AC101" i="9"/>
  <c r="K101" i="9" s="1"/>
  <c r="AV101" i="9"/>
  <c r="Y102" i="9"/>
  <c r="G102" i="9" s="1"/>
  <c r="AP102" i="9"/>
  <c r="V103" i="9"/>
  <c r="AM103" i="9"/>
  <c r="O104" i="9"/>
  <c r="AJ104" i="9"/>
  <c r="AY104" i="9"/>
  <c r="AC105" i="9"/>
  <c r="K105" i="9" s="1"/>
  <c r="AV105" i="9"/>
  <c r="Y106" i="9"/>
  <c r="G106" i="9" s="1"/>
  <c r="AP106" i="9"/>
  <c r="V107" i="9"/>
  <c r="AM107" i="9"/>
  <c r="O108" i="9"/>
  <c r="AJ108" i="9"/>
  <c r="AY108" i="9"/>
  <c r="AC109" i="9"/>
  <c r="K109" i="9" s="1"/>
  <c r="AV109" i="9"/>
  <c r="Y110" i="9"/>
  <c r="G110" i="9" s="1"/>
  <c r="AP110" i="9"/>
  <c r="V111" i="9"/>
  <c r="AM111" i="9"/>
  <c r="O112" i="9"/>
  <c r="AJ112" i="9"/>
  <c r="AY112" i="9"/>
  <c r="AC113" i="9"/>
  <c r="K113" i="9" s="1"/>
  <c r="AV113" i="9"/>
  <c r="F97" i="9"/>
  <c r="F112" i="9"/>
  <c r="AK88" i="9"/>
  <c r="AZ88" i="9"/>
  <c r="AW89" i="9"/>
  <c r="AN91" i="9"/>
  <c r="AF93" i="9"/>
  <c r="AN95" i="9"/>
  <c r="AF97" i="9"/>
  <c r="AS98" i="9"/>
  <c r="AZ100" i="9"/>
  <c r="AS102" i="9"/>
  <c r="AK104" i="9"/>
  <c r="AA106" i="9"/>
  <c r="I106" i="9" s="1"/>
  <c r="S108" i="9"/>
  <c r="AW109" i="9"/>
  <c r="AN111" i="9"/>
  <c r="AZ112" i="9"/>
  <c r="X87" i="9"/>
  <c r="AO87" i="9"/>
  <c r="U88" i="9"/>
  <c r="N89" i="9"/>
  <c r="AH89" i="9"/>
  <c r="AX89" i="9"/>
  <c r="AB90" i="9"/>
  <c r="J90" i="9" s="1"/>
  <c r="AU90" i="9"/>
  <c r="X91" i="9"/>
  <c r="AO91" i="9"/>
  <c r="U92" i="9"/>
  <c r="N93" i="9"/>
  <c r="AH93" i="9"/>
  <c r="AX93" i="9"/>
  <c r="AB94" i="9"/>
  <c r="J94" i="9" s="1"/>
  <c r="AU94" i="9"/>
  <c r="X95" i="9"/>
  <c r="AO95" i="9"/>
  <c r="U96" i="9"/>
  <c r="N97" i="9"/>
  <c r="AH97" i="9"/>
  <c r="AX97" i="9"/>
  <c r="AB98" i="9"/>
  <c r="J98" i="9" s="1"/>
  <c r="AU98" i="9"/>
  <c r="X99" i="9"/>
  <c r="AO99" i="9"/>
  <c r="U100" i="9"/>
  <c r="N101" i="9"/>
  <c r="AH101" i="9"/>
  <c r="AX101" i="9"/>
  <c r="AB102" i="9"/>
  <c r="J102" i="9" s="1"/>
  <c r="AU102" i="9"/>
  <c r="X103" i="9"/>
  <c r="AO103" i="9"/>
  <c r="U104" i="9"/>
  <c r="N105" i="9"/>
  <c r="AH105" i="9"/>
  <c r="AX105" i="9"/>
  <c r="AB106" i="9"/>
  <c r="J106" i="9" s="1"/>
  <c r="AU106" i="9"/>
  <c r="X107" i="9"/>
  <c r="AO107" i="9"/>
  <c r="U108" i="9"/>
  <c r="N109" i="9"/>
  <c r="AH109" i="9"/>
  <c r="AX109" i="9"/>
  <c r="AB110" i="9"/>
  <c r="J110" i="9" s="1"/>
  <c r="AU110" i="9"/>
  <c r="X111" i="9"/>
  <c r="AO111" i="9"/>
  <c r="U112" i="9"/>
  <c r="N113" i="9"/>
  <c r="AH113" i="9"/>
  <c r="AX113" i="9"/>
  <c r="F99" i="9"/>
  <c r="AA87" i="9"/>
  <c r="I87" i="9" s="1"/>
  <c r="W88" i="9"/>
  <c r="S89" i="9"/>
  <c r="AZ89" i="9"/>
  <c r="AW90" i="9"/>
  <c r="AS91" i="9"/>
  <c r="AN92" i="9"/>
  <c r="AK93" i="9"/>
  <c r="AF94" i="9"/>
  <c r="AA95" i="9"/>
  <c r="I95" i="9" s="1"/>
  <c r="W96" i="9"/>
  <c r="AK97" i="9"/>
  <c r="AF98" i="9"/>
  <c r="AA99" i="9"/>
  <c r="I99" i="9" s="1"/>
  <c r="W100" i="9"/>
  <c r="S101" i="9"/>
  <c r="AZ101" i="9"/>
  <c r="AW102" i="9"/>
  <c r="AS103" i="9"/>
  <c r="AN104" i="9"/>
  <c r="AK105" i="9"/>
  <c r="AF106" i="9"/>
  <c r="AA107" i="9"/>
  <c r="I107" i="9" s="1"/>
  <c r="Y87" i="9"/>
  <c r="G87" i="9" s="1"/>
  <c r="AP87" i="9"/>
  <c r="V88" i="9"/>
  <c r="AM88" i="9"/>
  <c r="O89" i="9"/>
  <c r="AJ89" i="9"/>
  <c r="AY89" i="9"/>
  <c r="AC90" i="9"/>
  <c r="K90" i="9" s="1"/>
  <c r="AV90" i="9"/>
  <c r="Y91" i="9"/>
  <c r="G91" i="9" s="1"/>
  <c r="AP91" i="9"/>
  <c r="V92" i="9"/>
  <c r="AM92" i="9"/>
  <c r="O93" i="9"/>
  <c r="AJ93" i="9"/>
  <c r="AY93" i="9"/>
  <c r="AC94" i="9"/>
  <c r="K94" i="9" s="1"/>
  <c r="AV94" i="9"/>
  <c r="Y95" i="9"/>
  <c r="G95" i="9" s="1"/>
  <c r="AP95" i="9"/>
  <c r="V96" i="9"/>
  <c r="AM96" i="9"/>
  <c r="O97" i="9"/>
  <c r="AJ97" i="9"/>
  <c r="AY97" i="9"/>
  <c r="AC98" i="9"/>
  <c r="K98" i="9" s="1"/>
  <c r="AV98" i="9"/>
  <c r="Y99" i="9"/>
  <c r="G99" i="9" s="1"/>
  <c r="AP99" i="9"/>
  <c r="V100" i="9"/>
  <c r="AM100" i="9"/>
  <c r="O101" i="9"/>
  <c r="AJ101" i="9"/>
  <c r="AY101" i="9"/>
  <c r="AC102" i="9"/>
  <c r="K102" i="9" s="1"/>
  <c r="AV102" i="9"/>
  <c r="Y103" i="9"/>
  <c r="G103" i="9" s="1"/>
  <c r="AP103" i="9"/>
  <c r="V104" i="9"/>
  <c r="AM104" i="9"/>
  <c r="O105" i="9"/>
  <c r="AJ105" i="9"/>
  <c r="AY105" i="9"/>
  <c r="AC106" i="9"/>
  <c r="K106" i="9" s="1"/>
  <c r="AV106" i="9"/>
  <c r="Y107" i="9"/>
  <c r="G107" i="9" s="1"/>
  <c r="AP107" i="9"/>
  <c r="V108" i="9"/>
  <c r="AM108" i="9"/>
  <c r="O109" i="9"/>
  <c r="AJ109" i="9"/>
  <c r="AY109" i="9"/>
  <c r="AC110" i="9"/>
  <c r="K110" i="9" s="1"/>
  <c r="AV110" i="9"/>
  <c r="Y111" i="9"/>
  <c r="G111" i="9" s="1"/>
  <c r="AP111" i="9"/>
  <c r="V112" i="9"/>
  <c r="AM112" i="9"/>
  <c r="O113" i="9"/>
  <c r="AJ113" i="9"/>
  <c r="AY113" i="9"/>
  <c r="F100" i="9"/>
  <c r="AS87" i="9"/>
  <c r="AN88" i="9"/>
  <c r="AK89" i="9"/>
  <c r="AF90" i="9"/>
  <c r="AA91" i="9"/>
  <c r="I91" i="9" s="1"/>
  <c r="W92" i="9"/>
  <c r="S93" i="9"/>
  <c r="AZ93" i="9"/>
  <c r="AW94" i="9"/>
  <c r="AS95" i="9"/>
  <c r="AN96" i="9"/>
  <c r="S97" i="9"/>
  <c r="AZ97" i="9"/>
  <c r="AW98" i="9"/>
  <c r="AS99" i="9"/>
  <c r="AN100" i="9"/>
  <c r="AK101" i="9"/>
  <c r="AF102" i="9"/>
  <c r="AA103" i="9"/>
  <c r="I103" i="9" s="1"/>
  <c r="W104" i="9"/>
  <c r="S105" i="9"/>
  <c r="AZ105" i="9"/>
  <c r="AW106" i="9"/>
  <c r="F88" i="9"/>
  <c r="S113" i="9"/>
  <c r="AW111" i="9"/>
  <c r="AX110" i="9"/>
  <c r="AO109" i="9"/>
  <c r="AP108" i="9"/>
  <c r="AS107" i="9"/>
  <c r="AH106" i="9"/>
  <c r="U105" i="9"/>
  <c r="AU103" i="9"/>
  <c r="AH102" i="9"/>
  <c r="U101" i="9"/>
  <c r="AU99" i="9"/>
  <c r="AH98" i="9"/>
  <c r="U97" i="9"/>
  <c r="AU95" i="9"/>
  <c r="AH94" i="9"/>
  <c r="U93" i="9"/>
  <c r="AU91" i="9"/>
  <c r="AH90" i="9"/>
  <c r="U89" i="9"/>
  <c r="AU87" i="9"/>
  <c r="AY106" i="9"/>
  <c r="Y88" i="9"/>
  <c r="G88" i="9" s="1"/>
  <c r="AK113" i="9"/>
  <c r="U110" i="9"/>
  <c r="AM105" i="9"/>
  <c r="AY102" i="9"/>
  <c r="Y100" i="9"/>
  <c r="G100" i="9" s="1"/>
  <c r="AM97" i="9"/>
  <c r="AY94" i="9"/>
  <c r="AM89" i="9"/>
  <c r="F105" i="9"/>
  <c r="Y112" i="9"/>
  <c r="G112" i="9" s="1"/>
  <c r="U109" i="9"/>
  <c r="F103" i="9"/>
  <c r="AV111" i="9"/>
  <c r="AN109" i="9"/>
  <c r="AH107" i="9"/>
  <c r="AU104" i="9"/>
  <c r="AH103" i="9"/>
  <c r="AU100" i="9"/>
  <c r="AH99" i="9"/>
  <c r="U98" i="9"/>
  <c r="AU96" i="9"/>
  <c r="AH95" i="9"/>
  <c r="U94" i="9"/>
  <c r="AU92" i="9"/>
  <c r="AH91" i="9"/>
  <c r="U90" i="9"/>
  <c r="AH87" i="9"/>
  <c r="AZ113" i="9"/>
  <c r="AS112" i="9"/>
  <c r="AU111" i="9"/>
  <c r="AM109" i="9"/>
  <c r="AN108" i="9"/>
  <c r="AF107" i="9"/>
  <c r="S106" i="9"/>
  <c r="AS104" i="9"/>
  <c r="AF103" i="9"/>
  <c r="S102" i="9"/>
  <c r="AS100" i="9"/>
  <c r="AF99" i="9"/>
  <c r="S98" i="9"/>
  <c r="AS96" i="9"/>
  <c r="AF95" i="9"/>
  <c r="S94" i="9"/>
  <c r="AS92" i="9"/>
  <c r="AF91" i="9"/>
  <c r="S90" i="9"/>
  <c r="AS88" i="9"/>
  <c r="AF87" i="9"/>
  <c r="F106" i="9"/>
  <c r="AA112" i="9"/>
  <c r="I112" i="9" s="1"/>
  <c r="AB111" i="9"/>
  <c r="J111" i="9" s="1"/>
  <c r="W108" i="9"/>
  <c r="Y104" i="9"/>
  <c r="G104" i="9" s="1"/>
  <c r="AM101" i="9"/>
  <c r="AY98" i="9"/>
  <c r="Y96" i="9"/>
  <c r="G96" i="9" s="1"/>
  <c r="AM93" i="9"/>
  <c r="AY90" i="9"/>
  <c r="X113" i="9"/>
  <c r="S110" i="9"/>
  <c r="AX106" i="9"/>
  <c r="AX102" i="9"/>
  <c r="AX98" i="9"/>
  <c r="AX90" i="9"/>
  <c r="X112" i="9"/>
  <c r="X89" i="9"/>
  <c r="F87" i="9"/>
  <c r="AU112" i="9"/>
  <c r="AW110" i="9"/>
  <c r="AO108" i="9"/>
  <c r="U106" i="9"/>
  <c r="U102" i="9"/>
  <c r="AU88" i="9"/>
  <c r="AO113" i="9"/>
  <c r="AP112" i="9"/>
  <c r="AS111" i="9"/>
  <c r="AK110" i="9"/>
  <c r="AB108" i="9"/>
  <c r="J108" i="9" s="1"/>
  <c r="AC107" i="9"/>
  <c r="K107" i="9" s="1"/>
  <c r="O106" i="9"/>
  <c r="AP104" i="9"/>
  <c r="AC103" i="9"/>
  <c r="K103" i="9" s="1"/>
  <c r="O102" i="9"/>
  <c r="AP100" i="9"/>
  <c r="AC99" i="9"/>
  <c r="K99" i="9" s="1"/>
  <c r="O98" i="9"/>
  <c r="AP96" i="9"/>
  <c r="AC95" i="9"/>
  <c r="K95" i="9" s="1"/>
  <c r="O94" i="9"/>
  <c r="AP92" i="9"/>
  <c r="AC91" i="9"/>
  <c r="K91" i="9" s="1"/>
  <c r="O90" i="9"/>
  <c r="AP88" i="9"/>
  <c r="AC87" i="9"/>
  <c r="K87" i="9" s="1"/>
  <c r="Y92" i="9"/>
  <c r="G92" i="9" s="1"/>
  <c r="AN113" i="9"/>
  <c r="AO112" i="9"/>
  <c r="AH111" i="9"/>
  <c r="AJ110" i="9"/>
  <c r="AK109" i="9"/>
  <c r="AA108" i="9"/>
  <c r="I108" i="9" s="1"/>
  <c r="AB107" i="9"/>
  <c r="J107" i="9" s="1"/>
  <c r="N106" i="9"/>
  <c r="AO104" i="9"/>
  <c r="AB103" i="9"/>
  <c r="J103" i="9" s="1"/>
  <c r="N102" i="9"/>
  <c r="AO100" i="9"/>
  <c r="AB99" i="9"/>
  <c r="J99" i="9" s="1"/>
  <c r="N98" i="9"/>
  <c r="AO96" i="9"/>
  <c r="AB95" i="9"/>
  <c r="J95" i="9" s="1"/>
  <c r="N94" i="9"/>
  <c r="AO92" i="9"/>
  <c r="AB91" i="9"/>
  <c r="J91" i="9" s="1"/>
  <c r="N90" i="9"/>
  <c r="AO88" i="9"/>
  <c r="AB87" i="9"/>
  <c r="J87" i="9" s="1"/>
  <c r="AA74" i="9"/>
  <c r="I74" i="9" s="1"/>
  <c r="AX83" i="9"/>
  <c r="AP83" i="9"/>
  <c r="AR79" i="9"/>
  <c r="F78" i="9"/>
  <c r="AT78" i="9"/>
  <c r="F77" i="9"/>
  <c r="AS78" i="9"/>
  <c r="AW86" i="9"/>
  <c r="AA82" i="9"/>
  <c r="I82" i="9" s="1"/>
  <c r="AU76" i="9"/>
  <c r="O83" i="9"/>
  <c r="AU77" i="9"/>
  <c r="N83" i="9"/>
  <c r="AT77" i="9"/>
  <c r="AX86" i="9"/>
  <c r="AB82" i="9"/>
  <c r="J82" i="9" s="1"/>
  <c r="AV76" i="9"/>
  <c r="W86" i="9"/>
  <c r="AF81" i="9"/>
  <c r="AT76" i="9"/>
  <c r="V86" i="9"/>
  <c r="AE81" i="9"/>
  <c r="Z81" i="9" s="1"/>
  <c r="AW75" i="9"/>
  <c r="AB85" i="9"/>
  <c r="J85" i="9" s="1"/>
  <c r="AV75" i="9"/>
  <c r="AA85" i="9"/>
  <c r="I85" i="9" s="1"/>
  <c r="AP80" i="9"/>
  <c r="AY74" i="9"/>
  <c r="AM84" i="9"/>
  <c r="AS79" i="9"/>
  <c r="AX74" i="9"/>
  <c r="F76" i="9"/>
  <c r="AV86" i="9"/>
  <c r="AZ85" i="9"/>
  <c r="Y85" i="9"/>
  <c r="G85" i="9" s="1"/>
  <c r="AK84" i="9"/>
  <c r="AO83" i="9"/>
  <c r="AZ82" i="9"/>
  <c r="R82" i="9"/>
  <c r="AD81" i="9"/>
  <c r="M81" i="9" s="1"/>
  <c r="AG80" i="9"/>
  <c r="AR78" i="9"/>
  <c r="AS77" i="9"/>
  <c r="AW74" i="9"/>
  <c r="AU75" i="9"/>
  <c r="F75" i="9"/>
  <c r="AU86" i="9"/>
  <c r="AY85" i="9"/>
  <c r="X85" i="9"/>
  <c r="AC84" i="9"/>
  <c r="K84" i="9" s="1"/>
  <c r="AN83" i="9"/>
  <c r="AY82" i="9"/>
  <c r="P82" i="9"/>
  <c r="AC81" i="9"/>
  <c r="K81" i="9" s="1"/>
  <c r="AF80" i="9"/>
  <c r="AH79" i="9"/>
  <c r="AJ77" i="9"/>
  <c r="AK76" i="9"/>
  <c r="AV74" i="9"/>
  <c r="F74" i="9"/>
  <c r="AX85" i="9"/>
  <c r="W85" i="9"/>
  <c r="AB84" i="9"/>
  <c r="J84" i="9" s="1"/>
  <c r="AM83" i="9"/>
  <c r="O82" i="9"/>
  <c r="AB81" i="9"/>
  <c r="J81" i="9" s="1"/>
  <c r="AE80" i="9"/>
  <c r="Z80" i="9" s="1"/>
  <c r="AG79" i="9"/>
  <c r="AH78" i="9"/>
  <c r="AJ76" i="9"/>
  <c r="AK75" i="9"/>
  <c r="AM74" i="9"/>
  <c r="N85" i="9"/>
  <c r="S81" i="9"/>
  <c r="AF79" i="9"/>
  <c r="AH77" i="9"/>
  <c r="AV85" i="9"/>
  <c r="Y84" i="9"/>
  <c r="G84" i="9" s="1"/>
  <c r="AO82" i="9"/>
  <c r="R81" i="9"/>
  <c r="AE79" i="9"/>
  <c r="Z79" i="9" s="1"/>
  <c r="AF78" i="9"/>
  <c r="AH76" i="9"/>
  <c r="AJ86" i="9"/>
  <c r="X84" i="9"/>
  <c r="AN82" i="9"/>
  <c r="P81" i="9"/>
  <c r="U79" i="9"/>
  <c r="W77" i="9"/>
  <c r="AJ74" i="9"/>
  <c r="AM85" i="9"/>
  <c r="AX84" i="9"/>
  <c r="O84" i="9"/>
  <c r="AB83" i="9"/>
  <c r="J83" i="9" s="1"/>
  <c r="AM82" i="9"/>
  <c r="O81" i="9"/>
  <c r="S80" i="9"/>
  <c r="T79" i="9"/>
  <c r="U78" i="9"/>
  <c r="V77" i="9"/>
  <c r="W76" i="9"/>
  <c r="X75" i="9"/>
  <c r="L76" i="9"/>
  <c r="L82" i="9"/>
  <c r="L80" i="9"/>
  <c r="L75" i="9"/>
  <c r="L86" i="9"/>
  <c r="L84" i="9"/>
  <c r="L74" i="9"/>
  <c r="L85" i="9"/>
  <c r="L83" i="9"/>
  <c r="L81" i="9"/>
  <c r="L79" i="9"/>
  <c r="L78" i="9"/>
  <c r="L77" i="9"/>
  <c r="N74" i="9"/>
  <c r="AB74" i="9"/>
  <c r="J74" i="9" s="1"/>
  <c r="AN74" i="9"/>
  <c r="AZ74" i="9"/>
  <c r="AA75" i="9"/>
  <c r="I75" i="9" s="1"/>
  <c r="AM75" i="9"/>
  <c r="AY75" i="9"/>
  <c r="Y76" i="9"/>
  <c r="G76" i="9" s="1"/>
  <c r="AX76" i="9"/>
  <c r="X77" i="9"/>
  <c r="AK77" i="9"/>
  <c r="AW77" i="9"/>
  <c r="W78" i="9"/>
  <c r="AJ78" i="9"/>
  <c r="AV78" i="9"/>
  <c r="V79" i="9"/>
  <c r="AU79" i="9"/>
  <c r="U80" i="9"/>
  <c r="AH80" i="9"/>
  <c r="AT80" i="9"/>
  <c r="T81" i="9"/>
  <c r="AG81" i="9"/>
  <c r="AS81" i="9"/>
  <c r="S82" i="9"/>
  <c r="AF82" i="9"/>
  <c r="AR82" i="9"/>
  <c r="R83" i="9"/>
  <c r="AE83" i="9"/>
  <c r="Z83" i="9" s="1"/>
  <c r="P84" i="9"/>
  <c r="AD84" i="9"/>
  <c r="M84" i="9" s="1"/>
  <c r="AP84" i="9"/>
  <c r="O85" i="9"/>
  <c r="AC85" i="9"/>
  <c r="K85" i="9" s="1"/>
  <c r="AO85" i="9"/>
  <c r="N86" i="9"/>
  <c r="AB86" i="9"/>
  <c r="J86" i="9" s="1"/>
  <c r="AN86" i="9"/>
  <c r="AZ86" i="9"/>
  <c r="F79" i="9"/>
  <c r="O74" i="9"/>
  <c r="AO74" i="9"/>
  <c r="N75" i="9"/>
  <c r="AB75" i="9"/>
  <c r="J75" i="9" s="1"/>
  <c r="AN75" i="9"/>
  <c r="AZ75" i="9"/>
  <c r="AA76" i="9"/>
  <c r="I76" i="9" s="1"/>
  <c r="AM76" i="9"/>
  <c r="AY76" i="9"/>
  <c r="Y77" i="9"/>
  <c r="G77" i="9" s="1"/>
  <c r="AX77" i="9"/>
  <c r="X78" i="9"/>
  <c r="AK78" i="9"/>
  <c r="AW78" i="9"/>
  <c r="W79" i="9"/>
  <c r="AJ79" i="9"/>
  <c r="V80" i="9"/>
  <c r="AU80" i="9"/>
  <c r="U81" i="9"/>
  <c r="AH81" i="9"/>
  <c r="AT81" i="9"/>
  <c r="T82" i="9"/>
  <c r="AG82" i="9"/>
  <c r="AS82" i="9"/>
  <c r="S83" i="9"/>
  <c r="AR83" i="9"/>
  <c r="R84" i="9"/>
  <c r="AE84" i="9"/>
  <c r="Z84" i="9" s="1"/>
  <c r="P85" i="9"/>
  <c r="AD85" i="9"/>
  <c r="M85" i="9" s="1"/>
  <c r="O86" i="9"/>
  <c r="AC86" i="9"/>
  <c r="K86" i="9" s="1"/>
  <c r="AO86" i="9"/>
  <c r="F80" i="9"/>
  <c r="AC74" i="9"/>
  <c r="K74" i="9" s="1"/>
  <c r="AV79" i="9"/>
  <c r="AF83" i="9"/>
  <c r="AP85" i="9"/>
  <c r="P74" i="9"/>
  <c r="AD74" i="9"/>
  <c r="M74" i="9" s="1"/>
  <c r="AP74" i="9"/>
  <c r="O75" i="9"/>
  <c r="AC75" i="9"/>
  <c r="K75" i="9" s="1"/>
  <c r="AO75" i="9"/>
  <c r="N76" i="9"/>
  <c r="AB76" i="9"/>
  <c r="J76" i="9" s="1"/>
  <c r="AN76" i="9"/>
  <c r="AZ76" i="9"/>
  <c r="AA77" i="9"/>
  <c r="I77" i="9" s="1"/>
  <c r="AM77" i="9"/>
  <c r="AY77" i="9"/>
  <c r="Y78" i="9"/>
  <c r="G78" i="9" s="1"/>
  <c r="AX78" i="9"/>
  <c r="X79" i="9"/>
  <c r="AK79" i="9"/>
  <c r="AW79" i="9"/>
  <c r="W80" i="9"/>
  <c r="AJ80" i="9"/>
  <c r="AV80" i="9"/>
  <c r="V81" i="9"/>
  <c r="AU81" i="9"/>
  <c r="U82" i="9"/>
  <c r="AH82" i="9"/>
  <c r="AT82" i="9"/>
  <c r="T83" i="9"/>
  <c r="AG83" i="9"/>
  <c r="AS83" i="9"/>
  <c r="S84" i="9"/>
  <c r="AF84" i="9"/>
  <c r="AR84" i="9"/>
  <c r="R85" i="9"/>
  <c r="AE85" i="9"/>
  <c r="Z85" i="9" s="1"/>
  <c r="P86" i="9"/>
  <c r="AD86" i="9"/>
  <c r="M86" i="9" s="1"/>
  <c r="AP86" i="9"/>
  <c r="F81" i="9"/>
  <c r="T74" i="9"/>
  <c r="S75" i="9"/>
  <c r="AF75" i="9"/>
  <c r="AR75" i="9"/>
  <c r="R76" i="9"/>
  <c r="AE76" i="9"/>
  <c r="Z76" i="9" s="1"/>
  <c r="AD77" i="9"/>
  <c r="M77" i="9" s="1"/>
  <c r="O78" i="9"/>
  <c r="AO78" i="9"/>
  <c r="AB79" i="9"/>
  <c r="J79" i="9" s="1"/>
  <c r="AA80" i="9"/>
  <c r="I80" i="9" s="1"/>
  <c r="AY80" i="9"/>
  <c r="AK82" i="9"/>
  <c r="W83" i="9"/>
  <c r="V84" i="9"/>
  <c r="U85" i="9"/>
  <c r="AT85" i="9"/>
  <c r="AS86" i="9"/>
  <c r="F84" i="9"/>
  <c r="AH74" i="9"/>
  <c r="AS75" i="9"/>
  <c r="AR76" i="9"/>
  <c r="AE77" i="9"/>
  <c r="Z77" i="9" s="1"/>
  <c r="AD78" i="9"/>
  <c r="M78" i="9" s="1"/>
  <c r="AO79" i="9"/>
  <c r="AN80" i="9"/>
  <c r="AA81" i="9"/>
  <c r="I81" i="9" s="1"/>
  <c r="Y82" i="9"/>
  <c r="G82" i="9" s="1"/>
  <c r="X83" i="9"/>
  <c r="W84" i="9"/>
  <c r="V85" i="9"/>
  <c r="U86" i="9"/>
  <c r="AT86" i="9"/>
  <c r="F85" i="9"/>
  <c r="AT75" i="9"/>
  <c r="AG76" i="9"/>
  <c r="AF77" i="9"/>
  <c r="AE78" i="9"/>
  <c r="Z78" i="9" s="1"/>
  <c r="AP79" i="9"/>
  <c r="R74" i="9"/>
  <c r="AE74" i="9"/>
  <c r="Z74" i="9" s="1"/>
  <c r="P75" i="9"/>
  <c r="AD75" i="9"/>
  <c r="M75" i="9" s="1"/>
  <c r="AP75" i="9"/>
  <c r="O76" i="9"/>
  <c r="AC76" i="9"/>
  <c r="K76" i="9" s="1"/>
  <c r="AO76" i="9"/>
  <c r="N77" i="9"/>
  <c r="AB77" i="9"/>
  <c r="J77" i="9" s="1"/>
  <c r="AN77" i="9"/>
  <c r="AZ77" i="9"/>
  <c r="AA78" i="9"/>
  <c r="I78" i="9" s="1"/>
  <c r="AM78" i="9"/>
  <c r="AY78" i="9"/>
  <c r="Y79" i="9"/>
  <c r="G79" i="9" s="1"/>
  <c r="AX79" i="9"/>
  <c r="X80" i="9"/>
  <c r="AK80" i="9"/>
  <c r="AW80" i="9"/>
  <c r="W81" i="9"/>
  <c r="AJ81" i="9"/>
  <c r="AV81" i="9"/>
  <c r="V82" i="9"/>
  <c r="AU82" i="9"/>
  <c r="U83" i="9"/>
  <c r="AH83" i="9"/>
  <c r="AT83" i="9"/>
  <c r="T84" i="9"/>
  <c r="AG84" i="9"/>
  <c r="AS84" i="9"/>
  <c r="S85" i="9"/>
  <c r="AF85" i="9"/>
  <c r="AR85" i="9"/>
  <c r="R86" i="9"/>
  <c r="AE86" i="9"/>
  <c r="Z86" i="9" s="1"/>
  <c r="F82" i="9"/>
  <c r="F83" i="9"/>
  <c r="AG74" i="9"/>
  <c r="P77" i="9"/>
  <c r="AP77" i="9"/>
  <c r="AC78" i="9"/>
  <c r="K78" i="9" s="1"/>
  <c r="N79" i="9"/>
  <c r="AN79" i="9"/>
  <c r="AZ79" i="9"/>
  <c r="AM80" i="9"/>
  <c r="Y81" i="9"/>
  <c r="G81" i="9" s="1"/>
  <c r="X82" i="9"/>
  <c r="AW82" i="9"/>
  <c r="AV83" i="9"/>
  <c r="AH85" i="9"/>
  <c r="AG86" i="9"/>
  <c r="U74" i="9"/>
  <c r="T75" i="9"/>
  <c r="AF76" i="9"/>
  <c r="P78" i="9"/>
  <c r="O79" i="9"/>
  <c r="AB80" i="9"/>
  <c r="J80" i="9" s="1"/>
  <c r="AM81" i="9"/>
  <c r="AK83" i="9"/>
  <c r="AV84" i="9"/>
  <c r="AU85" i="9"/>
  <c r="V74" i="9"/>
  <c r="AS76" i="9"/>
  <c r="R78" i="9"/>
  <c r="P79" i="9"/>
  <c r="O80" i="9"/>
  <c r="S74" i="9"/>
  <c r="AF74" i="9"/>
  <c r="AR74" i="9"/>
  <c r="R75" i="9"/>
  <c r="AE75" i="9"/>
  <c r="Z75" i="9" s="1"/>
  <c r="P76" i="9"/>
  <c r="AD76" i="9"/>
  <c r="M76" i="9" s="1"/>
  <c r="AP76" i="9"/>
  <c r="O77" i="9"/>
  <c r="AC77" i="9"/>
  <c r="K77" i="9" s="1"/>
  <c r="AO77" i="9"/>
  <c r="N78" i="9"/>
  <c r="AB78" i="9"/>
  <c r="J78" i="9" s="1"/>
  <c r="AN78" i="9"/>
  <c r="AZ78" i="9"/>
  <c r="AA79" i="9"/>
  <c r="I79" i="9" s="1"/>
  <c r="AM79" i="9"/>
  <c r="AY79" i="9"/>
  <c r="Y80" i="9"/>
  <c r="G80" i="9" s="1"/>
  <c r="AX80" i="9"/>
  <c r="X81" i="9"/>
  <c r="AK81" i="9"/>
  <c r="AW81" i="9"/>
  <c r="W82" i="9"/>
  <c r="AJ82" i="9"/>
  <c r="AV82" i="9"/>
  <c r="V83" i="9"/>
  <c r="AU83" i="9"/>
  <c r="U84" i="9"/>
  <c r="AH84" i="9"/>
  <c r="AT84" i="9"/>
  <c r="T85" i="9"/>
  <c r="AG85" i="9"/>
  <c r="AS85" i="9"/>
  <c r="S86" i="9"/>
  <c r="AF86" i="9"/>
  <c r="AR86" i="9"/>
  <c r="AS74" i="9"/>
  <c r="AX81" i="9"/>
  <c r="AJ83" i="9"/>
  <c r="AU84" i="9"/>
  <c r="T86" i="9"/>
  <c r="AT74" i="9"/>
  <c r="AG75" i="9"/>
  <c r="S76" i="9"/>
  <c r="R77" i="9"/>
  <c r="AP78" i="9"/>
  <c r="AC79" i="9"/>
  <c r="K79" i="9" s="1"/>
  <c r="N80" i="9"/>
  <c r="AZ80" i="9"/>
  <c r="AY81" i="9"/>
  <c r="AX82" i="9"/>
  <c r="AW83" i="9"/>
  <c r="AJ84" i="9"/>
  <c r="AH86" i="9"/>
  <c r="AU74" i="9"/>
  <c r="AH75" i="9"/>
  <c r="T76" i="9"/>
  <c r="S77" i="9"/>
  <c r="AR77" i="9"/>
  <c r="AD79" i="9"/>
  <c r="M79" i="9" s="1"/>
  <c r="AO80" i="9"/>
  <c r="AW85" i="9"/>
  <c r="AA84" i="9"/>
  <c r="I84" i="9" s="1"/>
  <c r="AP82" i="9"/>
  <c r="N82" i="9"/>
  <c r="AD80" i="9"/>
  <c r="M80" i="9" s="1"/>
  <c r="AG78" i="9"/>
  <c r="AJ75" i="9"/>
  <c r="AK86" i="9"/>
  <c r="AZ84" i="9"/>
  <c r="AD83" i="9"/>
  <c r="M83" i="9" s="1"/>
  <c r="AZ81" i="9"/>
  <c r="AC80" i="9"/>
  <c r="K80" i="9" s="1"/>
  <c r="AG77" i="9"/>
  <c r="AK74" i="9"/>
  <c r="AN85" i="9"/>
  <c r="AY84" i="9"/>
  <c r="AC83" i="9"/>
  <c r="K83" i="9" s="1"/>
  <c r="AR81" i="9"/>
  <c r="T80" i="9"/>
  <c r="V78" i="9"/>
  <c r="X76" i="9"/>
  <c r="Y75" i="9"/>
  <c r="G75" i="9" s="1"/>
  <c r="AA86" i="9"/>
  <c r="I86" i="9" s="1"/>
  <c r="AW84" i="9"/>
  <c r="N84" i="9"/>
  <c r="AA83" i="9"/>
  <c r="I83" i="9" s="1"/>
  <c r="AE82" i="9"/>
  <c r="Z82" i="9" s="1"/>
  <c r="AP81" i="9"/>
  <c r="N81" i="9"/>
  <c r="R80" i="9"/>
  <c r="S79" i="9"/>
  <c r="T78" i="9"/>
  <c r="U77" i="9"/>
  <c r="V76" i="9"/>
  <c r="W75" i="9"/>
  <c r="Y74" i="9"/>
  <c r="G74" i="9" s="1"/>
  <c r="AM86" i="9"/>
  <c r="Y86" i="9"/>
  <c r="G86" i="9" s="1"/>
  <c r="AK85" i="9"/>
  <c r="AO84" i="9"/>
  <c r="AZ83" i="9"/>
  <c r="Y83" i="9"/>
  <c r="G83" i="9" s="1"/>
  <c r="AD82" i="9"/>
  <c r="M82" i="9" s="1"/>
  <c r="AO81" i="9"/>
  <c r="AS80" i="9"/>
  <c r="P80" i="9"/>
  <c r="R79" i="9"/>
  <c r="S78" i="9"/>
  <c r="T77" i="9"/>
  <c r="U76" i="9"/>
  <c r="V75" i="9"/>
  <c r="X74" i="9"/>
  <c r="F86" i="9"/>
  <c r="AY86" i="9"/>
  <c r="X86" i="9"/>
  <c r="AJ85" i="9"/>
  <c r="AN84" i="9"/>
  <c r="AY83" i="9"/>
  <c r="P83" i="9"/>
  <c r="AC82" i="9"/>
  <c r="K82" i="9" s="1"/>
  <c r="AN81" i="9"/>
  <c r="AR80" i="9"/>
  <c r="AT79" i="9"/>
  <c r="AU78" i="9"/>
  <c r="AV77" i="9"/>
  <c r="AW76" i="9"/>
  <c r="AX75" i="9"/>
  <c r="U75" i="9"/>
  <c r="W74" i="9"/>
  <c r="L70" i="9"/>
  <c r="L62" i="9"/>
  <c r="L54" i="9"/>
  <c r="L46" i="9"/>
  <c r="L38" i="9"/>
  <c r="L30" i="9"/>
  <c r="L22" i="9"/>
  <c r="L14" i="9"/>
  <c r="L6" i="9"/>
  <c r="L41" i="9"/>
  <c r="L39" i="9"/>
  <c r="L69" i="9"/>
  <c r="L61" i="9"/>
  <c r="L53" i="9"/>
  <c r="L45" i="9"/>
  <c r="L37" i="9"/>
  <c r="L29" i="9"/>
  <c r="L21" i="9"/>
  <c r="L13" i="9"/>
  <c r="L5" i="9"/>
  <c r="L57" i="9"/>
  <c r="L17" i="9"/>
  <c r="L63" i="9"/>
  <c r="L23" i="9"/>
  <c r="L7" i="9"/>
  <c r="L68" i="9"/>
  <c r="L60" i="9"/>
  <c r="L52" i="9"/>
  <c r="L44" i="9"/>
  <c r="L36" i="9"/>
  <c r="L28" i="9"/>
  <c r="L20" i="9"/>
  <c r="L12" i="9"/>
  <c r="L4" i="9"/>
  <c r="L67" i="9"/>
  <c r="L59" i="9"/>
  <c r="L51" i="9"/>
  <c r="L43" i="9"/>
  <c r="L35" i="9"/>
  <c r="L27" i="9"/>
  <c r="L19" i="9"/>
  <c r="L11" i="9"/>
  <c r="L73" i="9"/>
  <c r="L49" i="9"/>
  <c r="L25" i="9"/>
  <c r="L47" i="9"/>
  <c r="L66" i="9"/>
  <c r="L58" i="9"/>
  <c r="L50" i="9"/>
  <c r="L42" i="9"/>
  <c r="L34" i="9"/>
  <c r="L26" i="9"/>
  <c r="L18" i="9"/>
  <c r="L10" i="9"/>
  <c r="L65" i="9"/>
  <c r="L33" i="9"/>
  <c r="L9" i="9"/>
  <c r="L55" i="9"/>
  <c r="L15" i="9"/>
  <c r="L72" i="9"/>
  <c r="L64" i="9"/>
  <c r="L56" i="9"/>
  <c r="L48" i="9"/>
  <c r="L40" i="9"/>
  <c r="L32" i="9"/>
  <c r="L24" i="9"/>
  <c r="L16" i="9"/>
  <c r="L8" i="9"/>
  <c r="L31" i="9"/>
  <c r="L71" i="9"/>
  <c r="AT32" i="9"/>
  <c r="AP73" i="9"/>
  <c r="AW72" i="9"/>
  <c r="R72" i="9"/>
  <c r="X71" i="9"/>
  <c r="AE70" i="9"/>
  <c r="Z70" i="9" s="1"/>
  <c r="AS68" i="9"/>
  <c r="P68" i="9"/>
  <c r="AZ67" i="9"/>
  <c r="AD61" i="9"/>
  <c r="M61" i="9" s="1"/>
  <c r="AK60" i="9"/>
  <c r="AR59" i="9"/>
  <c r="AY58" i="9"/>
  <c r="AG49" i="9"/>
  <c r="S42" i="9"/>
  <c r="AO73" i="9"/>
  <c r="AV72" i="9"/>
  <c r="AD70" i="9"/>
  <c r="M70" i="9" s="1"/>
  <c r="AK69" i="9"/>
  <c r="AR68" i="9"/>
  <c r="O68" i="9"/>
  <c r="AR67" i="9"/>
  <c r="AY66" i="9"/>
  <c r="W61" i="9"/>
  <c r="AC60" i="9"/>
  <c r="K60" i="9" s="1"/>
  <c r="AJ59" i="9"/>
  <c r="AX57" i="9"/>
  <c r="AR52" i="9"/>
  <c r="AC45" i="9"/>
  <c r="K45" i="9" s="1"/>
  <c r="S36" i="9"/>
  <c r="AH73" i="9"/>
  <c r="AO72" i="9"/>
  <c r="AV71" i="9"/>
  <c r="AD69" i="9"/>
  <c r="M69" i="9" s="1"/>
  <c r="AK68" i="9"/>
  <c r="AJ67" i="9"/>
  <c r="AX65" i="9"/>
  <c r="V60" i="9"/>
  <c r="AB59" i="9"/>
  <c r="J59" i="9" s="1"/>
  <c r="AP57" i="9"/>
  <c r="AW56" i="9"/>
  <c r="O52" i="9"/>
  <c r="AN48" i="9"/>
  <c r="Y41" i="9"/>
  <c r="G41" i="9" s="1"/>
  <c r="AF34" i="9"/>
  <c r="AG73" i="9"/>
  <c r="AN72" i="9"/>
  <c r="AU71" i="9"/>
  <c r="W70" i="9"/>
  <c r="AC69" i="9"/>
  <c r="K69" i="9" s="1"/>
  <c r="AJ68" i="9"/>
  <c r="AB67" i="9"/>
  <c r="J67" i="9" s="1"/>
  <c r="AP65" i="9"/>
  <c r="AW64" i="9"/>
  <c r="P60" i="9"/>
  <c r="U59" i="9"/>
  <c r="AA58" i="9"/>
  <c r="I58" i="9" s="1"/>
  <c r="AH57" i="9"/>
  <c r="AO56" i="9"/>
  <c r="AV55" i="9"/>
  <c r="AY51" i="9"/>
  <c r="AJ44" i="9"/>
  <c r="X4" i="9"/>
  <c r="AF4" i="9"/>
  <c r="AN4" i="9"/>
  <c r="AV4" i="9"/>
  <c r="R5" i="9"/>
  <c r="Y5" i="9"/>
  <c r="G5" i="9" s="1"/>
  <c r="AG5" i="9"/>
  <c r="AO5" i="9"/>
  <c r="AW5" i="9"/>
  <c r="S6" i="9"/>
  <c r="AH6" i="9"/>
  <c r="AP6" i="9"/>
  <c r="AX6" i="9"/>
  <c r="N7" i="9"/>
  <c r="T7" i="9"/>
  <c r="AA7" i="9"/>
  <c r="I7" i="9" s="1"/>
  <c r="AY7" i="9"/>
  <c r="O8" i="9"/>
  <c r="U8" i="9"/>
  <c r="AB8" i="9"/>
  <c r="J8" i="9" s="1"/>
  <c r="AJ8" i="9"/>
  <c r="AR8" i="9"/>
  <c r="AZ8" i="9"/>
  <c r="P9" i="9"/>
  <c r="V9" i="9"/>
  <c r="AC9" i="9"/>
  <c r="K9" i="9" s="1"/>
  <c r="AK9" i="9"/>
  <c r="AS9" i="9"/>
  <c r="W10" i="9"/>
  <c r="AD10" i="9"/>
  <c r="M10" i="9" s="1"/>
  <c r="AT10" i="9"/>
  <c r="AE11" i="9"/>
  <c r="Z11" i="9" s="1"/>
  <c r="AM11" i="9"/>
  <c r="AU11" i="9"/>
  <c r="X12" i="9"/>
  <c r="AF12" i="9"/>
  <c r="AN12" i="9"/>
  <c r="AV12" i="9"/>
  <c r="R13" i="9"/>
  <c r="Y13" i="9"/>
  <c r="G13" i="9" s="1"/>
  <c r="AG13" i="9"/>
  <c r="AO13" i="9"/>
  <c r="R4" i="9"/>
  <c r="Y4" i="9"/>
  <c r="G4" i="9" s="1"/>
  <c r="AG4" i="9"/>
  <c r="AO4" i="9"/>
  <c r="AW4" i="9"/>
  <c r="S5" i="9"/>
  <c r="AH5" i="9"/>
  <c r="AP5" i="9"/>
  <c r="AX5" i="9"/>
  <c r="N6" i="9"/>
  <c r="T6" i="9"/>
  <c r="AA6" i="9"/>
  <c r="I6" i="9" s="1"/>
  <c r="AY6" i="9"/>
  <c r="O7" i="9"/>
  <c r="U7" i="9"/>
  <c r="AB7" i="9"/>
  <c r="J7" i="9" s="1"/>
  <c r="AJ7" i="9"/>
  <c r="AR7" i="9"/>
  <c r="AZ7" i="9"/>
  <c r="P8" i="9"/>
  <c r="V8" i="9"/>
  <c r="AC8" i="9"/>
  <c r="K8" i="9" s="1"/>
  <c r="AK8" i="9"/>
  <c r="AS8" i="9"/>
  <c r="W9" i="9"/>
  <c r="AD9" i="9"/>
  <c r="M9" i="9" s="1"/>
  <c r="AT9" i="9"/>
  <c r="AE10" i="9"/>
  <c r="Z10" i="9" s="1"/>
  <c r="AM10" i="9"/>
  <c r="AU10" i="9"/>
  <c r="X11" i="9"/>
  <c r="AF11" i="9"/>
  <c r="AN11" i="9"/>
  <c r="AV11" i="9"/>
  <c r="R12" i="9"/>
  <c r="Y12" i="9"/>
  <c r="G12" i="9" s="1"/>
  <c r="AG12" i="9"/>
  <c r="AO12" i="9"/>
  <c r="AW12" i="9"/>
  <c r="S13" i="9"/>
  <c r="AH13" i="9"/>
  <c r="AP13" i="9"/>
  <c r="S4" i="9"/>
  <c r="AH4" i="9"/>
  <c r="AP4" i="9"/>
  <c r="AX4" i="9"/>
  <c r="N5" i="9"/>
  <c r="T5" i="9"/>
  <c r="AA5" i="9"/>
  <c r="I5" i="9" s="1"/>
  <c r="AY5" i="9"/>
  <c r="O6" i="9"/>
  <c r="U6" i="9"/>
  <c r="AB6" i="9"/>
  <c r="J6" i="9" s="1"/>
  <c r="AJ6" i="9"/>
  <c r="AR6" i="9"/>
  <c r="AZ6" i="9"/>
  <c r="P7" i="9"/>
  <c r="V7" i="9"/>
  <c r="AC7" i="9"/>
  <c r="K7" i="9" s="1"/>
  <c r="AK7" i="9"/>
  <c r="AS7" i="9"/>
  <c r="W8" i="9"/>
  <c r="AD8" i="9"/>
  <c r="M8" i="9" s="1"/>
  <c r="AT8" i="9"/>
  <c r="AE9" i="9"/>
  <c r="Z9" i="9" s="1"/>
  <c r="AM9" i="9"/>
  <c r="AU9" i="9"/>
  <c r="X10" i="9"/>
  <c r="AF10" i="9"/>
  <c r="AN10" i="9"/>
  <c r="AV10" i="9"/>
  <c r="R11" i="9"/>
  <c r="Y11" i="9"/>
  <c r="G11" i="9" s="1"/>
  <c r="AG11" i="9"/>
  <c r="AO11" i="9"/>
  <c r="AW11" i="9"/>
  <c r="S12" i="9"/>
  <c r="AH12" i="9"/>
  <c r="AP12" i="9"/>
  <c r="AX12" i="9"/>
  <c r="N13" i="9"/>
  <c r="T13" i="9"/>
  <c r="AA13" i="9"/>
  <c r="I13" i="9" s="1"/>
  <c r="N4" i="9"/>
  <c r="T4" i="9"/>
  <c r="AA4" i="9"/>
  <c r="I4" i="9" s="1"/>
  <c r="AY4" i="9"/>
  <c r="O5" i="9"/>
  <c r="U5" i="9"/>
  <c r="AB5" i="9"/>
  <c r="J5" i="9" s="1"/>
  <c r="AJ5" i="9"/>
  <c r="AR5" i="9"/>
  <c r="AZ5" i="9"/>
  <c r="P6" i="9"/>
  <c r="V6" i="9"/>
  <c r="AC6" i="9"/>
  <c r="K6" i="9" s="1"/>
  <c r="AK6" i="9"/>
  <c r="AS6" i="9"/>
  <c r="W7" i="9"/>
  <c r="AD7" i="9"/>
  <c r="M7" i="9" s="1"/>
  <c r="AT7" i="9"/>
  <c r="AE8" i="9"/>
  <c r="Z8" i="9" s="1"/>
  <c r="AM8" i="9"/>
  <c r="AU8" i="9"/>
  <c r="X9" i="9"/>
  <c r="AF9" i="9"/>
  <c r="AN9" i="9"/>
  <c r="AV9" i="9"/>
  <c r="R10" i="9"/>
  <c r="Y10" i="9"/>
  <c r="G10" i="9" s="1"/>
  <c r="AG10" i="9"/>
  <c r="AO10" i="9"/>
  <c r="AW10" i="9"/>
  <c r="S11" i="9"/>
  <c r="AH11" i="9"/>
  <c r="AP11" i="9"/>
  <c r="AX11" i="9"/>
  <c r="N12" i="9"/>
  <c r="T12" i="9"/>
  <c r="AA12" i="9"/>
  <c r="I12" i="9" s="1"/>
  <c r="AY12" i="9"/>
  <c r="O13" i="9"/>
  <c r="U13" i="9"/>
  <c r="AB13" i="9"/>
  <c r="J13" i="9" s="1"/>
  <c r="AJ13" i="9"/>
  <c r="AR13" i="9"/>
  <c r="O4" i="9"/>
  <c r="U4" i="9"/>
  <c r="AB4" i="9"/>
  <c r="J4" i="9" s="1"/>
  <c r="AJ4" i="9"/>
  <c r="AR4" i="9"/>
  <c r="AZ4" i="9"/>
  <c r="P5" i="9"/>
  <c r="V5" i="9"/>
  <c r="AC5" i="9"/>
  <c r="K5" i="9" s="1"/>
  <c r="AK5" i="9"/>
  <c r="AS5" i="9"/>
  <c r="W6" i="9"/>
  <c r="AD6" i="9"/>
  <c r="M6" i="9" s="1"/>
  <c r="AT6" i="9"/>
  <c r="AE7" i="9"/>
  <c r="Z7" i="9" s="1"/>
  <c r="AM7" i="9"/>
  <c r="AU7" i="9"/>
  <c r="X8" i="9"/>
  <c r="AF8" i="9"/>
  <c r="AN8" i="9"/>
  <c r="AV8" i="9"/>
  <c r="R9" i="9"/>
  <c r="Y9" i="9"/>
  <c r="G9" i="9" s="1"/>
  <c r="AG9" i="9"/>
  <c r="AO9" i="9"/>
  <c r="AW9" i="9"/>
  <c r="S10" i="9"/>
  <c r="AH10" i="9"/>
  <c r="AP10" i="9"/>
  <c r="AX10" i="9"/>
  <c r="N11" i="9"/>
  <c r="T11" i="9"/>
  <c r="AA11" i="9"/>
  <c r="I11" i="9" s="1"/>
  <c r="AY11" i="9"/>
  <c r="O12" i="9"/>
  <c r="U12" i="9"/>
  <c r="AB12" i="9"/>
  <c r="J12" i="9" s="1"/>
  <c r="AJ12" i="9"/>
  <c r="AR12" i="9"/>
  <c r="AZ12" i="9"/>
  <c r="P13" i="9"/>
  <c r="V13" i="9"/>
  <c r="AC13" i="9"/>
  <c r="K13" i="9" s="1"/>
  <c r="AK13" i="9"/>
  <c r="AS13" i="9"/>
  <c r="W4" i="9"/>
  <c r="AD4" i="9"/>
  <c r="M4" i="9" s="1"/>
  <c r="AT4" i="9"/>
  <c r="AE5" i="9"/>
  <c r="Z5" i="9" s="1"/>
  <c r="AM5" i="9"/>
  <c r="AU5" i="9"/>
  <c r="X6" i="9"/>
  <c r="AF6" i="9"/>
  <c r="AN6" i="9"/>
  <c r="AV6" i="9"/>
  <c r="R7" i="9"/>
  <c r="Y7" i="9"/>
  <c r="G7" i="9" s="1"/>
  <c r="AG7" i="9"/>
  <c r="AO7" i="9"/>
  <c r="AW7" i="9"/>
  <c r="S8" i="9"/>
  <c r="AH8" i="9"/>
  <c r="AP8" i="9"/>
  <c r="AX8" i="9"/>
  <c r="N9" i="9"/>
  <c r="T9" i="9"/>
  <c r="AA9" i="9"/>
  <c r="I9" i="9" s="1"/>
  <c r="AY9" i="9"/>
  <c r="O10" i="9"/>
  <c r="U10" i="9"/>
  <c r="AB10" i="9"/>
  <c r="J10" i="9" s="1"/>
  <c r="AJ10" i="9"/>
  <c r="AR10" i="9"/>
  <c r="AZ10" i="9"/>
  <c r="P11" i="9"/>
  <c r="V11" i="9"/>
  <c r="AC11" i="9"/>
  <c r="K11" i="9" s="1"/>
  <c r="AK11" i="9"/>
  <c r="AS11" i="9"/>
  <c r="W12" i="9"/>
  <c r="AD12" i="9"/>
  <c r="M12" i="9" s="1"/>
  <c r="AT12" i="9"/>
  <c r="AE13" i="9"/>
  <c r="Z13" i="9" s="1"/>
  <c r="AM13" i="9"/>
  <c r="AU13" i="9"/>
  <c r="P4" i="9"/>
  <c r="AS4" i="9"/>
  <c r="AE6" i="9"/>
  <c r="Z6" i="9" s="1"/>
  <c r="X7" i="9"/>
  <c r="R8" i="9"/>
  <c r="AW8" i="9"/>
  <c r="AP9" i="9"/>
  <c r="AB11" i="9"/>
  <c r="J11" i="9" s="1"/>
  <c r="V12" i="9"/>
  <c r="AT13" i="9"/>
  <c r="X14" i="9"/>
  <c r="AF14" i="9"/>
  <c r="AN14" i="9"/>
  <c r="AV14" i="9"/>
  <c r="R15" i="9"/>
  <c r="Y15" i="9"/>
  <c r="G15" i="9" s="1"/>
  <c r="AG15" i="9"/>
  <c r="AO15" i="9"/>
  <c r="AW15" i="9"/>
  <c r="S16" i="9"/>
  <c r="AH16" i="9"/>
  <c r="AP16" i="9"/>
  <c r="AX16" i="9"/>
  <c r="N17" i="9"/>
  <c r="T17" i="9"/>
  <c r="AA17" i="9"/>
  <c r="I17" i="9" s="1"/>
  <c r="AY17" i="9"/>
  <c r="O18" i="9"/>
  <c r="U18" i="9"/>
  <c r="AB18" i="9"/>
  <c r="J18" i="9" s="1"/>
  <c r="AJ18" i="9"/>
  <c r="AR18" i="9"/>
  <c r="AZ18" i="9"/>
  <c r="P19" i="9"/>
  <c r="V19" i="9"/>
  <c r="AC19" i="9"/>
  <c r="K19" i="9" s="1"/>
  <c r="AK19" i="9"/>
  <c r="AS19" i="9"/>
  <c r="W20" i="9"/>
  <c r="AD20" i="9"/>
  <c r="M20" i="9" s="1"/>
  <c r="AT20" i="9"/>
  <c r="AE21" i="9"/>
  <c r="Z21" i="9" s="1"/>
  <c r="AM21" i="9"/>
  <c r="AU21" i="9"/>
  <c r="X22" i="9"/>
  <c r="AF22" i="9"/>
  <c r="AN22" i="9"/>
  <c r="AV22" i="9"/>
  <c r="AU4" i="9"/>
  <c r="AN5" i="9"/>
  <c r="AG6" i="9"/>
  <c r="T8" i="9"/>
  <c r="AY8" i="9"/>
  <c r="O9" i="9"/>
  <c r="AR9" i="9"/>
  <c r="AK10" i="9"/>
  <c r="AD11" i="9"/>
  <c r="M11" i="9" s="1"/>
  <c r="AV13" i="9"/>
  <c r="R14" i="9"/>
  <c r="Y14" i="9"/>
  <c r="G14" i="9" s="1"/>
  <c r="AG14" i="9"/>
  <c r="AO14" i="9"/>
  <c r="AW14" i="9"/>
  <c r="S15" i="9"/>
  <c r="AH15" i="9"/>
  <c r="AP15" i="9"/>
  <c r="AX15" i="9"/>
  <c r="N16" i="9"/>
  <c r="T16" i="9"/>
  <c r="AA16" i="9"/>
  <c r="I16" i="9" s="1"/>
  <c r="AY16" i="9"/>
  <c r="O17" i="9"/>
  <c r="U17" i="9"/>
  <c r="AB17" i="9"/>
  <c r="J17" i="9" s="1"/>
  <c r="AJ17" i="9"/>
  <c r="AR17" i="9"/>
  <c r="AZ17" i="9"/>
  <c r="P18" i="9"/>
  <c r="V18" i="9"/>
  <c r="AC18" i="9"/>
  <c r="K18" i="9" s="1"/>
  <c r="AK18" i="9"/>
  <c r="AS18" i="9"/>
  <c r="W19" i="9"/>
  <c r="AD19" i="9"/>
  <c r="M19" i="9" s="1"/>
  <c r="AT19" i="9"/>
  <c r="AE20" i="9"/>
  <c r="Z20" i="9" s="1"/>
  <c r="AM20" i="9"/>
  <c r="AU20" i="9"/>
  <c r="X21" i="9"/>
  <c r="AF21" i="9"/>
  <c r="AN21" i="9"/>
  <c r="AV21" i="9"/>
  <c r="R22" i="9"/>
  <c r="Y22" i="9"/>
  <c r="G22" i="9" s="1"/>
  <c r="AG22" i="9"/>
  <c r="AO22" i="9"/>
  <c r="AW22" i="9"/>
  <c r="S23" i="9"/>
  <c r="V4" i="9"/>
  <c r="AT5" i="9"/>
  <c r="AM6" i="9"/>
  <c r="AF7" i="9"/>
  <c r="Y8" i="9"/>
  <c r="G8" i="9" s="1"/>
  <c r="S9" i="9"/>
  <c r="AX9" i="9"/>
  <c r="N10" i="9"/>
  <c r="AJ11" i="9"/>
  <c r="AC12" i="9"/>
  <c r="K12" i="9" s="1"/>
  <c r="W13" i="9"/>
  <c r="AW13" i="9"/>
  <c r="S14" i="9"/>
  <c r="AH14" i="9"/>
  <c r="AP14" i="9"/>
  <c r="AX14" i="9"/>
  <c r="N15" i="9"/>
  <c r="T15" i="9"/>
  <c r="AA15" i="9"/>
  <c r="I15" i="9" s="1"/>
  <c r="AY15" i="9"/>
  <c r="O16" i="9"/>
  <c r="U16" i="9"/>
  <c r="AB16" i="9"/>
  <c r="J16" i="9" s="1"/>
  <c r="AJ16" i="9"/>
  <c r="AR16" i="9"/>
  <c r="AZ16" i="9"/>
  <c r="P17" i="9"/>
  <c r="V17" i="9"/>
  <c r="AC17" i="9"/>
  <c r="K17" i="9" s="1"/>
  <c r="AK17" i="9"/>
  <c r="AS17" i="9"/>
  <c r="W18" i="9"/>
  <c r="AD18" i="9"/>
  <c r="M18" i="9" s="1"/>
  <c r="AT18" i="9"/>
  <c r="AE19" i="9"/>
  <c r="Z19" i="9" s="1"/>
  <c r="AM19" i="9"/>
  <c r="AU19" i="9"/>
  <c r="X20" i="9"/>
  <c r="AF20" i="9"/>
  <c r="AN20" i="9"/>
  <c r="AV20" i="9"/>
  <c r="R21" i="9"/>
  <c r="Y21" i="9"/>
  <c r="G21" i="9" s="1"/>
  <c r="AG21" i="9"/>
  <c r="AO21" i="9"/>
  <c r="AW21" i="9"/>
  <c r="S22" i="9"/>
  <c r="AH22" i="9"/>
  <c r="AP22" i="9"/>
  <c r="AX22" i="9"/>
  <c r="N23" i="9"/>
  <c r="T23" i="9"/>
  <c r="AV5" i="9"/>
  <c r="AO6" i="9"/>
  <c r="AH7" i="9"/>
  <c r="AA8" i="9"/>
  <c r="I8" i="9" s="1"/>
  <c r="U9" i="9"/>
  <c r="AZ9" i="9"/>
  <c r="P10" i="9"/>
  <c r="AS10" i="9"/>
  <c r="AE12" i="9"/>
  <c r="Z12" i="9" s="1"/>
  <c r="X13" i="9"/>
  <c r="AX13" i="9"/>
  <c r="N14" i="9"/>
  <c r="T14" i="9"/>
  <c r="AA14" i="9"/>
  <c r="I14" i="9" s="1"/>
  <c r="AY14" i="9"/>
  <c r="O15" i="9"/>
  <c r="U15" i="9"/>
  <c r="AB15" i="9"/>
  <c r="J15" i="9" s="1"/>
  <c r="AJ15" i="9"/>
  <c r="AR15" i="9"/>
  <c r="AZ15" i="9"/>
  <c r="P16" i="9"/>
  <c r="V16" i="9"/>
  <c r="AC16" i="9"/>
  <c r="K16" i="9" s="1"/>
  <c r="AK16" i="9"/>
  <c r="AS16" i="9"/>
  <c r="W17" i="9"/>
  <c r="AD17" i="9"/>
  <c r="M17" i="9" s="1"/>
  <c r="AT17" i="9"/>
  <c r="AE18" i="9"/>
  <c r="Z18" i="9" s="1"/>
  <c r="AM18" i="9"/>
  <c r="AU18" i="9"/>
  <c r="X19" i="9"/>
  <c r="AF19" i="9"/>
  <c r="AN19" i="9"/>
  <c r="AV19" i="9"/>
  <c r="R20" i="9"/>
  <c r="Y20" i="9"/>
  <c r="G20" i="9" s="1"/>
  <c r="AG20" i="9"/>
  <c r="AO20" i="9"/>
  <c r="AW20" i="9"/>
  <c r="S21" i="9"/>
  <c r="AH21" i="9"/>
  <c r="AP21" i="9"/>
  <c r="AX21" i="9"/>
  <c r="N22" i="9"/>
  <c r="T22" i="9"/>
  <c r="AA22" i="9"/>
  <c r="I22" i="9" s="1"/>
  <c r="AY22" i="9"/>
  <c r="O23" i="9"/>
  <c r="U23" i="9"/>
  <c r="AC4" i="9"/>
  <c r="K4" i="9" s="1"/>
  <c r="W5" i="9"/>
  <c r="AU6" i="9"/>
  <c r="AN7" i="9"/>
  <c r="AG8" i="9"/>
  <c r="T10" i="9"/>
  <c r="AY10" i="9"/>
  <c r="O11" i="9"/>
  <c r="AR11" i="9"/>
  <c r="AK12" i="9"/>
  <c r="AD13" i="9"/>
  <c r="M13" i="9" s="1"/>
  <c r="AY13" i="9"/>
  <c r="O14" i="9"/>
  <c r="U14" i="9"/>
  <c r="AB14" i="9"/>
  <c r="J14" i="9" s="1"/>
  <c r="AJ14" i="9"/>
  <c r="AR14" i="9"/>
  <c r="AZ14" i="9"/>
  <c r="P15" i="9"/>
  <c r="V15" i="9"/>
  <c r="AC15" i="9"/>
  <c r="K15" i="9" s="1"/>
  <c r="AK15" i="9"/>
  <c r="AS15" i="9"/>
  <c r="W16" i="9"/>
  <c r="AD16" i="9"/>
  <c r="M16" i="9" s="1"/>
  <c r="AT16" i="9"/>
  <c r="AE17" i="9"/>
  <c r="Z17" i="9" s="1"/>
  <c r="AM17" i="9"/>
  <c r="AU17" i="9"/>
  <c r="X18" i="9"/>
  <c r="AF18" i="9"/>
  <c r="AN18" i="9"/>
  <c r="AV18" i="9"/>
  <c r="R19" i="9"/>
  <c r="Y19" i="9"/>
  <c r="G19" i="9" s="1"/>
  <c r="AG19" i="9"/>
  <c r="AO19" i="9"/>
  <c r="AW19" i="9"/>
  <c r="S20" i="9"/>
  <c r="AH20" i="9"/>
  <c r="AP20" i="9"/>
  <c r="AX20" i="9"/>
  <c r="N21" i="9"/>
  <c r="T21" i="9"/>
  <c r="AA21" i="9"/>
  <c r="I21" i="9" s="1"/>
  <c r="AY21" i="9"/>
  <c r="O22" i="9"/>
  <c r="U22" i="9"/>
  <c r="AB22" i="9"/>
  <c r="J22" i="9" s="1"/>
  <c r="AJ22" i="9"/>
  <c r="AR22" i="9"/>
  <c r="AZ22" i="9"/>
  <c r="P23" i="9"/>
  <c r="V23" i="9"/>
  <c r="AC23" i="9"/>
  <c r="K23" i="9" s="1"/>
  <c r="AK23" i="9"/>
  <c r="AE4" i="9"/>
  <c r="Z4" i="9" s="1"/>
  <c r="X5" i="9"/>
  <c r="R6" i="9"/>
  <c r="AW6" i="9"/>
  <c r="AP7" i="9"/>
  <c r="AB9" i="9"/>
  <c r="J9" i="9" s="1"/>
  <c r="V10" i="9"/>
  <c r="AT11" i="9"/>
  <c r="AM12" i="9"/>
  <c r="AF13" i="9"/>
  <c r="AZ13" i="9"/>
  <c r="P14" i="9"/>
  <c r="V14" i="9"/>
  <c r="AC14" i="9"/>
  <c r="K14" i="9" s="1"/>
  <c r="AK14" i="9"/>
  <c r="AS14" i="9"/>
  <c r="W15" i="9"/>
  <c r="AD15" i="9"/>
  <c r="M15" i="9" s="1"/>
  <c r="AT15" i="9"/>
  <c r="AE16" i="9"/>
  <c r="Z16" i="9" s="1"/>
  <c r="AM16" i="9"/>
  <c r="AU16" i="9"/>
  <c r="X17" i="9"/>
  <c r="AF17" i="9"/>
  <c r="AN17" i="9"/>
  <c r="AV17" i="9"/>
  <c r="R18" i="9"/>
  <c r="Y18" i="9"/>
  <c r="G18" i="9" s="1"/>
  <c r="AG18" i="9"/>
  <c r="AO18" i="9"/>
  <c r="AW18" i="9"/>
  <c r="S19" i="9"/>
  <c r="AH19" i="9"/>
  <c r="AP19" i="9"/>
  <c r="AX19" i="9"/>
  <c r="N20" i="9"/>
  <c r="T20" i="9"/>
  <c r="AA20" i="9"/>
  <c r="I20" i="9" s="1"/>
  <c r="AY20" i="9"/>
  <c r="AK4" i="9"/>
  <c r="AZ11" i="9"/>
  <c r="AE15" i="9"/>
  <c r="Z15" i="9" s="1"/>
  <c r="X16" i="9"/>
  <c r="R17" i="9"/>
  <c r="AW17" i="9"/>
  <c r="AP18" i="9"/>
  <c r="AB20" i="9"/>
  <c r="J20" i="9" s="1"/>
  <c r="O21" i="9"/>
  <c r="AD21" i="9"/>
  <c r="M21" i="9" s="1"/>
  <c r="AT22" i="9"/>
  <c r="AB23" i="9"/>
  <c r="J23" i="9" s="1"/>
  <c r="AT23" i="9"/>
  <c r="AE24" i="9"/>
  <c r="Z24" i="9" s="1"/>
  <c r="AM24" i="9"/>
  <c r="AU24" i="9"/>
  <c r="X25" i="9"/>
  <c r="AF25" i="9"/>
  <c r="AN25" i="9"/>
  <c r="AV25" i="9"/>
  <c r="R26" i="9"/>
  <c r="Y26" i="9"/>
  <c r="G26" i="9" s="1"/>
  <c r="AG26" i="9"/>
  <c r="AO26" i="9"/>
  <c r="AW26" i="9"/>
  <c r="S27" i="9"/>
  <c r="AH27" i="9"/>
  <c r="AP27" i="9"/>
  <c r="AX27" i="9"/>
  <c r="N28" i="9"/>
  <c r="T28" i="9"/>
  <c r="AA28" i="9"/>
  <c r="I28" i="9" s="1"/>
  <c r="AY28" i="9"/>
  <c r="O29" i="9"/>
  <c r="U29" i="9"/>
  <c r="AB29" i="9"/>
  <c r="J29" i="9" s="1"/>
  <c r="AJ29" i="9"/>
  <c r="AR29" i="9"/>
  <c r="AZ29" i="9"/>
  <c r="P30" i="9"/>
  <c r="V30" i="9"/>
  <c r="AC30" i="9"/>
  <c r="K30" i="9" s="1"/>
  <c r="AK30" i="9"/>
  <c r="AS30" i="9"/>
  <c r="W31" i="9"/>
  <c r="AD31" i="9"/>
  <c r="M31" i="9" s="1"/>
  <c r="AT31" i="9"/>
  <c r="AE32" i="9"/>
  <c r="Z32" i="9" s="1"/>
  <c r="AM32" i="9"/>
  <c r="AU32" i="9"/>
  <c r="X33" i="9"/>
  <c r="AF33" i="9"/>
  <c r="AN33" i="9"/>
  <c r="AV33" i="9"/>
  <c r="R34" i="9"/>
  <c r="Y34" i="9"/>
  <c r="G34" i="9" s="1"/>
  <c r="AG34" i="9"/>
  <c r="AO34" i="9"/>
  <c r="AW34" i="9"/>
  <c r="S35" i="9"/>
  <c r="AH35" i="9"/>
  <c r="AP35" i="9"/>
  <c r="AX35" i="9"/>
  <c r="N36" i="9"/>
  <c r="T36" i="9"/>
  <c r="AA36" i="9"/>
  <c r="I36" i="9" s="1"/>
  <c r="AY36" i="9"/>
  <c r="O37" i="9"/>
  <c r="U37" i="9"/>
  <c r="AB37" i="9"/>
  <c r="J37" i="9" s="1"/>
  <c r="AJ37" i="9"/>
  <c r="AR37" i="9"/>
  <c r="AZ37" i="9"/>
  <c r="P38" i="9"/>
  <c r="V38" i="9"/>
  <c r="AC38" i="9"/>
  <c r="K38" i="9" s="1"/>
  <c r="AK38" i="9"/>
  <c r="AS38" i="9"/>
  <c r="AM4" i="9"/>
  <c r="Y6" i="9"/>
  <c r="G6" i="9" s="1"/>
  <c r="N8" i="9"/>
  <c r="AN13" i="9"/>
  <c r="AM14" i="9"/>
  <c r="AF15" i="9"/>
  <c r="Y16" i="9"/>
  <c r="G16" i="9" s="1"/>
  <c r="S17" i="9"/>
  <c r="AX17" i="9"/>
  <c r="N18" i="9"/>
  <c r="AJ19" i="9"/>
  <c r="AC20" i="9"/>
  <c r="K20" i="9" s="1"/>
  <c r="P21" i="9"/>
  <c r="AJ21" i="9"/>
  <c r="AC22" i="9"/>
  <c r="K22" i="9" s="1"/>
  <c r="AU22" i="9"/>
  <c r="R23" i="9"/>
  <c r="AD23" i="9"/>
  <c r="M23" i="9" s="1"/>
  <c r="AM23" i="9"/>
  <c r="AU23" i="9"/>
  <c r="X24" i="9"/>
  <c r="AF24" i="9"/>
  <c r="AN24" i="9"/>
  <c r="AV24" i="9"/>
  <c r="R25" i="9"/>
  <c r="Y25" i="9"/>
  <c r="G25" i="9" s="1"/>
  <c r="AG25" i="9"/>
  <c r="AO25" i="9"/>
  <c r="AW25" i="9"/>
  <c r="S26" i="9"/>
  <c r="AH26" i="9"/>
  <c r="AP26" i="9"/>
  <c r="AX26" i="9"/>
  <c r="N27" i="9"/>
  <c r="T27" i="9"/>
  <c r="AA27" i="9"/>
  <c r="I27" i="9" s="1"/>
  <c r="AY27" i="9"/>
  <c r="O28" i="9"/>
  <c r="U28" i="9"/>
  <c r="AB28" i="9"/>
  <c r="J28" i="9" s="1"/>
  <c r="AJ28" i="9"/>
  <c r="AR28" i="9"/>
  <c r="AZ28" i="9"/>
  <c r="P29" i="9"/>
  <c r="V29" i="9"/>
  <c r="AC29" i="9"/>
  <c r="K29" i="9" s="1"/>
  <c r="AK29" i="9"/>
  <c r="AS29" i="9"/>
  <c r="W30" i="9"/>
  <c r="AD30" i="9"/>
  <c r="M30" i="9" s="1"/>
  <c r="AT30" i="9"/>
  <c r="AE31" i="9"/>
  <c r="Z31" i="9" s="1"/>
  <c r="AM31" i="9"/>
  <c r="AU31" i="9"/>
  <c r="X32" i="9"/>
  <c r="AF32" i="9"/>
  <c r="AN32" i="9"/>
  <c r="AV32" i="9"/>
  <c r="R33" i="9"/>
  <c r="Y33" i="9"/>
  <c r="G33" i="9" s="1"/>
  <c r="AG33" i="9"/>
  <c r="AO33" i="9"/>
  <c r="AW33" i="9"/>
  <c r="S34" i="9"/>
  <c r="AH34" i="9"/>
  <c r="AP34" i="9"/>
  <c r="AX34" i="9"/>
  <c r="N35" i="9"/>
  <c r="T35" i="9"/>
  <c r="AA35" i="9"/>
  <c r="I35" i="9" s="1"/>
  <c r="AY35" i="9"/>
  <c r="O36" i="9"/>
  <c r="U36" i="9"/>
  <c r="AB36" i="9"/>
  <c r="J36" i="9" s="1"/>
  <c r="AJ36" i="9"/>
  <c r="AR36" i="9"/>
  <c r="AZ36" i="9"/>
  <c r="P37" i="9"/>
  <c r="V37" i="9"/>
  <c r="AC37" i="9"/>
  <c r="K37" i="9" s="1"/>
  <c r="AK37" i="9"/>
  <c r="AS37" i="9"/>
  <c r="W38" i="9"/>
  <c r="AD38" i="9"/>
  <c r="M38" i="9" s="1"/>
  <c r="AT38" i="9"/>
  <c r="AO8" i="9"/>
  <c r="AA10" i="9"/>
  <c r="I10" i="9" s="1"/>
  <c r="P12" i="9"/>
  <c r="AT14" i="9"/>
  <c r="AM15" i="9"/>
  <c r="AF16" i="9"/>
  <c r="Y17" i="9"/>
  <c r="G17" i="9" s="1"/>
  <c r="S18" i="9"/>
  <c r="AX18" i="9"/>
  <c r="N19" i="9"/>
  <c r="AJ20" i="9"/>
  <c r="AK21" i="9"/>
  <c r="AD22" i="9"/>
  <c r="M22" i="9" s="1"/>
  <c r="W23" i="9"/>
  <c r="AE23" i="9"/>
  <c r="Z23" i="9" s="1"/>
  <c r="AN23" i="9"/>
  <c r="AV23" i="9"/>
  <c r="R24" i="9"/>
  <c r="Y24" i="9"/>
  <c r="G24" i="9" s="1"/>
  <c r="AG24" i="9"/>
  <c r="AO24" i="9"/>
  <c r="AW24" i="9"/>
  <c r="S25" i="9"/>
  <c r="AH25" i="9"/>
  <c r="AP25" i="9"/>
  <c r="AX25" i="9"/>
  <c r="N26" i="9"/>
  <c r="T26" i="9"/>
  <c r="AA26" i="9"/>
  <c r="I26" i="9" s="1"/>
  <c r="AY26" i="9"/>
  <c r="O27" i="9"/>
  <c r="U27" i="9"/>
  <c r="AB27" i="9"/>
  <c r="J27" i="9" s="1"/>
  <c r="AJ27" i="9"/>
  <c r="AR27" i="9"/>
  <c r="AZ27" i="9"/>
  <c r="P28" i="9"/>
  <c r="V28" i="9"/>
  <c r="AC28" i="9"/>
  <c r="K28" i="9" s="1"/>
  <c r="AK28" i="9"/>
  <c r="AS28" i="9"/>
  <c r="W29" i="9"/>
  <c r="AD29" i="9"/>
  <c r="M29" i="9" s="1"/>
  <c r="AT29" i="9"/>
  <c r="AE30" i="9"/>
  <c r="Z30" i="9" s="1"/>
  <c r="AM30" i="9"/>
  <c r="AU30" i="9"/>
  <c r="X31" i="9"/>
  <c r="AF31" i="9"/>
  <c r="AN31" i="9"/>
  <c r="AV31" i="9"/>
  <c r="R32" i="9"/>
  <c r="Y32" i="9"/>
  <c r="G32" i="9" s="1"/>
  <c r="AG32" i="9"/>
  <c r="AO32" i="9"/>
  <c r="AW32" i="9"/>
  <c r="S33" i="9"/>
  <c r="AH33" i="9"/>
  <c r="AP33" i="9"/>
  <c r="AX33" i="9"/>
  <c r="N34" i="9"/>
  <c r="T34" i="9"/>
  <c r="AA34" i="9"/>
  <c r="I34" i="9" s="1"/>
  <c r="AY34" i="9"/>
  <c r="O35" i="9"/>
  <c r="U35" i="9"/>
  <c r="AB35" i="9"/>
  <c r="J35" i="9" s="1"/>
  <c r="AJ35" i="9"/>
  <c r="AR35" i="9"/>
  <c r="AZ35" i="9"/>
  <c r="P36" i="9"/>
  <c r="V36" i="9"/>
  <c r="AC36" i="9"/>
  <c r="K36" i="9" s="1"/>
  <c r="AK36" i="9"/>
  <c r="AS36" i="9"/>
  <c r="W37" i="9"/>
  <c r="AD37" i="9"/>
  <c r="M37" i="9" s="1"/>
  <c r="AT37" i="9"/>
  <c r="AE38" i="9"/>
  <c r="Z38" i="9" s="1"/>
  <c r="AM38" i="9"/>
  <c r="AU38" i="9"/>
  <c r="AC10" i="9"/>
  <c r="K10" i="9" s="1"/>
  <c r="AU14" i="9"/>
  <c r="AN15" i="9"/>
  <c r="AG16" i="9"/>
  <c r="T18" i="9"/>
  <c r="AY18" i="9"/>
  <c r="O19" i="9"/>
  <c r="AR19" i="9"/>
  <c r="AK20" i="9"/>
  <c r="U21" i="9"/>
  <c r="P22" i="9"/>
  <c r="AE22" i="9"/>
  <c r="Z22" i="9" s="1"/>
  <c r="AF23" i="9"/>
  <c r="AO23" i="9"/>
  <c r="AW23" i="9"/>
  <c r="S24" i="9"/>
  <c r="AH24" i="9"/>
  <c r="AP24" i="9"/>
  <c r="AX24" i="9"/>
  <c r="N25" i="9"/>
  <c r="T25" i="9"/>
  <c r="AA25" i="9"/>
  <c r="I25" i="9" s="1"/>
  <c r="AY25" i="9"/>
  <c r="O26" i="9"/>
  <c r="U26" i="9"/>
  <c r="AB26" i="9"/>
  <c r="J26" i="9" s="1"/>
  <c r="AJ26" i="9"/>
  <c r="AR26" i="9"/>
  <c r="AZ26" i="9"/>
  <c r="P27" i="9"/>
  <c r="V27" i="9"/>
  <c r="AC27" i="9"/>
  <c r="K27" i="9" s="1"/>
  <c r="AK27" i="9"/>
  <c r="AS27" i="9"/>
  <c r="W28" i="9"/>
  <c r="AD28" i="9"/>
  <c r="M28" i="9" s="1"/>
  <c r="AT28" i="9"/>
  <c r="AE29" i="9"/>
  <c r="Z29" i="9" s="1"/>
  <c r="AM29" i="9"/>
  <c r="AU29" i="9"/>
  <c r="X30" i="9"/>
  <c r="AF30" i="9"/>
  <c r="AN30" i="9"/>
  <c r="AV30" i="9"/>
  <c r="R31" i="9"/>
  <c r="Y31" i="9"/>
  <c r="G31" i="9" s="1"/>
  <c r="AG31" i="9"/>
  <c r="AO31" i="9"/>
  <c r="AW31" i="9"/>
  <c r="S32" i="9"/>
  <c r="AH32" i="9"/>
  <c r="AP32" i="9"/>
  <c r="AX32" i="9"/>
  <c r="N33" i="9"/>
  <c r="T33" i="9"/>
  <c r="AA33" i="9"/>
  <c r="I33" i="9" s="1"/>
  <c r="AY33" i="9"/>
  <c r="O34" i="9"/>
  <c r="U34" i="9"/>
  <c r="AB34" i="9"/>
  <c r="J34" i="9" s="1"/>
  <c r="AJ34" i="9"/>
  <c r="AR34" i="9"/>
  <c r="AZ34" i="9"/>
  <c r="P35" i="9"/>
  <c r="V35" i="9"/>
  <c r="AC35" i="9"/>
  <c r="K35" i="9" s="1"/>
  <c r="AK35" i="9"/>
  <c r="AS35" i="9"/>
  <c r="W36" i="9"/>
  <c r="AD36" i="9"/>
  <c r="M36" i="9" s="1"/>
  <c r="AT36" i="9"/>
  <c r="AE37" i="9"/>
  <c r="Z37" i="9" s="1"/>
  <c r="AM37" i="9"/>
  <c r="AU37" i="9"/>
  <c r="AD5" i="9"/>
  <c r="M5" i="9" s="1"/>
  <c r="AS12" i="9"/>
  <c r="W14" i="9"/>
  <c r="AU15" i="9"/>
  <c r="AN16" i="9"/>
  <c r="AG17" i="9"/>
  <c r="T19" i="9"/>
  <c r="AY19" i="9"/>
  <c r="O20" i="9"/>
  <c r="AR20" i="9"/>
  <c r="V21" i="9"/>
  <c r="AR21" i="9"/>
  <c r="AK22" i="9"/>
  <c r="X23" i="9"/>
  <c r="AG23" i="9"/>
  <c r="AP23" i="9"/>
  <c r="AX23" i="9"/>
  <c r="N24" i="9"/>
  <c r="T24" i="9"/>
  <c r="AA24" i="9"/>
  <c r="I24" i="9" s="1"/>
  <c r="AY24" i="9"/>
  <c r="O25" i="9"/>
  <c r="U25" i="9"/>
  <c r="AB25" i="9"/>
  <c r="J25" i="9" s="1"/>
  <c r="AJ25" i="9"/>
  <c r="AR25" i="9"/>
  <c r="AZ25" i="9"/>
  <c r="P26" i="9"/>
  <c r="V26" i="9"/>
  <c r="AC26" i="9"/>
  <c r="K26" i="9" s="1"/>
  <c r="AK26" i="9"/>
  <c r="AS26" i="9"/>
  <c r="W27" i="9"/>
  <c r="AD27" i="9"/>
  <c r="M27" i="9" s="1"/>
  <c r="AT27" i="9"/>
  <c r="AE28" i="9"/>
  <c r="Z28" i="9" s="1"/>
  <c r="AM28" i="9"/>
  <c r="AU28" i="9"/>
  <c r="X29" i="9"/>
  <c r="AF29" i="9"/>
  <c r="AN29" i="9"/>
  <c r="AV29" i="9"/>
  <c r="R30" i="9"/>
  <c r="Y30" i="9"/>
  <c r="G30" i="9" s="1"/>
  <c r="AG30" i="9"/>
  <c r="AO30" i="9"/>
  <c r="AW30" i="9"/>
  <c r="S31" i="9"/>
  <c r="AH31" i="9"/>
  <c r="AP31" i="9"/>
  <c r="AX31" i="9"/>
  <c r="N32" i="9"/>
  <c r="T32" i="9"/>
  <c r="AA32" i="9"/>
  <c r="I32" i="9" s="1"/>
  <c r="AY32" i="9"/>
  <c r="O33" i="9"/>
  <c r="U33" i="9"/>
  <c r="AB33" i="9"/>
  <c r="J33" i="9" s="1"/>
  <c r="AJ33" i="9"/>
  <c r="AR33" i="9"/>
  <c r="AZ33" i="9"/>
  <c r="P34" i="9"/>
  <c r="V34" i="9"/>
  <c r="AC34" i="9"/>
  <c r="K34" i="9" s="1"/>
  <c r="AK34" i="9"/>
  <c r="AS34" i="9"/>
  <c r="W35" i="9"/>
  <c r="AD35" i="9"/>
  <c r="M35" i="9" s="1"/>
  <c r="AT35" i="9"/>
  <c r="AE36" i="9"/>
  <c r="Z36" i="9" s="1"/>
  <c r="AM36" i="9"/>
  <c r="AU36" i="9"/>
  <c r="X37" i="9"/>
  <c r="AF37" i="9"/>
  <c r="AN37" i="9"/>
  <c r="AV37" i="9"/>
  <c r="R38" i="9"/>
  <c r="Y38" i="9"/>
  <c r="G38" i="9" s="1"/>
  <c r="AG38" i="9"/>
  <c r="AO38" i="9"/>
  <c r="AW38" i="9"/>
  <c r="AF5" i="9"/>
  <c r="S7" i="9"/>
  <c r="AU12" i="9"/>
  <c r="AV15" i="9"/>
  <c r="AO16" i="9"/>
  <c r="AH17" i="9"/>
  <c r="AA18" i="9"/>
  <c r="I18" i="9" s="1"/>
  <c r="U19" i="9"/>
  <c r="AZ19" i="9"/>
  <c r="P20" i="9"/>
  <c r="AS20" i="9"/>
  <c r="W21" i="9"/>
  <c r="AS21" i="9"/>
  <c r="Y23" i="9"/>
  <c r="G23" i="9" s="1"/>
  <c r="AH23" i="9"/>
  <c r="AY23" i="9"/>
  <c r="O24" i="9"/>
  <c r="U24" i="9"/>
  <c r="AB24" i="9"/>
  <c r="J24" i="9" s="1"/>
  <c r="AJ24" i="9"/>
  <c r="AR24" i="9"/>
  <c r="AZ24" i="9"/>
  <c r="P25" i="9"/>
  <c r="V25" i="9"/>
  <c r="AC25" i="9"/>
  <c r="K25" i="9" s="1"/>
  <c r="AK25" i="9"/>
  <c r="AS25" i="9"/>
  <c r="W26" i="9"/>
  <c r="AD26" i="9"/>
  <c r="M26" i="9" s="1"/>
  <c r="AT26" i="9"/>
  <c r="AE27" i="9"/>
  <c r="Z27" i="9" s="1"/>
  <c r="AM27" i="9"/>
  <c r="AU27" i="9"/>
  <c r="X28" i="9"/>
  <c r="AF28" i="9"/>
  <c r="AN28" i="9"/>
  <c r="AV28" i="9"/>
  <c r="R29" i="9"/>
  <c r="Y29" i="9"/>
  <c r="G29" i="9" s="1"/>
  <c r="AG29" i="9"/>
  <c r="AO29" i="9"/>
  <c r="AW29" i="9"/>
  <c r="S30" i="9"/>
  <c r="AH30" i="9"/>
  <c r="AP30" i="9"/>
  <c r="AX30" i="9"/>
  <c r="N31" i="9"/>
  <c r="T31" i="9"/>
  <c r="AA31" i="9"/>
  <c r="I31" i="9" s="1"/>
  <c r="AY31" i="9"/>
  <c r="O32" i="9"/>
  <c r="U32" i="9"/>
  <c r="AB32" i="9"/>
  <c r="J32" i="9" s="1"/>
  <c r="AJ32" i="9"/>
  <c r="AR32" i="9"/>
  <c r="AZ32" i="9"/>
  <c r="P33" i="9"/>
  <c r="V33" i="9"/>
  <c r="AC33" i="9"/>
  <c r="K33" i="9" s="1"/>
  <c r="AK33" i="9"/>
  <c r="AS33" i="9"/>
  <c r="W34" i="9"/>
  <c r="AD34" i="9"/>
  <c r="M34" i="9" s="1"/>
  <c r="AT34" i="9"/>
  <c r="AE35" i="9"/>
  <c r="Z35" i="9" s="1"/>
  <c r="AM35" i="9"/>
  <c r="AU35" i="9"/>
  <c r="X36" i="9"/>
  <c r="AF36" i="9"/>
  <c r="AN36" i="9"/>
  <c r="AV36" i="9"/>
  <c r="R37" i="9"/>
  <c r="Y37" i="9"/>
  <c r="G37" i="9" s="1"/>
  <c r="AG37" i="9"/>
  <c r="AO37" i="9"/>
  <c r="AW37" i="9"/>
  <c r="S38" i="9"/>
  <c r="AH38" i="9"/>
  <c r="AP38" i="9"/>
  <c r="AX38" i="9"/>
  <c r="AZ20" i="9"/>
  <c r="AZ23" i="9"/>
  <c r="P24" i="9"/>
  <c r="AS24" i="9"/>
  <c r="AE26" i="9"/>
  <c r="Z26" i="9" s="1"/>
  <c r="X27" i="9"/>
  <c r="R28" i="9"/>
  <c r="AW28" i="9"/>
  <c r="AP29" i="9"/>
  <c r="AB31" i="9"/>
  <c r="J31" i="9" s="1"/>
  <c r="V32" i="9"/>
  <c r="AT33" i="9"/>
  <c r="AM34" i="9"/>
  <c r="AF35" i="9"/>
  <c r="Y36" i="9"/>
  <c r="G36" i="9" s="1"/>
  <c r="S37" i="9"/>
  <c r="AX37" i="9"/>
  <c r="X38" i="9"/>
  <c r="AR38" i="9"/>
  <c r="X39" i="9"/>
  <c r="AF39" i="9"/>
  <c r="AN39" i="9"/>
  <c r="AV39" i="9"/>
  <c r="R40" i="9"/>
  <c r="Y40" i="9"/>
  <c r="G40" i="9" s="1"/>
  <c r="AG40" i="9"/>
  <c r="AO40" i="9"/>
  <c r="AW40" i="9"/>
  <c r="S41" i="9"/>
  <c r="AH41" i="9"/>
  <c r="AP41" i="9"/>
  <c r="AX41" i="9"/>
  <c r="N42" i="9"/>
  <c r="T42" i="9"/>
  <c r="AA42" i="9"/>
  <c r="I42" i="9" s="1"/>
  <c r="AY42" i="9"/>
  <c r="O43" i="9"/>
  <c r="U43" i="9"/>
  <c r="AB43" i="9"/>
  <c r="J43" i="9" s="1"/>
  <c r="AJ43" i="9"/>
  <c r="AR43" i="9"/>
  <c r="AZ43" i="9"/>
  <c r="P44" i="9"/>
  <c r="V44" i="9"/>
  <c r="AC44" i="9"/>
  <c r="K44" i="9" s="1"/>
  <c r="AK44" i="9"/>
  <c r="AS44" i="9"/>
  <c r="W45" i="9"/>
  <c r="AD45" i="9"/>
  <c r="M45" i="9" s="1"/>
  <c r="AT45" i="9"/>
  <c r="AE46" i="9"/>
  <c r="Z46" i="9" s="1"/>
  <c r="AM46" i="9"/>
  <c r="AU46" i="9"/>
  <c r="X47" i="9"/>
  <c r="AF47" i="9"/>
  <c r="AN47" i="9"/>
  <c r="AV47" i="9"/>
  <c r="R48" i="9"/>
  <c r="Y48" i="9"/>
  <c r="G48" i="9" s="1"/>
  <c r="AG48" i="9"/>
  <c r="AO48" i="9"/>
  <c r="AW48" i="9"/>
  <c r="S49" i="9"/>
  <c r="AH49" i="9"/>
  <c r="AP49" i="9"/>
  <c r="AX49" i="9"/>
  <c r="N50" i="9"/>
  <c r="T50" i="9"/>
  <c r="AA50" i="9"/>
  <c r="I50" i="9" s="1"/>
  <c r="AY50" i="9"/>
  <c r="O51" i="9"/>
  <c r="U51" i="9"/>
  <c r="AB51" i="9"/>
  <c r="J51" i="9" s="1"/>
  <c r="AJ51" i="9"/>
  <c r="AR51" i="9"/>
  <c r="AZ51" i="9"/>
  <c r="P52" i="9"/>
  <c r="V52" i="9"/>
  <c r="AC52" i="9"/>
  <c r="K52" i="9" s="1"/>
  <c r="AK52" i="9"/>
  <c r="AS52" i="9"/>
  <c r="W53" i="9"/>
  <c r="AD53" i="9"/>
  <c r="M53" i="9" s="1"/>
  <c r="AT53" i="9"/>
  <c r="X15" i="9"/>
  <c r="AT24" i="9"/>
  <c r="AM25" i="9"/>
  <c r="AF26" i="9"/>
  <c r="Y27" i="9"/>
  <c r="G27" i="9" s="1"/>
  <c r="S28" i="9"/>
  <c r="AX28" i="9"/>
  <c r="N29" i="9"/>
  <c r="AJ30" i="9"/>
  <c r="AC31" i="9"/>
  <c r="K31" i="9" s="1"/>
  <c r="W32" i="9"/>
  <c r="AU33" i="9"/>
  <c r="AN34" i="9"/>
  <c r="AG35" i="9"/>
  <c r="T37" i="9"/>
  <c r="AY37" i="9"/>
  <c r="AA38" i="9"/>
  <c r="I38" i="9" s="1"/>
  <c r="AV38" i="9"/>
  <c r="R39" i="9"/>
  <c r="Y39" i="9"/>
  <c r="G39" i="9" s="1"/>
  <c r="AG39" i="9"/>
  <c r="AO39" i="9"/>
  <c r="AW39" i="9"/>
  <c r="S40" i="9"/>
  <c r="AH40" i="9"/>
  <c r="AP40" i="9"/>
  <c r="AX40" i="9"/>
  <c r="N41" i="9"/>
  <c r="T41" i="9"/>
  <c r="AA41" i="9"/>
  <c r="I41" i="9" s="1"/>
  <c r="AY41" i="9"/>
  <c r="O42" i="9"/>
  <c r="U42" i="9"/>
  <c r="AB42" i="9"/>
  <c r="J42" i="9" s="1"/>
  <c r="AJ42" i="9"/>
  <c r="AR42" i="9"/>
  <c r="AZ42" i="9"/>
  <c r="P43" i="9"/>
  <c r="V43" i="9"/>
  <c r="AC43" i="9"/>
  <c r="K43" i="9" s="1"/>
  <c r="AK43" i="9"/>
  <c r="AS43" i="9"/>
  <c r="W44" i="9"/>
  <c r="AD44" i="9"/>
  <c r="M44" i="9" s="1"/>
  <c r="AT44" i="9"/>
  <c r="AE45" i="9"/>
  <c r="Z45" i="9" s="1"/>
  <c r="AM45" i="9"/>
  <c r="AU45" i="9"/>
  <c r="X46" i="9"/>
  <c r="AF46" i="9"/>
  <c r="AN46" i="9"/>
  <c r="AV46" i="9"/>
  <c r="R47" i="9"/>
  <c r="Y47" i="9"/>
  <c r="G47" i="9" s="1"/>
  <c r="AG47" i="9"/>
  <c r="AO47" i="9"/>
  <c r="AW47" i="9"/>
  <c r="S48" i="9"/>
  <c r="AH48" i="9"/>
  <c r="AP48" i="9"/>
  <c r="AX48" i="9"/>
  <c r="N49" i="9"/>
  <c r="T49" i="9"/>
  <c r="AA49" i="9"/>
  <c r="I49" i="9" s="1"/>
  <c r="AY49" i="9"/>
  <c r="O50" i="9"/>
  <c r="U50" i="9"/>
  <c r="AB50" i="9"/>
  <c r="J50" i="9" s="1"/>
  <c r="AJ50" i="9"/>
  <c r="AR50" i="9"/>
  <c r="AZ50" i="9"/>
  <c r="P51" i="9"/>
  <c r="V51" i="9"/>
  <c r="AC51" i="9"/>
  <c r="K51" i="9" s="1"/>
  <c r="AK51" i="9"/>
  <c r="AS51" i="9"/>
  <c r="W52" i="9"/>
  <c r="AD52" i="9"/>
  <c r="M52" i="9" s="1"/>
  <c r="AT52" i="9"/>
  <c r="AV7" i="9"/>
  <c r="AO17" i="9"/>
  <c r="AA19" i="9"/>
  <c r="I19" i="9" s="1"/>
  <c r="V22" i="9"/>
  <c r="V24" i="9"/>
  <c r="AT25" i="9"/>
  <c r="AM26" i="9"/>
  <c r="AF27" i="9"/>
  <c r="Y28" i="9"/>
  <c r="G28" i="9" s="1"/>
  <c r="S29" i="9"/>
  <c r="AX29" i="9"/>
  <c r="N30" i="9"/>
  <c r="AJ31" i="9"/>
  <c r="AC32" i="9"/>
  <c r="K32" i="9" s="1"/>
  <c r="W33" i="9"/>
  <c r="AU34" i="9"/>
  <c r="AN35" i="9"/>
  <c r="AG36" i="9"/>
  <c r="AB38" i="9"/>
  <c r="J38" i="9" s="1"/>
  <c r="AY38" i="9"/>
  <c r="S39" i="9"/>
  <c r="AH39" i="9"/>
  <c r="AP39" i="9"/>
  <c r="AX39" i="9"/>
  <c r="N40" i="9"/>
  <c r="T40" i="9"/>
  <c r="AA40" i="9"/>
  <c r="I40" i="9" s="1"/>
  <c r="AY40" i="9"/>
  <c r="O41" i="9"/>
  <c r="U41" i="9"/>
  <c r="AB41" i="9"/>
  <c r="J41" i="9" s="1"/>
  <c r="AJ41" i="9"/>
  <c r="AR41" i="9"/>
  <c r="AZ41" i="9"/>
  <c r="P42" i="9"/>
  <c r="V42" i="9"/>
  <c r="AC42" i="9"/>
  <c r="K42" i="9" s="1"/>
  <c r="AK42" i="9"/>
  <c r="AS42" i="9"/>
  <c r="W43" i="9"/>
  <c r="AD43" i="9"/>
  <c r="M43" i="9" s="1"/>
  <c r="AT43" i="9"/>
  <c r="AE44" i="9"/>
  <c r="Z44" i="9" s="1"/>
  <c r="AM44" i="9"/>
  <c r="AU44" i="9"/>
  <c r="X45" i="9"/>
  <c r="AF45" i="9"/>
  <c r="AN45" i="9"/>
  <c r="AV45" i="9"/>
  <c r="R46" i="9"/>
  <c r="Y46" i="9"/>
  <c r="G46" i="9" s="1"/>
  <c r="AG46" i="9"/>
  <c r="AO46" i="9"/>
  <c r="AW46" i="9"/>
  <c r="S47" i="9"/>
  <c r="AH47" i="9"/>
  <c r="AP47" i="9"/>
  <c r="AX47" i="9"/>
  <c r="N48" i="9"/>
  <c r="T48" i="9"/>
  <c r="AA48" i="9"/>
  <c r="I48" i="9" s="1"/>
  <c r="AY48" i="9"/>
  <c r="O49" i="9"/>
  <c r="U49" i="9"/>
  <c r="AB49" i="9"/>
  <c r="J49" i="9" s="1"/>
  <c r="AJ49" i="9"/>
  <c r="AR49" i="9"/>
  <c r="AZ49" i="9"/>
  <c r="P50" i="9"/>
  <c r="V50" i="9"/>
  <c r="AC50" i="9"/>
  <c r="K50" i="9" s="1"/>
  <c r="AK50" i="9"/>
  <c r="AS50" i="9"/>
  <c r="W51" i="9"/>
  <c r="AD51" i="9"/>
  <c r="M51" i="9" s="1"/>
  <c r="AT51" i="9"/>
  <c r="AE52" i="9"/>
  <c r="Z52" i="9" s="1"/>
  <c r="AM52" i="9"/>
  <c r="AU52" i="9"/>
  <c r="AX7" i="9"/>
  <c r="AP17" i="9"/>
  <c r="AB19" i="9"/>
  <c r="J19" i="9" s="1"/>
  <c r="W22" i="9"/>
  <c r="AA23" i="9"/>
  <c r="I23" i="9" s="1"/>
  <c r="W24" i="9"/>
  <c r="AU25" i="9"/>
  <c r="AN26" i="9"/>
  <c r="AG27" i="9"/>
  <c r="T29" i="9"/>
  <c r="AY29" i="9"/>
  <c r="O30" i="9"/>
  <c r="AR30" i="9"/>
  <c r="AK31" i="9"/>
  <c r="AD32" i="9"/>
  <c r="M32" i="9" s="1"/>
  <c r="AV34" i="9"/>
  <c r="AO35" i="9"/>
  <c r="AH36" i="9"/>
  <c r="AA37" i="9"/>
  <c r="I37" i="9" s="1"/>
  <c r="N38" i="9"/>
  <c r="AF38" i="9"/>
  <c r="AZ38" i="9"/>
  <c r="N39" i="9"/>
  <c r="T39" i="9"/>
  <c r="AA39" i="9"/>
  <c r="I39" i="9" s="1"/>
  <c r="AY39" i="9"/>
  <c r="O40" i="9"/>
  <c r="U40" i="9"/>
  <c r="AB40" i="9"/>
  <c r="J40" i="9" s="1"/>
  <c r="AJ40" i="9"/>
  <c r="AR40" i="9"/>
  <c r="AZ40" i="9"/>
  <c r="P41" i="9"/>
  <c r="V41" i="9"/>
  <c r="AC41" i="9"/>
  <c r="K41" i="9" s="1"/>
  <c r="AK41" i="9"/>
  <c r="AS41" i="9"/>
  <c r="W42" i="9"/>
  <c r="AD42" i="9"/>
  <c r="M42" i="9" s="1"/>
  <c r="AT42" i="9"/>
  <c r="AE43" i="9"/>
  <c r="Z43" i="9" s="1"/>
  <c r="AM43" i="9"/>
  <c r="AU43" i="9"/>
  <c r="X44" i="9"/>
  <c r="AF44" i="9"/>
  <c r="AN44" i="9"/>
  <c r="AV44" i="9"/>
  <c r="R45" i="9"/>
  <c r="Y45" i="9"/>
  <c r="G45" i="9" s="1"/>
  <c r="AG45" i="9"/>
  <c r="AO45" i="9"/>
  <c r="AW45" i="9"/>
  <c r="S46" i="9"/>
  <c r="AH46" i="9"/>
  <c r="AP46" i="9"/>
  <c r="AX46" i="9"/>
  <c r="N47" i="9"/>
  <c r="T47" i="9"/>
  <c r="AA47" i="9"/>
  <c r="I47" i="9" s="1"/>
  <c r="AY47" i="9"/>
  <c r="O48" i="9"/>
  <c r="U48" i="9"/>
  <c r="AB48" i="9"/>
  <c r="J48" i="9" s="1"/>
  <c r="AJ48" i="9"/>
  <c r="AR48" i="9"/>
  <c r="AZ48" i="9"/>
  <c r="P49" i="9"/>
  <c r="V49" i="9"/>
  <c r="AC49" i="9"/>
  <c r="K49" i="9" s="1"/>
  <c r="AK49" i="9"/>
  <c r="AS49" i="9"/>
  <c r="W50" i="9"/>
  <c r="AD50" i="9"/>
  <c r="M50" i="9" s="1"/>
  <c r="AT50" i="9"/>
  <c r="AE51" i="9"/>
  <c r="Z51" i="9" s="1"/>
  <c r="AM51" i="9"/>
  <c r="AU51" i="9"/>
  <c r="X52" i="9"/>
  <c r="AF52" i="9"/>
  <c r="AN52" i="9"/>
  <c r="AV52" i="9"/>
  <c r="R53" i="9"/>
  <c r="AH9" i="9"/>
  <c r="AD14" i="9"/>
  <c r="M14" i="9" s="1"/>
  <c r="AB21" i="9"/>
  <c r="J21" i="9" s="1"/>
  <c r="AM22" i="9"/>
  <c r="AC24" i="9"/>
  <c r="K24" i="9" s="1"/>
  <c r="W25" i="9"/>
  <c r="AU26" i="9"/>
  <c r="AN27" i="9"/>
  <c r="AG28" i="9"/>
  <c r="T30" i="9"/>
  <c r="AY30" i="9"/>
  <c r="O31" i="9"/>
  <c r="AR31" i="9"/>
  <c r="AK32" i="9"/>
  <c r="AD33" i="9"/>
  <c r="M33" i="9" s="1"/>
  <c r="AV35" i="9"/>
  <c r="AO36" i="9"/>
  <c r="AH37" i="9"/>
  <c r="O38" i="9"/>
  <c r="O39" i="9"/>
  <c r="U39" i="9"/>
  <c r="AB39" i="9"/>
  <c r="J39" i="9" s="1"/>
  <c r="AJ39" i="9"/>
  <c r="AR39" i="9"/>
  <c r="AZ39" i="9"/>
  <c r="P40" i="9"/>
  <c r="V40" i="9"/>
  <c r="AC40" i="9"/>
  <c r="K40" i="9" s="1"/>
  <c r="AK40" i="9"/>
  <c r="AS40" i="9"/>
  <c r="W41" i="9"/>
  <c r="AD41" i="9"/>
  <c r="M41" i="9" s="1"/>
  <c r="AT41" i="9"/>
  <c r="AE42" i="9"/>
  <c r="Z42" i="9" s="1"/>
  <c r="AM42" i="9"/>
  <c r="AU42" i="9"/>
  <c r="X43" i="9"/>
  <c r="AF43" i="9"/>
  <c r="AN43" i="9"/>
  <c r="AV43" i="9"/>
  <c r="R44" i="9"/>
  <c r="Y44" i="9"/>
  <c r="G44" i="9" s="1"/>
  <c r="AG44" i="9"/>
  <c r="AO44" i="9"/>
  <c r="AW44" i="9"/>
  <c r="S45" i="9"/>
  <c r="AH45" i="9"/>
  <c r="AP45" i="9"/>
  <c r="AX45" i="9"/>
  <c r="N46" i="9"/>
  <c r="T46" i="9"/>
  <c r="AA46" i="9"/>
  <c r="I46" i="9" s="1"/>
  <c r="AY46" i="9"/>
  <c r="O47" i="9"/>
  <c r="U47" i="9"/>
  <c r="AB47" i="9"/>
  <c r="J47" i="9" s="1"/>
  <c r="AJ47" i="9"/>
  <c r="AR47" i="9"/>
  <c r="AZ47" i="9"/>
  <c r="P48" i="9"/>
  <c r="V48" i="9"/>
  <c r="AC48" i="9"/>
  <c r="K48" i="9" s="1"/>
  <c r="AK48" i="9"/>
  <c r="AS48" i="9"/>
  <c r="W49" i="9"/>
  <c r="AD49" i="9"/>
  <c r="M49" i="9" s="1"/>
  <c r="AT49" i="9"/>
  <c r="AE50" i="9"/>
  <c r="Z50" i="9" s="1"/>
  <c r="AM50" i="9"/>
  <c r="AU50" i="9"/>
  <c r="X51" i="9"/>
  <c r="AF51" i="9"/>
  <c r="AN51" i="9"/>
  <c r="AV51" i="9"/>
  <c r="R52" i="9"/>
  <c r="Y52" i="9"/>
  <c r="G52" i="9" s="1"/>
  <c r="AG52" i="9"/>
  <c r="AO52" i="9"/>
  <c r="AW52" i="9"/>
  <c r="S53" i="9"/>
  <c r="AJ9" i="9"/>
  <c r="AE14" i="9"/>
  <c r="Z14" i="9" s="1"/>
  <c r="R16" i="9"/>
  <c r="AC21" i="9"/>
  <c r="K21" i="9" s="1"/>
  <c r="AS22" i="9"/>
  <c r="AJ23" i="9"/>
  <c r="AD24" i="9"/>
  <c r="M24" i="9" s="1"/>
  <c r="AV26" i="9"/>
  <c r="AO27" i="9"/>
  <c r="AH28" i="9"/>
  <c r="AA29" i="9"/>
  <c r="I29" i="9" s="1"/>
  <c r="U30" i="9"/>
  <c r="AZ30" i="9"/>
  <c r="P31" i="9"/>
  <c r="AS31" i="9"/>
  <c r="AE33" i="9"/>
  <c r="Z33" i="9" s="1"/>
  <c r="X34" i="9"/>
  <c r="R35" i="9"/>
  <c r="AW35" i="9"/>
  <c r="AP36" i="9"/>
  <c r="AJ38" i="9"/>
  <c r="P39" i="9"/>
  <c r="V39" i="9"/>
  <c r="AC39" i="9"/>
  <c r="K39" i="9" s="1"/>
  <c r="AK39" i="9"/>
  <c r="AS39" i="9"/>
  <c r="W40" i="9"/>
  <c r="AD40" i="9"/>
  <c r="M40" i="9" s="1"/>
  <c r="AT40" i="9"/>
  <c r="AE41" i="9"/>
  <c r="Z41" i="9" s="1"/>
  <c r="AM41" i="9"/>
  <c r="AU41" i="9"/>
  <c r="X42" i="9"/>
  <c r="AF42" i="9"/>
  <c r="AN42" i="9"/>
  <c r="AV42" i="9"/>
  <c r="R43" i="9"/>
  <c r="Y43" i="9"/>
  <c r="G43" i="9" s="1"/>
  <c r="AG43" i="9"/>
  <c r="AO43" i="9"/>
  <c r="AW43" i="9"/>
  <c r="S44" i="9"/>
  <c r="AH44" i="9"/>
  <c r="AP44" i="9"/>
  <c r="AX44" i="9"/>
  <c r="N45" i="9"/>
  <c r="T45" i="9"/>
  <c r="AA45" i="9"/>
  <c r="I45" i="9" s="1"/>
  <c r="AY45" i="9"/>
  <c r="O46" i="9"/>
  <c r="U46" i="9"/>
  <c r="AB46" i="9"/>
  <c r="J46" i="9" s="1"/>
  <c r="AJ46" i="9"/>
  <c r="AR46" i="9"/>
  <c r="AZ46" i="9"/>
  <c r="P47" i="9"/>
  <c r="V47" i="9"/>
  <c r="AC47" i="9"/>
  <c r="K47" i="9" s="1"/>
  <c r="AK47" i="9"/>
  <c r="AS47" i="9"/>
  <c r="W48" i="9"/>
  <c r="AD48" i="9"/>
  <c r="M48" i="9" s="1"/>
  <c r="AT48" i="9"/>
  <c r="AE49" i="9"/>
  <c r="Z49" i="9" s="1"/>
  <c r="AM49" i="9"/>
  <c r="AU49" i="9"/>
  <c r="X50" i="9"/>
  <c r="AF50" i="9"/>
  <c r="AN50" i="9"/>
  <c r="AV50" i="9"/>
  <c r="R51" i="9"/>
  <c r="Y51" i="9"/>
  <c r="G51" i="9" s="1"/>
  <c r="AG51" i="9"/>
  <c r="AO51" i="9"/>
  <c r="AW51" i="9"/>
  <c r="S52" i="9"/>
  <c r="AH52" i="9"/>
  <c r="AP52" i="9"/>
  <c r="AX52" i="9"/>
  <c r="N53" i="9"/>
  <c r="T53" i="9"/>
  <c r="U11" i="9"/>
  <c r="U20" i="9"/>
  <c r="AV27" i="9"/>
  <c r="AH29" i="9"/>
  <c r="U31" i="9"/>
  <c r="AW36" i="9"/>
  <c r="T38" i="9"/>
  <c r="AT39" i="9"/>
  <c r="AM40" i="9"/>
  <c r="AF41" i="9"/>
  <c r="Y42" i="9"/>
  <c r="G42" i="9" s="1"/>
  <c r="S43" i="9"/>
  <c r="AX43" i="9"/>
  <c r="N44" i="9"/>
  <c r="AJ45" i="9"/>
  <c r="AC46" i="9"/>
  <c r="K46" i="9" s="1"/>
  <c r="W47" i="9"/>
  <c r="AU48" i="9"/>
  <c r="AN49" i="9"/>
  <c r="AG50" i="9"/>
  <c r="T52" i="9"/>
  <c r="AY52" i="9"/>
  <c r="O53" i="9"/>
  <c r="AB53" i="9"/>
  <c r="J53" i="9" s="1"/>
  <c r="AK53" i="9"/>
  <c r="AU53" i="9"/>
  <c r="X54" i="9"/>
  <c r="AF54" i="9"/>
  <c r="AN54" i="9"/>
  <c r="AV54" i="9"/>
  <c r="R55" i="9"/>
  <c r="Y55" i="9"/>
  <c r="G55" i="9" s="1"/>
  <c r="AG55" i="9"/>
  <c r="AO55" i="9"/>
  <c r="AW55" i="9"/>
  <c r="S56" i="9"/>
  <c r="AH56" i="9"/>
  <c r="AP56" i="9"/>
  <c r="AX56" i="9"/>
  <c r="N57" i="9"/>
  <c r="T57" i="9"/>
  <c r="AA57" i="9"/>
  <c r="I57" i="9" s="1"/>
  <c r="AY57" i="9"/>
  <c r="O58" i="9"/>
  <c r="U58" i="9"/>
  <c r="AB58" i="9"/>
  <c r="J58" i="9" s="1"/>
  <c r="AJ58" i="9"/>
  <c r="AR58" i="9"/>
  <c r="AZ58" i="9"/>
  <c r="P59" i="9"/>
  <c r="V59" i="9"/>
  <c r="AC59" i="9"/>
  <c r="K59" i="9" s="1"/>
  <c r="AK59" i="9"/>
  <c r="AS59" i="9"/>
  <c r="W60" i="9"/>
  <c r="AD60" i="9"/>
  <c r="M60" i="9" s="1"/>
  <c r="AT60" i="9"/>
  <c r="AE61" i="9"/>
  <c r="Z61" i="9" s="1"/>
  <c r="AM61" i="9"/>
  <c r="AU61" i="9"/>
  <c r="X62" i="9"/>
  <c r="AF62" i="9"/>
  <c r="AN62" i="9"/>
  <c r="AV62" i="9"/>
  <c r="R63" i="9"/>
  <c r="Y63" i="9"/>
  <c r="G63" i="9" s="1"/>
  <c r="AG63" i="9"/>
  <c r="AO63" i="9"/>
  <c r="AW63" i="9"/>
  <c r="S64" i="9"/>
  <c r="AH64" i="9"/>
  <c r="AP64" i="9"/>
  <c r="AX64" i="9"/>
  <c r="N65" i="9"/>
  <c r="T65" i="9"/>
  <c r="AA65" i="9"/>
  <c r="I65" i="9" s="1"/>
  <c r="AY65" i="9"/>
  <c r="O66" i="9"/>
  <c r="U66" i="9"/>
  <c r="AB66" i="9"/>
  <c r="J66" i="9" s="1"/>
  <c r="AJ66" i="9"/>
  <c r="AR66" i="9"/>
  <c r="AZ66" i="9"/>
  <c r="P67" i="9"/>
  <c r="V67" i="9"/>
  <c r="AC67" i="9"/>
  <c r="K67" i="9" s="1"/>
  <c r="AK67" i="9"/>
  <c r="AS67" i="9"/>
  <c r="W68" i="9"/>
  <c r="AD68" i="9"/>
  <c r="M68" i="9" s="1"/>
  <c r="AT68" i="9"/>
  <c r="AE69" i="9"/>
  <c r="Z69" i="9" s="1"/>
  <c r="AM69" i="9"/>
  <c r="AU69" i="9"/>
  <c r="X70" i="9"/>
  <c r="AF70" i="9"/>
  <c r="AN70" i="9"/>
  <c r="AV70" i="9"/>
  <c r="R71" i="9"/>
  <c r="Y71" i="9"/>
  <c r="G71" i="9" s="1"/>
  <c r="AG71" i="9"/>
  <c r="AO71" i="9"/>
  <c r="AW71" i="9"/>
  <c r="S72" i="9"/>
  <c r="AH72" i="9"/>
  <c r="AP72" i="9"/>
  <c r="AX72" i="9"/>
  <c r="N73" i="9"/>
  <c r="T73" i="9"/>
  <c r="AA73" i="9"/>
  <c r="I73" i="9" s="1"/>
  <c r="AY73" i="9"/>
  <c r="W11" i="9"/>
  <c r="V20" i="9"/>
  <c r="AW27" i="9"/>
  <c r="V31" i="9"/>
  <c r="AX36" i="9"/>
  <c r="U38" i="9"/>
  <c r="AU39" i="9"/>
  <c r="AN40" i="9"/>
  <c r="AG41" i="9"/>
  <c r="T43" i="9"/>
  <c r="AY43" i="9"/>
  <c r="O44" i="9"/>
  <c r="AR44" i="9"/>
  <c r="AK45" i="9"/>
  <c r="AD46" i="9"/>
  <c r="M46" i="9" s="1"/>
  <c r="AV48" i="9"/>
  <c r="AO49" i="9"/>
  <c r="AH50" i="9"/>
  <c r="AA51" i="9"/>
  <c r="I51" i="9" s="1"/>
  <c r="U52" i="9"/>
  <c r="AZ52" i="9"/>
  <c r="P53" i="9"/>
  <c r="AC53" i="9"/>
  <c r="K53" i="9" s="1"/>
  <c r="AM53" i="9"/>
  <c r="AV53" i="9"/>
  <c r="R54" i="9"/>
  <c r="Y54" i="9"/>
  <c r="G54" i="9" s="1"/>
  <c r="AG54" i="9"/>
  <c r="AO54" i="9"/>
  <c r="AW54" i="9"/>
  <c r="S55" i="9"/>
  <c r="AH55" i="9"/>
  <c r="AP55" i="9"/>
  <c r="AX55" i="9"/>
  <c r="N56" i="9"/>
  <c r="T56" i="9"/>
  <c r="AA56" i="9"/>
  <c r="I56" i="9" s="1"/>
  <c r="AY56" i="9"/>
  <c r="O57" i="9"/>
  <c r="U57" i="9"/>
  <c r="AB57" i="9"/>
  <c r="J57" i="9" s="1"/>
  <c r="AJ57" i="9"/>
  <c r="AR57" i="9"/>
  <c r="AZ57" i="9"/>
  <c r="P58" i="9"/>
  <c r="V58" i="9"/>
  <c r="AC58" i="9"/>
  <c r="K58" i="9" s="1"/>
  <c r="AK58" i="9"/>
  <c r="AS58" i="9"/>
  <c r="W59" i="9"/>
  <c r="AD59" i="9"/>
  <c r="M59" i="9" s="1"/>
  <c r="AT59" i="9"/>
  <c r="AE60" i="9"/>
  <c r="Z60" i="9" s="1"/>
  <c r="AM60" i="9"/>
  <c r="AU60" i="9"/>
  <c r="X61" i="9"/>
  <c r="AF61" i="9"/>
  <c r="AN61" i="9"/>
  <c r="AV61" i="9"/>
  <c r="R62" i="9"/>
  <c r="Y62" i="9"/>
  <c r="G62" i="9" s="1"/>
  <c r="AG62" i="9"/>
  <c r="AO62" i="9"/>
  <c r="AW62" i="9"/>
  <c r="S63" i="9"/>
  <c r="AH63" i="9"/>
  <c r="AP63" i="9"/>
  <c r="AX63" i="9"/>
  <c r="N64" i="9"/>
  <c r="T64" i="9"/>
  <c r="AA64" i="9"/>
  <c r="I64" i="9" s="1"/>
  <c r="AY64" i="9"/>
  <c r="O65" i="9"/>
  <c r="U65" i="9"/>
  <c r="AB65" i="9"/>
  <c r="J65" i="9" s="1"/>
  <c r="AJ65" i="9"/>
  <c r="AR65" i="9"/>
  <c r="AZ65" i="9"/>
  <c r="P66" i="9"/>
  <c r="V66" i="9"/>
  <c r="AC66" i="9"/>
  <c r="K66" i="9" s="1"/>
  <c r="AK66" i="9"/>
  <c r="AS66" i="9"/>
  <c r="W67" i="9"/>
  <c r="AD67" i="9"/>
  <c r="M67" i="9" s="1"/>
  <c r="AT67" i="9"/>
  <c r="AE68" i="9"/>
  <c r="Z68" i="9" s="1"/>
  <c r="AM68" i="9"/>
  <c r="AU68" i="9"/>
  <c r="X69" i="9"/>
  <c r="AF69" i="9"/>
  <c r="AN69" i="9"/>
  <c r="AV69" i="9"/>
  <c r="R70" i="9"/>
  <c r="Y70" i="9"/>
  <c r="G70" i="9" s="1"/>
  <c r="AG70" i="9"/>
  <c r="AO70" i="9"/>
  <c r="AW70" i="9"/>
  <c r="S71" i="9"/>
  <c r="AH71" i="9"/>
  <c r="AP71" i="9"/>
  <c r="AX71" i="9"/>
  <c r="N72" i="9"/>
  <c r="T72" i="9"/>
  <c r="AA72" i="9"/>
  <c r="I72" i="9" s="1"/>
  <c r="AY72" i="9"/>
  <c r="O73" i="9"/>
  <c r="U73" i="9"/>
  <c r="AB73" i="9"/>
  <c r="J73" i="9" s="1"/>
  <c r="AJ73" i="9"/>
  <c r="AR73" i="9"/>
  <c r="AZ73" i="9"/>
  <c r="AT21" i="9"/>
  <c r="AK24" i="9"/>
  <c r="AZ31" i="9"/>
  <c r="X35" i="9"/>
  <c r="AN38" i="9"/>
  <c r="W39" i="9"/>
  <c r="AU40" i="9"/>
  <c r="AN41" i="9"/>
  <c r="AG42" i="9"/>
  <c r="T44" i="9"/>
  <c r="AY44" i="9"/>
  <c r="O45" i="9"/>
  <c r="AR45" i="9"/>
  <c r="AK46" i="9"/>
  <c r="AD47" i="9"/>
  <c r="M47" i="9" s="1"/>
  <c r="AV49" i="9"/>
  <c r="AO50" i="9"/>
  <c r="AH51" i="9"/>
  <c r="AA52" i="9"/>
  <c r="I52" i="9" s="1"/>
  <c r="U53" i="9"/>
  <c r="AE53" i="9"/>
  <c r="Z53" i="9" s="1"/>
  <c r="AN53" i="9"/>
  <c r="AW53" i="9"/>
  <c r="S54" i="9"/>
  <c r="AH54" i="9"/>
  <c r="AP54" i="9"/>
  <c r="AX54" i="9"/>
  <c r="N55" i="9"/>
  <c r="T55" i="9"/>
  <c r="AA55" i="9"/>
  <c r="I55" i="9" s="1"/>
  <c r="AY55" i="9"/>
  <c r="O56" i="9"/>
  <c r="U56" i="9"/>
  <c r="AB56" i="9"/>
  <c r="J56" i="9" s="1"/>
  <c r="AJ56" i="9"/>
  <c r="AR56" i="9"/>
  <c r="AZ56" i="9"/>
  <c r="P57" i="9"/>
  <c r="V57" i="9"/>
  <c r="AC57" i="9"/>
  <c r="K57" i="9" s="1"/>
  <c r="AK57" i="9"/>
  <c r="AS57" i="9"/>
  <c r="W58" i="9"/>
  <c r="AD58" i="9"/>
  <c r="M58" i="9" s="1"/>
  <c r="AT58" i="9"/>
  <c r="AE59" i="9"/>
  <c r="Z59" i="9" s="1"/>
  <c r="AM59" i="9"/>
  <c r="AU59" i="9"/>
  <c r="X60" i="9"/>
  <c r="AF60" i="9"/>
  <c r="AN60" i="9"/>
  <c r="AV60" i="9"/>
  <c r="R61" i="9"/>
  <c r="Y61" i="9"/>
  <c r="G61" i="9" s="1"/>
  <c r="AG61" i="9"/>
  <c r="AO61" i="9"/>
  <c r="AW61" i="9"/>
  <c r="S62" i="9"/>
  <c r="AH62" i="9"/>
  <c r="AP62" i="9"/>
  <c r="AX62" i="9"/>
  <c r="N63" i="9"/>
  <c r="T63" i="9"/>
  <c r="AA63" i="9"/>
  <c r="I63" i="9" s="1"/>
  <c r="AY63" i="9"/>
  <c r="O64" i="9"/>
  <c r="U64" i="9"/>
  <c r="AB64" i="9"/>
  <c r="J64" i="9" s="1"/>
  <c r="AJ64" i="9"/>
  <c r="AR64" i="9"/>
  <c r="AZ64" i="9"/>
  <c r="P65" i="9"/>
  <c r="V65" i="9"/>
  <c r="AC65" i="9"/>
  <c r="K65" i="9" s="1"/>
  <c r="AK65" i="9"/>
  <c r="AS65" i="9"/>
  <c r="W66" i="9"/>
  <c r="AD66" i="9"/>
  <c r="M66" i="9" s="1"/>
  <c r="AT66" i="9"/>
  <c r="AE67" i="9"/>
  <c r="Z67" i="9" s="1"/>
  <c r="AM67" i="9"/>
  <c r="AU67" i="9"/>
  <c r="X68" i="9"/>
  <c r="AF68" i="9"/>
  <c r="AN68" i="9"/>
  <c r="AV68" i="9"/>
  <c r="R69" i="9"/>
  <c r="Y69" i="9"/>
  <c r="G69" i="9" s="1"/>
  <c r="AG69" i="9"/>
  <c r="AO69" i="9"/>
  <c r="AW69" i="9"/>
  <c r="S70" i="9"/>
  <c r="AH70" i="9"/>
  <c r="AP70" i="9"/>
  <c r="AX70" i="9"/>
  <c r="N71" i="9"/>
  <c r="T71" i="9"/>
  <c r="AA71" i="9"/>
  <c r="I71" i="9" s="1"/>
  <c r="AY71" i="9"/>
  <c r="O72" i="9"/>
  <c r="U72" i="9"/>
  <c r="AB72" i="9"/>
  <c r="J72" i="9" s="1"/>
  <c r="AJ72" i="9"/>
  <c r="AR72" i="9"/>
  <c r="AZ72" i="9"/>
  <c r="P73" i="9"/>
  <c r="V73" i="9"/>
  <c r="AC73" i="9"/>
  <c r="K73" i="9" s="1"/>
  <c r="AK73" i="9"/>
  <c r="AS73" i="9"/>
  <c r="AZ21" i="9"/>
  <c r="X26" i="9"/>
  <c r="AM33" i="9"/>
  <c r="Y35" i="9"/>
  <c r="G35" i="9" s="1"/>
  <c r="N37" i="9"/>
  <c r="AV40" i="9"/>
  <c r="AO41" i="9"/>
  <c r="AH42" i="9"/>
  <c r="AA43" i="9"/>
  <c r="I43" i="9" s="1"/>
  <c r="U44" i="9"/>
  <c r="AZ44" i="9"/>
  <c r="P45" i="9"/>
  <c r="AS45" i="9"/>
  <c r="AE47" i="9"/>
  <c r="Z47" i="9" s="1"/>
  <c r="X48" i="9"/>
  <c r="R49" i="9"/>
  <c r="AW49" i="9"/>
  <c r="AP50" i="9"/>
  <c r="AB52" i="9"/>
  <c r="J52" i="9" s="1"/>
  <c r="V53" i="9"/>
  <c r="AF53" i="9"/>
  <c r="AO53" i="9"/>
  <c r="AX53" i="9"/>
  <c r="N54" i="9"/>
  <c r="T54" i="9"/>
  <c r="AA54" i="9"/>
  <c r="I54" i="9" s="1"/>
  <c r="AY54" i="9"/>
  <c r="O55" i="9"/>
  <c r="U55" i="9"/>
  <c r="AB55" i="9"/>
  <c r="J55" i="9" s="1"/>
  <c r="AJ55" i="9"/>
  <c r="AR55" i="9"/>
  <c r="AZ55" i="9"/>
  <c r="P56" i="9"/>
  <c r="V56" i="9"/>
  <c r="AC56" i="9"/>
  <c r="K56" i="9" s="1"/>
  <c r="AK56" i="9"/>
  <c r="AS56" i="9"/>
  <c r="W57" i="9"/>
  <c r="AD57" i="9"/>
  <c r="M57" i="9" s="1"/>
  <c r="AT57" i="9"/>
  <c r="AE58" i="9"/>
  <c r="Z58" i="9" s="1"/>
  <c r="AM58" i="9"/>
  <c r="AU58" i="9"/>
  <c r="X59" i="9"/>
  <c r="AF59" i="9"/>
  <c r="AN59" i="9"/>
  <c r="AV59" i="9"/>
  <c r="R60" i="9"/>
  <c r="Y60" i="9"/>
  <c r="G60" i="9" s="1"/>
  <c r="AG60" i="9"/>
  <c r="AO60" i="9"/>
  <c r="AW60" i="9"/>
  <c r="S61" i="9"/>
  <c r="AH61" i="9"/>
  <c r="AP61" i="9"/>
  <c r="AX61" i="9"/>
  <c r="N62" i="9"/>
  <c r="T62" i="9"/>
  <c r="AA62" i="9"/>
  <c r="I62" i="9" s="1"/>
  <c r="AY62" i="9"/>
  <c r="O63" i="9"/>
  <c r="U63" i="9"/>
  <c r="AB63" i="9"/>
  <c r="J63" i="9" s="1"/>
  <c r="AJ63" i="9"/>
  <c r="AR63" i="9"/>
  <c r="AZ63" i="9"/>
  <c r="P64" i="9"/>
  <c r="V64" i="9"/>
  <c r="AC64" i="9"/>
  <c r="K64" i="9" s="1"/>
  <c r="AK64" i="9"/>
  <c r="AS64" i="9"/>
  <c r="W65" i="9"/>
  <c r="AD65" i="9"/>
  <c r="M65" i="9" s="1"/>
  <c r="AT65" i="9"/>
  <c r="AE66" i="9"/>
  <c r="Z66" i="9" s="1"/>
  <c r="AM66" i="9"/>
  <c r="AU66" i="9"/>
  <c r="X67" i="9"/>
  <c r="AF67" i="9"/>
  <c r="AN67" i="9"/>
  <c r="AV67" i="9"/>
  <c r="R68" i="9"/>
  <c r="Y68" i="9"/>
  <c r="G68" i="9" s="1"/>
  <c r="AG68" i="9"/>
  <c r="AO68" i="9"/>
  <c r="AW68" i="9"/>
  <c r="S69" i="9"/>
  <c r="AH69" i="9"/>
  <c r="AP69" i="9"/>
  <c r="AX69" i="9"/>
  <c r="N70" i="9"/>
  <c r="T70" i="9"/>
  <c r="AA70" i="9"/>
  <c r="I70" i="9" s="1"/>
  <c r="AY70" i="9"/>
  <c r="O71" i="9"/>
  <c r="U71" i="9"/>
  <c r="AB71" i="9"/>
  <c r="J71" i="9" s="1"/>
  <c r="AJ71" i="9"/>
  <c r="AR71" i="9"/>
  <c r="AZ71" i="9"/>
  <c r="P72" i="9"/>
  <c r="V72" i="9"/>
  <c r="AC72" i="9"/>
  <c r="K72" i="9" s="1"/>
  <c r="AK72" i="9"/>
  <c r="AS72" i="9"/>
  <c r="W73" i="9"/>
  <c r="AD73" i="9"/>
  <c r="M73" i="9" s="1"/>
  <c r="AT73" i="9"/>
  <c r="AV16" i="9"/>
  <c r="AO28" i="9"/>
  <c r="AA30" i="9"/>
  <c r="I30" i="9" s="1"/>
  <c r="P32" i="9"/>
  <c r="AP37" i="9"/>
  <c r="AD39" i="9"/>
  <c r="M39" i="9" s="1"/>
  <c r="AV41" i="9"/>
  <c r="AO42" i="9"/>
  <c r="AH43" i="9"/>
  <c r="AA44" i="9"/>
  <c r="I44" i="9" s="1"/>
  <c r="U45" i="9"/>
  <c r="AZ45" i="9"/>
  <c r="P46" i="9"/>
  <c r="AS46" i="9"/>
  <c r="AE48" i="9"/>
  <c r="Z48" i="9" s="1"/>
  <c r="X49" i="9"/>
  <c r="R50" i="9"/>
  <c r="AW50" i="9"/>
  <c r="AP51" i="9"/>
  <c r="AG53" i="9"/>
  <c r="AP53" i="9"/>
  <c r="AY53" i="9"/>
  <c r="O54" i="9"/>
  <c r="U54" i="9"/>
  <c r="AB54" i="9"/>
  <c r="J54" i="9" s="1"/>
  <c r="AJ54" i="9"/>
  <c r="AR54" i="9"/>
  <c r="AZ54" i="9"/>
  <c r="P55" i="9"/>
  <c r="V55" i="9"/>
  <c r="AC55" i="9"/>
  <c r="K55" i="9" s="1"/>
  <c r="AK55" i="9"/>
  <c r="AS55" i="9"/>
  <c r="W56" i="9"/>
  <c r="AD56" i="9"/>
  <c r="M56" i="9" s="1"/>
  <c r="AT56" i="9"/>
  <c r="AE57" i="9"/>
  <c r="Z57" i="9" s="1"/>
  <c r="AM57" i="9"/>
  <c r="AU57" i="9"/>
  <c r="X58" i="9"/>
  <c r="AF58" i="9"/>
  <c r="AN58" i="9"/>
  <c r="AV58" i="9"/>
  <c r="R59" i="9"/>
  <c r="Y59" i="9"/>
  <c r="G59" i="9" s="1"/>
  <c r="AG59" i="9"/>
  <c r="AO59" i="9"/>
  <c r="AW59" i="9"/>
  <c r="S60" i="9"/>
  <c r="AH60" i="9"/>
  <c r="AP60" i="9"/>
  <c r="AX60" i="9"/>
  <c r="N61" i="9"/>
  <c r="T61" i="9"/>
  <c r="AA61" i="9"/>
  <c r="I61" i="9" s="1"/>
  <c r="AY61" i="9"/>
  <c r="O62" i="9"/>
  <c r="U62" i="9"/>
  <c r="AB62" i="9"/>
  <c r="J62" i="9" s="1"/>
  <c r="AJ62" i="9"/>
  <c r="AR62" i="9"/>
  <c r="AZ62" i="9"/>
  <c r="P63" i="9"/>
  <c r="V63" i="9"/>
  <c r="AC63" i="9"/>
  <c r="K63" i="9" s="1"/>
  <c r="AK63" i="9"/>
  <c r="AS63" i="9"/>
  <c r="W64" i="9"/>
  <c r="AD64" i="9"/>
  <c r="M64" i="9" s="1"/>
  <c r="AT64" i="9"/>
  <c r="AE65" i="9"/>
  <c r="Z65" i="9" s="1"/>
  <c r="AM65" i="9"/>
  <c r="AU65" i="9"/>
  <c r="X66" i="9"/>
  <c r="AF66" i="9"/>
  <c r="AN66" i="9"/>
  <c r="AV66" i="9"/>
  <c r="R67" i="9"/>
  <c r="Y67" i="9"/>
  <c r="G67" i="9" s="1"/>
  <c r="AG67" i="9"/>
  <c r="AO67" i="9"/>
  <c r="AW67" i="9"/>
  <c r="S68" i="9"/>
  <c r="AH68" i="9"/>
  <c r="AP68" i="9"/>
  <c r="AX68" i="9"/>
  <c r="N69" i="9"/>
  <c r="T69" i="9"/>
  <c r="AA69" i="9"/>
  <c r="I69" i="9" s="1"/>
  <c r="AY69" i="9"/>
  <c r="O70" i="9"/>
  <c r="U70" i="9"/>
  <c r="AB70" i="9"/>
  <c r="J70" i="9" s="1"/>
  <c r="AJ70" i="9"/>
  <c r="AR70" i="9"/>
  <c r="AZ70" i="9"/>
  <c r="P71" i="9"/>
  <c r="V71" i="9"/>
  <c r="AC71" i="9"/>
  <c r="K71" i="9" s="1"/>
  <c r="AK71" i="9"/>
  <c r="AS71" i="9"/>
  <c r="W72" i="9"/>
  <c r="AD72" i="9"/>
  <c r="M72" i="9" s="1"/>
  <c r="AT72" i="9"/>
  <c r="AE73" i="9"/>
  <c r="Z73" i="9" s="1"/>
  <c r="AM73" i="9"/>
  <c r="AU73" i="9"/>
  <c r="AW16" i="9"/>
  <c r="AP28" i="9"/>
  <c r="AB30" i="9"/>
  <c r="J30" i="9" s="1"/>
  <c r="AE39" i="9"/>
  <c r="Z39" i="9" s="1"/>
  <c r="X40" i="9"/>
  <c r="R41" i="9"/>
  <c r="AW41" i="9"/>
  <c r="AP42" i="9"/>
  <c r="AB44" i="9"/>
  <c r="J44" i="9" s="1"/>
  <c r="V45" i="9"/>
  <c r="AT46" i="9"/>
  <c r="AM47" i="9"/>
  <c r="AF48" i="9"/>
  <c r="Y49" i="9"/>
  <c r="G49" i="9" s="1"/>
  <c r="S50" i="9"/>
  <c r="AX50" i="9"/>
  <c r="N51" i="9"/>
  <c r="AJ52" i="9"/>
  <c r="X53" i="9"/>
  <c r="AH53" i="9"/>
  <c r="AZ53" i="9"/>
  <c r="P54" i="9"/>
  <c r="V54" i="9"/>
  <c r="AC54" i="9"/>
  <c r="K54" i="9" s="1"/>
  <c r="AK54" i="9"/>
  <c r="AS54" i="9"/>
  <c r="W55" i="9"/>
  <c r="AD55" i="9"/>
  <c r="M55" i="9" s="1"/>
  <c r="AT55" i="9"/>
  <c r="AE56" i="9"/>
  <c r="Z56" i="9" s="1"/>
  <c r="AM56" i="9"/>
  <c r="AU56" i="9"/>
  <c r="X57" i="9"/>
  <c r="AF57" i="9"/>
  <c r="AN57" i="9"/>
  <c r="AV57" i="9"/>
  <c r="R58" i="9"/>
  <c r="Y58" i="9"/>
  <c r="G58" i="9" s="1"/>
  <c r="AG58" i="9"/>
  <c r="AO58" i="9"/>
  <c r="AW58" i="9"/>
  <c r="S59" i="9"/>
  <c r="AH59" i="9"/>
  <c r="AP59" i="9"/>
  <c r="AX59" i="9"/>
  <c r="N60" i="9"/>
  <c r="T60" i="9"/>
  <c r="AA60" i="9"/>
  <c r="I60" i="9" s="1"/>
  <c r="AY60" i="9"/>
  <c r="O61" i="9"/>
  <c r="U61" i="9"/>
  <c r="AB61" i="9"/>
  <c r="J61" i="9" s="1"/>
  <c r="AJ61" i="9"/>
  <c r="AR61" i="9"/>
  <c r="AZ61" i="9"/>
  <c r="P62" i="9"/>
  <c r="V62" i="9"/>
  <c r="AC62" i="9"/>
  <c r="K62" i="9" s="1"/>
  <c r="AK62" i="9"/>
  <c r="AS62" i="9"/>
  <c r="W63" i="9"/>
  <c r="AD63" i="9"/>
  <c r="M63" i="9" s="1"/>
  <c r="AT63" i="9"/>
  <c r="AE64" i="9"/>
  <c r="Z64" i="9" s="1"/>
  <c r="AM64" i="9"/>
  <c r="AU64" i="9"/>
  <c r="X65" i="9"/>
  <c r="AF65" i="9"/>
  <c r="AN65" i="9"/>
  <c r="AV65" i="9"/>
  <c r="R66" i="9"/>
  <c r="Y66" i="9"/>
  <c r="G66" i="9" s="1"/>
  <c r="AG66" i="9"/>
  <c r="AO66" i="9"/>
  <c r="AW66" i="9"/>
  <c r="S67" i="9"/>
  <c r="AH67" i="9"/>
  <c r="AP67" i="9"/>
  <c r="AX67" i="9"/>
  <c r="N68" i="9"/>
  <c r="T68" i="9"/>
  <c r="AA68" i="9"/>
  <c r="I68" i="9" s="1"/>
  <c r="AY68" i="9"/>
  <c r="O69" i="9"/>
  <c r="U69" i="9"/>
  <c r="AB69" i="9"/>
  <c r="J69" i="9" s="1"/>
  <c r="AJ69" i="9"/>
  <c r="AR69" i="9"/>
  <c r="AZ69" i="9"/>
  <c r="P70" i="9"/>
  <c r="V70" i="9"/>
  <c r="AC70" i="9"/>
  <c r="K70" i="9" s="1"/>
  <c r="AK70" i="9"/>
  <c r="AS70" i="9"/>
  <c r="W71" i="9"/>
  <c r="AD71" i="9"/>
  <c r="M71" i="9" s="1"/>
  <c r="AT71" i="9"/>
  <c r="AE72" i="9"/>
  <c r="Z72" i="9" s="1"/>
  <c r="AM72" i="9"/>
  <c r="AU72" i="9"/>
  <c r="X73" i="9"/>
  <c r="AF73" i="9"/>
  <c r="AN73" i="9"/>
  <c r="AV73" i="9"/>
  <c r="AH18" i="9"/>
  <c r="AR23" i="9"/>
  <c r="AD25" i="9"/>
  <c r="M25" i="9" s="1"/>
  <c r="AS32" i="9"/>
  <c r="AE34" i="9"/>
  <c r="Z34" i="9" s="1"/>
  <c r="R36" i="9"/>
  <c r="AE40" i="9"/>
  <c r="Z40" i="9" s="1"/>
  <c r="X41" i="9"/>
  <c r="R42" i="9"/>
  <c r="AW42" i="9"/>
  <c r="AP43" i="9"/>
  <c r="AB45" i="9"/>
  <c r="J45" i="9" s="1"/>
  <c r="V46" i="9"/>
  <c r="AT47" i="9"/>
  <c r="AM48" i="9"/>
  <c r="AF49" i="9"/>
  <c r="Y50" i="9"/>
  <c r="G50" i="9" s="1"/>
  <c r="S51" i="9"/>
  <c r="AX51" i="9"/>
  <c r="N52" i="9"/>
  <c r="Y53" i="9"/>
  <c r="G53" i="9" s="1"/>
  <c r="AR53" i="9"/>
  <c r="W54" i="9"/>
  <c r="AD54" i="9"/>
  <c r="M54" i="9" s="1"/>
  <c r="AT54" i="9"/>
  <c r="AE55" i="9"/>
  <c r="Z55" i="9" s="1"/>
  <c r="AM55" i="9"/>
  <c r="AU55" i="9"/>
  <c r="X56" i="9"/>
  <c r="AF56" i="9"/>
  <c r="AN56" i="9"/>
  <c r="AV56" i="9"/>
  <c r="R57" i="9"/>
  <c r="Y57" i="9"/>
  <c r="G57" i="9" s="1"/>
  <c r="AG57" i="9"/>
  <c r="AO57" i="9"/>
  <c r="AW57" i="9"/>
  <c r="S58" i="9"/>
  <c r="AH58" i="9"/>
  <c r="AP58" i="9"/>
  <c r="AX58" i="9"/>
  <c r="N59" i="9"/>
  <c r="T59" i="9"/>
  <c r="AA59" i="9"/>
  <c r="I59" i="9" s="1"/>
  <c r="AY59" i="9"/>
  <c r="O60" i="9"/>
  <c r="U60" i="9"/>
  <c r="AB60" i="9"/>
  <c r="J60" i="9" s="1"/>
  <c r="AJ60" i="9"/>
  <c r="AR60" i="9"/>
  <c r="AZ60" i="9"/>
  <c r="P61" i="9"/>
  <c r="V61" i="9"/>
  <c r="AC61" i="9"/>
  <c r="K61" i="9" s="1"/>
  <c r="AK61" i="9"/>
  <c r="AS61" i="9"/>
  <c r="W62" i="9"/>
  <c r="AD62" i="9"/>
  <c r="M62" i="9" s="1"/>
  <c r="AT62" i="9"/>
  <c r="AE63" i="9"/>
  <c r="Z63" i="9" s="1"/>
  <c r="AM63" i="9"/>
  <c r="AU63" i="9"/>
  <c r="X64" i="9"/>
  <c r="AF64" i="9"/>
  <c r="AN64" i="9"/>
  <c r="AV64" i="9"/>
  <c r="R65" i="9"/>
  <c r="Y65" i="9"/>
  <c r="G65" i="9" s="1"/>
  <c r="AG65" i="9"/>
  <c r="AO65" i="9"/>
  <c r="AW65" i="9"/>
  <c r="S66" i="9"/>
  <c r="AH66" i="9"/>
  <c r="AP66" i="9"/>
  <c r="AX66" i="9"/>
  <c r="N67" i="9"/>
  <c r="T67" i="9"/>
  <c r="AA67" i="9"/>
  <c r="I67" i="9" s="1"/>
  <c r="AY67" i="9"/>
  <c r="AS23" i="9"/>
  <c r="AG72" i="9"/>
  <c r="AN71" i="9"/>
  <c r="AU70" i="9"/>
  <c r="W69" i="9"/>
  <c r="AC68" i="9"/>
  <c r="K68" i="9" s="1"/>
  <c r="U67" i="9"/>
  <c r="AA66" i="9"/>
  <c r="I66" i="9" s="1"/>
  <c r="AH65" i="9"/>
  <c r="AO64" i="9"/>
  <c r="AV63" i="9"/>
  <c r="O59" i="9"/>
  <c r="T58" i="9"/>
  <c r="AG56" i="9"/>
  <c r="AN55" i="9"/>
  <c r="AU54" i="9"/>
  <c r="T51" i="9"/>
  <c r="AU47" i="9"/>
  <c r="AF40" i="9"/>
  <c r="Y73" i="9"/>
  <c r="G73" i="9" s="1"/>
  <c r="AF72" i="9"/>
  <c r="AM71" i="9"/>
  <c r="AT70" i="9"/>
  <c r="V69" i="9"/>
  <c r="AB68" i="9"/>
  <c r="J68" i="9" s="1"/>
  <c r="O67" i="9"/>
  <c r="T66" i="9"/>
  <c r="AG64" i="9"/>
  <c r="AN63" i="9"/>
  <c r="AU62" i="9"/>
  <c r="N58" i="9"/>
  <c r="S57" i="9"/>
  <c r="Y56" i="9"/>
  <c r="G56" i="9" s="1"/>
  <c r="AF55" i="9"/>
  <c r="AM54" i="9"/>
  <c r="AS53" i="9"/>
  <c r="AX73" i="9"/>
  <c r="S73" i="9"/>
  <c r="Y72" i="9"/>
  <c r="G72" i="9" s="1"/>
  <c r="AF71" i="9"/>
  <c r="AM70" i="9"/>
  <c r="AT69" i="9"/>
  <c r="V68" i="9"/>
  <c r="N66" i="9"/>
  <c r="S65" i="9"/>
  <c r="Y64" i="9"/>
  <c r="G64" i="9" s="1"/>
  <c r="AF63" i="9"/>
  <c r="AM62" i="9"/>
  <c r="AT61" i="9"/>
  <c r="R56" i="9"/>
  <c r="X55" i="9"/>
  <c r="AE54" i="9"/>
  <c r="Z54" i="9" s="1"/>
  <c r="AJ53" i="9"/>
  <c r="N43" i="9"/>
  <c r="AM39" i="9"/>
  <c r="R27" i="9"/>
  <c r="AW73" i="9"/>
  <c r="R73" i="9"/>
  <c r="X72" i="9"/>
  <c r="AE71" i="9"/>
  <c r="Z71" i="9" s="1"/>
  <c r="AS69" i="9"/>
  <c r="P69" i="9"/>
  <c r="AZ68" i="9"/>
  <c r="U68" i="9"/>
  <c r="R64" i="9"/>
  <c r="X63" i="9"/>
  <c r="AE62" i="9"/>
  <c r="Z62" i="9" s="1"/>
  <c r="AS60" i="9"/>
  <c r="AZ59" i="9"/>
  <c r="AA53" i="9"/>
  <c r="I53" i="9" s="1"/>
  <c r="W46" i="9"/>
  <c r="AX42" i="9"/>
  <c r="AE25" i="9"/>
  <c r="Z25" i="9" s="1"/>
  <c r="B3" i="9"/>
  <c r="F4" i="9"/>
  <c r="F52" i="9"/>
  <c r="F67" i="9"/>
  <c r="F11" i="9"/>
  <c r="F66" i="9"/>
  <c r="F58" i="9"/>
  <c r="F50" i="9"/>
  <c r="F42" i="9"/>
  <c r="F34" i="9"/>
  <c r="F26" i="9"/>
  <c r="F18" i="9"/>
  <c r="F10" i="9"/>
  <c r="F68" i="9"/>
  <c r="F20" i="9"/>
  <c r="F59" i="9"/>
  <c r="F19" i="9"/>
  <c r="F73" i="9"/>
  <c r="F65" i="9"/>
  <c r="F57" i="9"/>
  <c r="F49" i="9"/>
  <c r="F41" i="9"/>
  <c r="F33" i="9"/>
  <c r="F25" i="9"/>
  <c r="F17" i="9"/>
  <c r="F9" i="9"/>
  <c r="F60" i="9"/>
  <c r="F36" i="9"/>
  <c r="F27" i="9"/>
  <c r="F72" i="9"/>
  <c r="F64" i="9"/>
  <c r="F56" i="9"/>
  <c r="F48" i="9"/>
  <c r="F40" i="9"/>
  <c r="F8" i="9"/>
  <c r="F44" i="9"/>
  <c r="F51" i="9"/>
  <c r="F32" i="9"/>
  <c r="F71" i="9"/>
  <c r="F63" i="9"/>
  <c r="F55" i="9"/>
  <c r="F47" i="9"/>
  <c r="F39" i="9"/>
  <c r="F31" i="9"/>
  <c r="F23" i="9"/>
  <c r="F15" i="9"/>
  <c r="F7" i="9"/>
  <c r="F12" i="9"/>
  <c r="F35" i="9"/>
  <c r="F24" i="9"/>
  <c r="F70" i="9"/>
  <c r="F62" i="9"/>
  <c r="F54" i="9"/>
  <c r="F46" i="9"/>
  <c r="F38" i="9"/>
  <c r="F30" i="9"/>
  <c r="F22" i="9"/>
  <c r="F14" i="9"/>
  <c r="F6" i="9"/>
  <c r="F28" i="9"/>
  <c r="F43" i="9"/>
  <c r="F16" i="9"/>
  <c r="F69" i="9"/>
  <c r="F61" i="9"/>
  <c r="F53" i="9"/>
  <c r="F45" i="9"/>
  <c r="F37" i="9"/>
  <c r="F29" i="9"/>
  <c r="F21" i="9"/>
  <c r="F13" i="9"/>
  <c r="F5" i="9"/>
  <c r="CF2" i="1"/>
  <c r="Q125" i="9" l="1"/>
  <c r="Q127" i="9"/>
  <c r="Q131" i="9"/>
  <c r="Q124" i="9"/>
  <c r="Q128" i="9"/>
  <c r="H127" i="9"/>
  <c r="Q129" i="9"/>
  <c r="H129" i="9"/>
  <c r="H126" i="9"/>
  <c r="Q126" i="9"/>
  <c r="Q130" i="9"/>
  <c r="H124" i="9"/>
  <c r="H130" i="9"/>
  <c r="H131" i="9"/>
  <c r="H125" i="9"/>
  <c r="H128" i="9"/>
  <c r="H122" i="9"/>
  <c r="Q123" i="9"/>
  <c r="Q122" i="9"/>
  <c r="H123" i="9"/>
  <c r="Q118" i="9"/>
  <c r="Q115" i="9"/>
  <c r="Q116" i="9"/>
  <c r="H116" i="9"/>
  <c r="H120" i="9"/>
  <c r="Q119" i="9"/>
  <c r="Q120" i="9"/>
  <c r="Q117" i="9"/>
  <c r="Q121" i="9"/>
  <c r="H117" i="9"/>
  <c r="H118" i="9"/>
  <c r="H119" i="9"/>
  <c r="H115" i="9"/>
  <c r="H121" i="9"/>
  <c r="H114" i="9"/>
  <c r="Q114" i="9"/>
  <c r="Q97" i="9"/>
  <c r="Q111" i="9"/>
  <c r="Q107" i="9"/>
  <c r="Q99" i="9"/>
  <c r="Q95" i="9"/>
  <c r="Q91" i="9"/>
  <c r="Q87" i="9"/>
  <c r="Q101" i="9"/>
  <c r="H108" i="9"/>
  <c r="H101" i="9"/>
  <c r="H98" i="9"/>
  <c r="Q94" i="9"/>
  <c r="Q103" i="9"/>
  <c r="Q106" i="9"/>
  <c r="Q98" i="9"/>
  <c r="H96" i="9"/>
  <c r="H87" i="9"/>
  <c r="Q113" i="9"/>
  <c r="Q93" i="9"/>
  <c r="H100" i="9"/>
  <c r="Q109" i="9"/>
  <c r="H111" i="9"/>
  <c r="H107" i="9"/>
  <c r="H105" i="9"/>
  <c r="Q100" i="9"/>
  <c r="H112" i="9"/>
  <c r="Q89" i="9"/>
  <c r="Q105" i="9"/>
  <c r="Q90" i="9"/>
  <c r="Q112" i="9"/>
  <c r="Q108" i="9"/>
  <c r="Q104" i="9"/>
  <c r="Q96" i="9"/>
  <c r="Q92" i="9"/>
  <c r="Q88" i="9"/>
  <c r="Q110" i="9"/>
  <c r="Q102" i="9"/>
  <c r="H103" i="9"/>
  <c r="H93" i="9"/>
  <c r="H90" i="9"/>
  <c r="H94" i="9"/>
  <c r="H113" i="9"/>
  <c r="H89" i="9"/>
  <c r="H104" i="9"/>
  <c r="H110" i="9"/>
  <c r="H102" i="9"/>
  <c r="H88" i="9"/>
  <c r="H109" i="9"/>
  <c r="H97" i="9"/>
  <c r="H106" i="9"/>
  <c r="H91" i="9"/>
  <c r="H99" i="9"/>
  <c r="H92" i="9"/>
  <c r="H95" i="9"/>
  <c r="Q80" i="9"/>
  <c r="Q82" i="9"/>
  <c r="Q84" i="9"/>
  <c r="Q77" i="9"/>
  <c r="H80" i="9"/>
  <c r="Q74" i="9"/>
  <c r="Q83" i="9"/>
  <c r="Q79" i="9"/>
  <c r="Q86" i="9"/>
  <c r="H82" i="9"/>
  <c r="H86" i="9"/>
  <c r="Q78" i="9"/>
  <c r="H83" i="9"/>
  <c r="Q76" i="9"/>
  <c r="Q75" i="9"/>
  <c r="Q85" i="9"/>
  <c r="H81" i="9"/>
  <c r="Q81" i="9"/>
  <c r="H79" i="9"/>
  <c r="H77" i="9"/>
  <c r="H84" i="9"/>
  <c r="H85" i="9"/>
  <c r="H78" i="9"/>
  <c r="H75" i="9"/>
  <c r="H76" i="9"/>
  <c r="H74" i="9"/>
  <c r="H4" i="9"/>
  <c r="Q16" i="9"/>
  <c r="Q36" i="9"/>
  <c r="Q27" i="9"/>
  <c r="Q64" i="9"/>
  <c r="Q56" i="9"/>
  <c r="Q6" i="9"/>
  <c r="Q49" i="9"/>
  <c r="Q69" i="9"/>
  <c r="Q71" i="9"/>
  <c r="Q63" i="9"/>
  <c r="Q55" i="9"/>
  <c r="Q23" i="9"/>
  <c r="Q34" i="9"/>
  <c r="Q26" i="9"/>
  <c r="Q20" i="9"/>
  <c r="Q21" i="9"/>
  <c r="Q11" i="9"/>
  <c r="Q13" i="9"/>
  <c r="Q5" i="9"/>
  <c r="Q68" i="9"/>
  <c r="Q61" i="9"/>
  <c r="Q60" i="9"/>
  <c r="Q38" i="9"/>
  <c r="Q30" i="9"/>
  <c r="Q22" i="9"/>
  <c r="Q14" i="9"/>
  <c r="Q33" i="9"/>
  <c r="Q25" i="9"/>
  <c r="Q17" i="9"/>
  <c r="Q7" i="9"/>
  <c r="Q65" i="9"/>
  <c r="Q57" i="9"/>
  <c r="Q67" i="9"/>
  <c r="Q59" i="9"/>
  <c r="Q70" i="9"/>
  <c r="Q62" i="9"/>
  <c r="Q54" i="9"/>
  <c r="Q37" i="9"/>
  <c r="Q29" i="9"/>
  <c r="Q8" i="9"/>
  <c r="Q10" i="9"/>
  <c r="Q41" i="9"/>
  <c r="Q53" i="9"/>
  <c r="Q45" i="9"/>
  <c r="Q46" i="9"/>
  <c r="Q48" i="9"/>
  <c r="Q40" i="9"/>
  <c r="Q28" i="9"/>
  <c r="Q18" i="9"/>
  <c r="Q12" i="9"/>
  <c r="Q72" i="9"/>
  <c r="Q42" i="9"/>
  <c r="Q66" i="9"/>
  <c r="Q58" i="9"/>
  <c r="Q50" i="9"/>
  <c r="Q35" i="9"/>
  <c r="Q52" i="9"/>
  <c r="Q44" i="9"/>
  <c r="Q15" i="9"/>
  <c r="Q9" i="9"/>
  <c r="Q73" i="9"/>
  <c r="Q31" i="9"/>
  <c r="Q51" i="9"/>
  <c r="Q43" i="9"/>
  <c r="Q47" i="9"/>
  <c r="Q39" i="9"/>
  <c r="Q32" i="9"/>
  <c r="Q24" i="9"/>
  <c r="Q19" i="9"/>
  <c r="Q4" i="9"/>
  <c r="H41" i="9"/>
  <c r="H56" i="9"/>
  <c r="H27" i="9"/>
  <c r="H16" i="9"/>
  <c r="H6" i="9"/>
  <c r="H35" i="9"/>
  <c r="H17" i="9"/>
  <c r="H46" i="9"/>
  <c r="H49" i="9"/>
  <c r="H70" i="9"/>
  <c r="H30" i="9"/>
  <c r="H26" i="9"/>
  <c r="H19" i="9"/>
  <c r="H23" i="9"/>
  <c r="H72" i="9"/>
  <c r="H28" i="9"/>
  <c r="H44" i="9"/>
  <c r="H48" i="9"/>
  <c r="H18" i="9"/>
  <c r="H21" i="9"/>
  <c r="H14" i="9"/>
  <c r="H58" i="9"/>
  <c r="H68" i="9"/>
  <c r="H69" i="9"/>
  <c r="H63" i="9"/>
  <c r="H43" i="9"/>
  <c r="H36" i="9"/>
  <c r="H29" i="9"/>
  <c r="H32" i="9"/>
  <c r="H33" i="9"/>
  <c r="H9" i="9"/>
  <c r="H10" i="9"/>
  <c r="H11" i="9"/>
  <c r="H12" i="9"/>
  <c r="H13" i="9"/>
  <c r="H73" i="9"/>
  <c r="H64" i="9"/>
  <c r="H62" i="9"/>
  <c r="H53" i="9"/>
  <c r="H15" i="9"/>
  <c r="H7" i="9"/>
  <c r="H65" i="9"/>
  <c r="H67" i="9"/>
  <c r="H40" i="9"/>
  <c r="H31" i="9"/>
  <c r="H60" i="9"/>
  <c r="H61" i="9"/>
  <c r="H50" i="9"/>
  <c r="H55" i="9"/>
  <c r="H47" i="9"/>
  <c r="H38" i="9"/>
  <c r="H24" i="9"/>
  <c r="H25" i="9"/>
  <c r="H34" i="9"/>
  <c r="H20" i="9"/>
  <c r="H5" i="9"/>
  <c r="H42" i="9"/>
  <c r="H54" i="9"/>
  <c r="H52" i="9"/>
  <c r="H45" i="9"/>
  <c r="H39" i="9"/>
  <c r="H22" i="9"/>
  <c r="H57" i="9"/>
  <c r="H66" i="9"/>
  <c r="H59" i="9"/>
  <c r="H71" i="9"/>
  <c r="H51" i="9"/>
  <c r="H37" i="9"/>
  <c r="H8" i="9"/>
  <c r="B2" i="11" l="1" a="1"/>
  <c r="B2" i="11" s="1"/>
  <c r="CD148" i="1" a="1"/>
  <c r="CD148" i="1" s="1"/>
  <c r="CD150" i="1" a="1"/>
  <c r="CD150" i="1" s="1"/>
  <c r="CD149" i="1" a="1"/>
  <c r="CD149" i="1" s="1"/>
  <c r="CD133" i="1" a="1"/>
  <c r="CD133" i="1" s="1"/>
  <c r="CD145" i="1" a="1"/>
  <c r="CD145" i="1" s="1"/>
  <c r="CD134" i="1" a="1"/>
  <c r="CD134" i="1" s="1"/>
  <c r="CD135" i="1" a="1"/>
  <c r="CD135" i="1" s="1"/>
  <c r="CD147" i="1" a="1"/>
  <c r="CD147" i="1" s="1"/>
  <c r="CD136" i="1" a="1"/>
  <c r="CD136" i="1" s="1"/>
  <c r="CD137" i="1" a="1"/>
  <c r="CD137" i="1" s="1"/>
  <c r="CD138" i="1" a="1"/>
  <c r="CD138" i="1" s="1"/>
  <c r="CD139" i="1" a="1"/>
  <c r="CD139" i="1" s="1"/>
  <c r="CD140" i="1" a="1"/>
  <c r="CD140" i="1" s="1"/>
  <c r="CD142" i="1" a="1"/>
  <c r="CD142" i="1" s="1"/>
  <c r="CD143" i="1" a="1"/>
  <c r="CD143" i="1" s="1"/>
  <c r="CD144" i="1" a="1"/>
  <c r="CD144" i="1" s="1"/>
  <c r="CD146" i="1" a="1"/>
  <c r="CD146" i="1" s="1"/>
  <c r="CD141" i="1" a="1"/>
  <c r="CD141" i="1" s="1"/>
  <c r="CD121" i="1" a="1"/>
  <c r="CD121" i="1" s="1"/>
  <c r="CD124" i="1" a="1"/>
  <c r="CD124" i="1" s="1"/>
  <c r="CD125" i="1" a="1"/>
  <c r="CD125" i="1" s="1"/>
  <c r="CD126" i="1" a="1"/>
  <c r="CD126" i="1" s="1"/>
  <c r="CD127" i="1" a="1"/>
  <c r="CD127" i="1" s="1"/>
  <c r="CD128" i="1" a="1"/>
  <c r="CD128" i="1" s="1"/>
  <c r="CD129" i="1" a="1"/>
  <c r="CD129" i="1" s="1"/>
  <c r="CD132" i="1" a="1"/>
  <c r="CD132" i="1" s="1"/>
  <c r="CD122" i="1" a="1"/>
  <c r="CD122" i="1" s="1"/>
  <c r="CD123" i="1" a="1"/>
  <c r="CD123" i="1" s="1"/>
  <c r="CD131" i="1" a="1"/>
  <c r="CD131" i="1" s="1"/>
  <c r="CD130" i="1" a="1"/>
  <c r="CD130" i="1" s="1"/>
  <c r="CD113" i="1" a="1"/>
  <c r="CD113" i="1" s="1"/>
  <c r="CD114" i="1" a="1"/>
  <c r="CD114" i="1" s="1"/>
  <c r="CD116" i="1" a="1"/>
  <c r="CD116" i="1" s="1"/>
  <c r="CD118" i="1" a="1"/>
  <c r="CD118" i="1" s="1"/>
  <c r="CD119" i="1" a="1"/>
  <c r="CD119" i="1" s="1"/>
  <c r="CD120" i="1" a="1"/>
  <c r="CD120" i="1" s="1"/>
  <c r="CD115" i="1" a="1"/>
  <c r="CD115" i="1" s="1"/>
  <c r="CD117" i="1" a="1"/>
  <c r="CD117" i="1" s="1"/>
  <c r="CD110" i="1" a="1"/>
  <c r="CD110" i="1" s="1"/>
  <c r="CD112" i="1" a="1"/>
  <c r="CD112" i="1" s="1"/>
  <c r="CD111" i="1" a="1"/>
  <c r="CD111" i="1" s="1"/>
  <c r="CD104" i="1" a="1"/>
  <c r="CD104" i="1" s="1"/>
  <c r="CD105" i="1" a="1"/>
  <c r="CD105" i="1" s="1"/>
  <c r="CD106" i="1" a="1"/>
  <c r="CD106" i="1" s="1"/>
  <c r="CD107" i="1" a="1"/>
  <c r="CD107" i="1" s="1"/>
  <c r="CD108" i="1" a="1"/>
  <c r="CD108" i="1" s="1"/>
  <c r="CD109" i="1" a="1"/>
  <c r="CD109" i="1" s="1"/>
  <c r="CD99" i="1" a="1"/>
  <c r="CD99" i="1" s="1"/>
  <c r="CD100" i="1" a="1"/>
  <c r="CD100" i="1" s="1"/>
  <c r="CD101" i="1" a="1"/>
  <c r="CD101" i="1" s="1"/>
  <c r="CD102" i="1" a="1"/>
  <c r="CD102" i="1" s="1"/>
  <c r="CD103" i="1" a="1"/>
  <c r="CD103" i="1" s="1"/>
  <c r="CD65" i="1" a="1"/>
  <c r="CD65" i="1" s="1"/>
  <c r="CD73" i="1" a="1"/>
  <c r="CD73" i="1" s="1"/>
  <c r="CD81" i="1" a="1"/>
  <c r="CD81" i="1" s="1"/>
  <c r="CD89" i="1" a="1"/>
  <c r="CD89" i="1" s="1"/>
  <c r="CD97" i="1" a="1"/>
  <c r="CD97" i="1" s="1"/>
  <c r="CD66" i="1" a="1"/>
  <c r="CD66" i="1" s="1"/>
  <c r="CD74" i="1" a="1"/>
  <c r="CD74" i="1" s="1"/>
  <c r="CD82" i="1" a="1"/>
  <c r="CD82" i="1" s="1"/>
  <c r="CD90" i="1" a="1"/>
  <c r="CD90" i="1" s="1"/>
  <c r="CD98" i="1" a="1"/>
  <c r="CD98" i="1" s="1"/>
  <c r="CD59" i="1" a="1"/>
  <c r="CD59" i="1" s="1"/>
  <c r="CD67" i="1" a="1"/>
  <c r="CD67" i="1" s="1"/>
  <c r="CD75" i="1" a="1"/>
  <c r="CD75" i="1" s="1"/>
  <c r="CD83" i="1" a="1"/>
  <c r="CD83" i="1" s="1"/>
  <c r="CD91" i="1" a="1"/>
  <c r="CD91" i="1" s="1"/>
  <c r="CD60" i="1" a="1"/>
  <c r="CD60" i="1" s="1"/>
  <c r="CD68" i="1" a="1"/>
  <c r="CD68" i="1" s="1"/>
  <c r="CD76" i="1" a="1"/>
  <c r="CD76" i="1" s="1"/>
  <c r="CD84" i="1" a="1"/>
  <c r="CD84" i="1" s="1"/>
  <c r="CD92" i="1" a="1"/>
  <c r="CD92" i="1" s="1"/>
  <c r="CD61" i="1" a="1"/>
  <c r="CD61" i="1" s="1"/>
  <c r="CD69" i="1" a="1"/>
  <c r="CD69" i="1" s="1"/>
  <c r="CD77" i="1" a="1"/>
  <c r="CD77" i="1" s="1"/>
  <c r="CD85" i="1" a="1"/>
  <c r="CD85" i="1" s="1"/>
  <c r="CD93" i="1" a="1"/>
  <c r="CD93" i="1" s="1"/>
  <c r="CD62" i="1" a="1"/>
  <c r="CD62" i="1" s="1"/>
  <c r="CD70" i="1" a="1"/>
  <c r="CD70" i="1" s="1"/>
  <c r="CD78" i="1" a="1"/>
  <c r="CD78" i="1" s="1"/>
  <c r="CD86" i="1" a="1"/>
  <c r="CD86" i="1" s="1"/>
  <c r="CD94" i="1" a="1"/>
  <c r="CD94" i="1" s="1"/>
  <c r="CD63" i="1" a="1"/>
  <c r="CD63" i="1" s="1"/>
  <c r="CD71" i="1" a="1"/>
  <c r="CD71" i="1" s="1"/>
  <c r="CD79" i="1" a="1"/>
  <c r="CD79" i="1" s="1"/>
  <c r="CD87" i="1" a="1"/>
  <c r="CD87" i="1" s="1"/>
  <c r="CD95" i="1" a="1"/>
  <c r="CD95" i="1" s="1"/>
  <c r="CD64" i="1" a="1"/>
  <c r="CD64" i="1" s="1"/>
  <c r="CD72" i="1" a="1"/>
  <c r="CD72" i="1" s="1"/>
  <c r="CD80" i="1" a="1"/>
  <c r="CD80" i="1" s="1"/>
  <c r="CD88" i="1" a="1"/>
  <c r="CD88" i="1" s="1"/>
  <c r="CD96" i="1" a="1"/>
  <c r="CD96" i="1" s="1"/>
  <c r="CD41" i="1" a="1"/>
  <c r="CD41" i="1" s="1"/>
  <c r="CD49" i="1" a="1"/>
  <c r="CD49" i="1" s="1"/>
  <c r="CD57" i="1" a="1"/>
  <c r="CD57" i="1" s="1"/>
  <c r="CD54" i="1" a="1"/>
  <c r="CD54" i="1" s="1"/>
  <c r="CD42" i="1" a="1"/>
  <c r="CD42" i="1" s="1"/>
  <c r="CD50" i="1" a="1"/>
  <c r="CD50" i="1" s="1"/>
  <c r="CD58" i="1" a="1"/>
  <c r="CD58" i="1" s="1"/>
  <c r="CD43" i="1" a="1"/>
  <c r="CD43" i="1" s="1"/>
  <c r="CD51" i="1" a="1"/>
  <c r="CD51" i="1" s="1"/>
  <c r="CD44" i="1" a="1"/>
  <c r="CD44" i="1" s="1"/>
  <c r="CD52" i="1" a="1"/>
  <c r="CD52" i="1" s="1"/>
  <c r="CD45" i="1" a="1"/>
  <c r="CD45" i="1" s="1"/>
  <c r="CD53" i="1" a="1"/>
  <c r="CD53" i="1" s="1"/>
  <c r="CD47" i="1" a="1"/>
  <c r="CD47" i="1" s="1"/>
  <c r="CD55" i="1" a="1"/>
  <c r="CD55" i="1" s="1"/>
  <c r="CD48" i="1" a="1"/>
  <c r="CD48" i="1" s="1"/>
  <c r="CD56" i="1" a="1"/>
  <c r="CD56" i="1" s="1"/>
  <c r="CD46" i="1" a="1"/>
  <c r="CD46" i="1" s="1"/>
  <c r="CD3" i="1" a="1"/>
  <c r="CD3" i="1" s="1"/>
  <c r="CD10" i="1" a="1"/>
  <c r="CD10" i="1" s="1"/>
  <c r="CD17" i="1" a="1"/>
  <c r="CD17" i="1" s="1"/>
  <c r="CD23" i="1" a="1"/>
  <c r="CD23" i="1" s="1"/>
  <c r="CD31" i="1" a="1"/>
  <c r="CD31" i="1" s="1"/>
  <c r="CD38" i="1" a="1"/>
  <c r="CD38" i="1" s="1"/>
  <c r="CD11" i="1" a="1"/>
  <c r="CD11" i="1" s="1"/>
  <c r="CD4" i="1" a="1"/>
  <c r="CD4" i="1" s="1"/>
  <c r="CD5" i="1" a="1"/>
  <c r="CD5" i="1" s="1"/>
  <c r="CD13" i="1" a="1"/>
  <c r="CD13" i="1" s="1"/>
  <c r="CD19" i="1" a="1"/>
  <c r="CD19" i="1" s="1"/>
  <c r="CD26" i="1" a="1"/>
  <c r="CD26" i="1" s="1"/>
  <c r="CD40" i="1" a="1"/>
  <c r="CD40" i="1" s="1"/>
  <c r="CD14" i="1" a="1"/>
  <c r="CD14" i="1" s="1"/>
  <c r="CD21" i="1" a="1"/>
  <c r="CD21" i="1" s="1"/>
  <c r="CD28" i="1" a="1"/>
  <c r="CD28" i="1" s="1"/>
  <c r="CD35" i="1" a="1"/>
  <c r="CD35" i="1" s="1"/>
  <c r="CD6" i="1" a="1"/>
  <c r="CD6" i="1" s="1"/>
  <c r="CD20" i="1" a="1"/>
  <c r="CD20" i="1" s="1"/>
  <c r="CD27" i="1" a="1"/>
  <c r="CD27" i="1" s="1"/>
  <c r="CD34" i="1" a="1"/>
  <c r="CD34" i="1" s="1"/>
  <c r="CD7" i="1" a="1"/>
  <c r="CD7" i="1" s="1"/>
  <c r="CD8" i="1" a="1"/>
  <c r="CD8" i="1" s="1"/>
  <c r="CD9" i="1" a="1"/>
  <c r="CD9" i="1" s="1"/>
  <c r="CD16" i="1" a="1"/>
  <c r="CD16" i="1" s="1"/>
  <c r="CD30" i="1" a="1"/>
  <c r="CD30" i="1" s="1"/>
  <c r="CD37" i="1" a="1"/>
  <c r="CD37" i="1" s="1"/>
  <c r="CD24" i="1" a="1"/>
  <c r="CD24" i="1" s="1"/>
  <c r="CD32" i="1" a="1"/>
  <c r="CD32" i="1" s="1"/>
  <c r="CD12" i="1" a="1"/>
  <c r="CD12" i="1" s="1"/>
  <c r="CD18" i="1" a="1"/>
  <c r="CD18" i="1" s="1"/>
  <c r="CD25" i="1" a="1"/>
  <c r="CD25" i="1" s="1"/>
  <c r="CD33" i="1" a="1"/>
  <c r="CD33" i="1" s="1"/>
  <c r="CD39" i="1" a="1"/>
  <c r="CD39" i="1" s="1"/>
  <c r="CD15" i="1" a="1"/>
  <c r="CD15" i="1" s="1"/>
  <c r="CD22" i="1" a="1"/>
  <c r="CD22" i="1" s="1"/>
  <c r="CD29" i="1" a="1"/>
  <c r="CD29" i="1" s="1"/>
  <c r="CD36" i="1" a="1"/>
  <c r="CD36" i="1" s="1"/>
  <c r="CD2" i="1" a="1"/>
  <c r="CD2" i="1" s="1"/>
  <c r="CB2" i="1" l="1" a="1"/>
  <c r="CB2" i="1" s="1"/>
  <c r="CH2" i="1"/>
  <c r="CG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<sst xmlns="http://schemas.openxmlformats.org/spreadsheetml/2006/main" count="2880" uniqueCount="1086">
  <si>
    <t>S.No</t>
  </si>
  <si>
    <t>Party Code</t>
  </si>
  <si>
    <t>Party Name</t>
  </si>
  <si>
    <t>1 LTR Pouch</t>
  </si>
  <si>
    <t>COCONUT OIL 100 ML PET BOX</t>
  </si>
  <si>
    <t>COCONUT OIL  100 ML PET (FREE)</t>
  </si>
  <si>
    <t>COCONUT OIL 100 ML POUCH</t>
  </si>
  <si>
    <t>COCONUT OIL  100 ML POUCH (FREE)</t>
  </si>
  <si>
    <t>COCONUT OIL 1/2 LTR BOX</t>
  </si>
  <si>
    <t>COCONUT OIL 1/2 LTR BOX  (OFFER)</t>
  </si>
  <si>
    <t>COCONUT OIL 1/2 LTR PET</t>
  </si>
  <si>
    <t>COCONUT OIL 1/2 LTR PET BOX</t>
  </si>
  <si>
    <t>COCONUT OIL 1/2 LTR PET BOX (OFFER)</t>
  </si>
  <si>
    <t>COCONUT OIL 1/2 LTR POUCH</t>
  </si>
  <si>
    <t>COCONUT OIL 1/2LTR POUCH(FREE)</t>
  </si>
  <si>
    <t>COCONUT OIL 1 LTR BOX</t>
  </si>
  <si>
    <t>COCONUT OIL 1 LTR BOX (FREE)</t>
  </si>
  <si>
    <t>COCONUT OIL 1 LTR BOX (OFFER)</t>
  </si>
  <si>
    <t>COCONUT OIL 1 Ltr PET</t>
  </si>
  <si>
    <t>COCONUT OIL 1 LTR PET BOX</t>
  </si>
  <si>
    <t>COCONUT OIL 1 LTR PET BOX (OFFER)</t>
  </si>
  <si>
    <t>COCONUT OIL 1 LTR POUCH</t>
  </si>
  <si>
    <t>COCONUT OIL 1 LTR POUCH (FREE)</t>
  </si>
  <si>
    <t>COCONUT OIL 200 ML PET BOX</t>
  </si>
  <si>
    <t>COCONUT OIL 50 ML BOX</t>
  </si>
  <si>
    <t>COCONUT OIL 50 ML POUCH (FREE)</t>
  </si>
  <si>
    <t>COCONUT OIL 5 LTR CAN</t>
  </si>
  <si>
    <t>COCONUT OIL 5 LTR CAN BOX</t>
  </si>
  <si>
    <t>COCONUT OIL 5 LTR CAN BOX (Offer)</t>
  </si>
  <si>
    <t>COCONUT OIL Rs 10 PACK BOX (NEW)</t>
  </si>
  <si>
    <t>COCONUT OIL Rs 20 PACK BOX</t>
  </si>
  <si>
    <t>GINGELLY OIL 1/2 LTR BOX</t>
  </si>
  <si>
    <t>GINGELLY OIL 1/2 LTR BOX (OFFER)</t>
  </si>
  <si>
    <t>GINGELLY OIL 1/2LTR PET</t>
  </si>
  <si>
    <t>GINGELLY OIL 1/2LTR PET BOX</t>
  </si>
  <si>
    <t>GINGELLY OIL 1/2LTR PET BOX (OFFER)</t>
  </si>
  <si>
    <t>GINGELLY OIL 1/2 LTR POUCH</t>
  </si>
  <si>
    <t>GINGELLY OIL  1/2 LTR POUCH (FREE)</t>
  </si>
  <si>
    <t>GINGELLY OIL 1 LTR BOX</t>
  </si>
  <si>
    <t>GINGELLY OIL 1 LTR BOX (OFFER)</t>
  </si>
  <si>
    <t>GINGELLY OIL 1 LTR PET BOX</t>
  </si>
  <si>
    <t>GINGELLY OIL 1 LTR PET BOX(OFFER)</t>
  </si>
  <si>
    <t>GINGELLY OIL 1 LTR POUCH</t>
  </si>
  <si>
    <t>GINGELLY OIL 1 LTR POUCH (FREE)</t>
  </si>
  <si>
    <t>GINGELLY OIL 200 ML PET BOX</t>
  </si>
  <si>
    <t>GINGELLY OIL 2 LTR PET</t>
  </si>
  <si>
    <t>GINGELLY OIL 2 LTR PET  BOX</t>
  </si>
  <si>
    <t>GINGELLY OIL 5 LTR BOX</t>
  </si>
  <si>
    <t>GINGELLY OIL 5 LTR CAN</t>
  </si>
  <si>
    <t>GINGELLY OIL RS.15 PACK BOX (03.05.2023)</t>
  </si>
  <si>
    <t>GINGELLY OIL Rs 15 POUCH (FREE)</t>
  </si>
  <si>
    <t>GINGELLY OIL RS.20 PACK BOX (03.05.2023)</t>
  </si>
  <si>
    <t>GINGELLY OIL RS.40 PACK BOX (03.05.2023)</t>
  </si>
  <si>
    <t>GINGELLY OIL RS.40 POUCH (FREE)</t>
  </si>
  <si>
    <t>GROUNDNUT RAW OIL 1 LTR PET</t>
  </si>
  <si>
    <t>GROUNDNUT RAW OIL 1/2 LTR BOX</t>
  </si>
  <si>
    <t>GROUNDNUT RAW OIL 1/2 LTR BOX (CP OFFER)</t>
  </si>
  <si>
    <t>GROUNDNUT RAW OIL 1/2 LTR BOX (Offer)</t>
  </si>
  <si>
    <t>GROUNDNUT RAW OIL 1/2 LTR PET BOX</t>
  </si>
  <si>
    <t>GROUNDNUT RAW OIL 1/2 LTR PET BOX (CP OFFER)</t>
  </si>
  <si>
    <t>GROUNDNUT RAW OIL 1/2 LTR PET BOX (Offer)</t>
  </si>
  <si>
    <t>GROUNDNUT RAW OIL 1/2 Ltr POUCH</t>
  </si>
  <si>
    <t>GROUNDNUT RAW OIL 1/2 Ltr POUCH(FREE)</t>
  </si>
  <si>
    <t>GROUNDNUT RAW OIL 1/2 PET</t>
  </si>
  <si>
    <t>GROUNDNUT RAW OIL 1 LTR BOX</t>
  </si>
  <si>
    <t>GROUNDNUT RAW OIL 1 LTR BOX (CP OFFER)</t>
  </si>
  <si>
    <t>GROUNDNUT RAW OIL 1 LTR BOX (GL)</t>
  </si>
  <si>
    <t>GROUNDNUT RAW OIL 1 LTR BOX (Offer)</t>
  </si>
  <si>
    <t>GROUNDNUTRAW OIL 1 LTR PET BOX</t>
  </si>
  <si>
    <t>GROUNDNUT RAW OIL 1 LTR PET BOX (CP OFFER)</t>
  </si>
  <si>
    <t>GROUNDNUT RAW OIL 1 LTR PET BOX (Offer)</t>
  </si>
  <si>
    <t>GROUNDNUT RAW OIL 1 LTR POUCH</t>
  </si>
  <si>
    <t>GROUNDNUT RAW OIL 2 LTR PET</t>
  </si>
  <si>
    <t>GROUNDNUTRAW OIL 2 LTR PET BOX</t>
  </si>
  <si>
    <t>GROUNDNUT RAW OIL 5 LTR CAN</t>
  </si>
  <si>
    <t>GROUNDNUT RAW OIL 5 LTR CAN BOX</t>
  </si>
  <si>
    <t>GROUNDNUT RAW OIL 5 LTR CAN BOX (Offer)</t>
  </si>
  <si>
    <t>GROUNDNUT RAW OIL 5 LTR CAN (OFFER)</t>
  </si>
  <si>
    <t>GROUNDNUT RAW OIL RS.10PACK BOX (NEW)</t>
  </si>
  <si>
    <t>GROUNDNUT RAW OIL RS.20 PACK BOX (03.05.2023)</t>
  </si>
  <si>
    <t>GROUNDNUT RAW OIL RS.20 PACK BOX (NEW)</t>
  </si>
  <si>
    <t>KACHI GANI MUSTARD OIL 1/2 LTR PET BOX</t>
  </si>
  <si>
    <t>KACHI GANI MUSTARD OIL 1/2 LTR PET BOX (OFFER)</t>
  </si>
  <si>
    <t>KACHI GANI MUSTARD OIL 1 LTR PET</t>
  </si>
  <si>
    <t>KACHI GANI MUSTARD OIL 1 LTR PET BOX</t>
  </si>
  <si>
    <t>KACHI GANI MUSTARD OIL 1 LTR PET BOX (OFFER)</t>
  </si>
  <si>
    <t>KITCHEN UTENSIL BASKET (FREE)</t>
  </si>
  <si>
    <t>NAKSHATRA AGARBATTIES</t>
  </si>
  <si>
    <t>NAKSHATRA POOJA OIL 1/2 LTR PET</t>
  </si>
  <si>
    <t>NAKSHATRA POOJA OIL 1/2 LTR PET BOX</t>
  </si>
  <si>
    <t>NAKSHATRA POOJA OIL 1/2 LTR PET BOX (AGARBATHI)</t>
  </si>
  <si>
    <t>NAKSHATRA POOJA OIL 1/2 LTR PET BOX (AMMAN)</t>
  </si>
  <si>
    <t>NAKSHATRA POOJA OIL 1/2 LTR PET BOX (HILLS)</t>
  </si>
  <si>
    <t>NAKSHATRA POOJA OIL 1/2 LTR PET BOX OFFER</t>
  </si>
  <si>
    <t>NAKSHATRA POOJA OIL 1/2 LTR PET BOX (TEMPLE)</t>
  </si>
  <si>
    <t>NAKSHATRA POOJA OIL 1/2 LTR PET (FREE)</t>
  </si>
  <si>
    <t>NAKSHATRA POOJA OIL 1/2 LTR POUCH</t>
  </si>
  <si>
    <t>NAKSHATRA POOJA OIL 1/2 LTR POUCH BOX</t>
  </si>
  <si>
    <t>NAKSHATRA POOJA OIL 1/2 LTR POUCH BOX (200ml OFF)</t>
  </si>
  <si>
    <t>NAKSHATRA POOJA OIL 1 LTR PET BOX</t>
  </si>
  <si>
    <t>NAKSHATRA POOJA OIL 1 LTR PET BOX (AGARBATHI)</t>
  </si>
  <si>
    <t>NAKSHATRA POOJA OIL 1 LTR PET BOX (AMMAN)</t>
  </si>
  <si>
    <t>NAKSHATRA POOJA OIL 1 LTR PET BOX (HILLS)</t>
  </si>
  <si>
    <t>NAKSHATRA POOJA OIL 1 LTR PET BOX OFFER</t>
  </si>
  <si>
    <t>NAKSHATRA POOJA OIL 1 LTR PET BOX (TEMPLE)</t>
  </si>
  <si>
    <t>NAKSHATRA POOJA OIL 1 LTR PET (FREE)</t>
  </si>
  <si>
    <t>NAKSHATRA POOJA OIL 1 LTR POUCH BOX</t>
  </si>
  <si>
    <t>NAKSHATRA POOJA OIL 1 LTR POUCH BOX (200ml OFF)</t>
  </si>
  <si>
    <t>NAKSHATRA POOJA OIL 200 ML PET BOX</t>
  </si>
  <si>
    <t>NAKSHATRA POOJA OIL 200 ML PET BOX (AGARBATHI)</t>
  </si>
  <si>
    <t>NAKSHATRA POOJA OIL 200 ML PET BOX (AMMAN)</t>
  </si>
  <si>
    <t>NAKSHATRA POOJA OIL 200 ML PET BOX (HILLS)</t>
  </si>
  <si>
    <t>NAKSHATRA POOJA OIL 200 ML PET BOX -OFFER</t>
  </si>
  <si>
    <t>NAKSHATRA POOJA OIL  200 ML PET BOX (TEMPLE)</t>
  </si>
  <si>
    <t>NAKSHATRA POOJA OIL  200 ML PET (FREE)</t>
  </si>
  <si>
    <t>NAKSHATRA POOJA OIL  50 ML BOX (FREE)</t>
  </si>
  <si>
    <t>NAKSHATRA POOJA OIL  Rs.10 PACK BOX (APRIL-22)</t>
  </si>
  <si>
    <t>NAKSHATRA POOJA OIL  Rs.20 PACK BOX (APRIL-22)</t>
  </si>
  <si>
    <t>RBD PALMOLEIN  OIL 1 LTR POUCH</t>
  </si>
  <si>
    <t>RBD PALMOLEIN  OIL 1 LTR POUCH (SAMPLE)</t>
  </si>
  <si>
    <t>RBD PALMOLEIN  OIL 1 LTR POUCH  (SUNRAJA)</t>
  </si>
  <si>
    <t>RBD PALM OLIEN OIL RS.10 PACK BOX(140 PCS)</t>
  </si>
  <si>
    <t>REF GROUNDNUT OIL 1 LTR BOX</t>
  </si>
  <si>
    <t>REF GROUNDNUT OIL 1 LTR POUCH</t>
  </si>
  <si>
    <t>REF GROUNDNUT OIL 5 LTR  CAN</t>
  </si>
  <si>
    <t>REF GROUNDNUT OIL 5 LTR CAN  BOX</t>
  </si>
  <si>
    <t>REF PALMOLEIN  OIL 1/2 LTR BOX (Mr.PALM)</t>
  </si>
  <si>
    <t>REF PALMOLEIN  OIL 1 LTR BOX (Mr.PALM)</t>
  </si>
  <si>
    <t>REF RICE BRAN OIL 1/2 LTR BOX</t>
  </si>
  <si>
    <t>REFRICE BRANOIL 1/2 LTR BOX(Mr.GOLD)</t>
  </si>
  <si>
    <t>REF RICE BRAN OIL 1/2 LTR BOX (OFFER)</t>
  </si>
  <si>
    <t>REF RICE BRAN OIL 1/2 LTR POUCH</t>
  </si>
  <si>
    <t>REF RICE BRAN OIL 1/2 LTR POUCH (FREE)</t>
  </si>
  <si>
    <t>REF RICE BRAN OIL 1 LTR</t>
  </si>
  <si>
    <t>REF RICE BRAN OIL 1 LTR BOX</t>
  </si>
  <si>
    <t>REF RICE BRAN OIL 1 LTR BOX (FREE)</t>
  </si>
  <si>
    <t>REF RICE BRAN OIL 1 LTR BOX (GL)</t>
  </si>
  <si>
    <t>REF RICE BRAN OIL 1 LTR BOX (Mr.GOLD)</t>
  </si>
  <si>
    <t>REF RICE BRAN OIL 1 LTR BOX (OFFER)</t>
  </si>
  <si>
    <t>REF RICE BRAN OIL 1 LTR PET</t>
  </si>
  <si>
    <t>REF RICE BRAN OIL 1 LTR PET BOX</t>
  </si>
  <si>
    <t>REF RICE BRAN OIL 1 LTR PET BOX (OFFER)</t>
  </si>
  <si>
    <t>REF RICE BRAN OIL 1 LTR  POUCH</t>
  </si>
  <si>
    <t>REF RICE BRAN OIL 2 LTR PET BOX</t>
  </si>
  <si>
    <t>REF RICE BRAN OIL 5LTR CAN</t>
  </si>
  <si>
    <t>REF RICE BRAN OIL 5 LTR CAN BOX</t>
  </si>
  <si>
    <t>REF RICE BRAN OIL  OIL Rs.10 PACK JAR BOX (18 MAY)</t>
  </si>
  <si>
    <t>REF RICE BRAN OIL RS.10 PACK BOX (03.05.2023)</t>
  </si>
  <si>
    <t>REF RICE BRAN OIL RS.10 PACK BOX (APRIL-22)</t>
  </si>
  <si>
    <t>REF RICE BRAN OIL RS.10 PACK BOX-OFFER(18-JULY-22</t>
  </si>
  <si>
    <t>REF SUNFLOWER OIL 5 LTR PET BOX</t>
  </si>
  <si>
    <t>REF SUNFLOWER  OIL 5 LTR CAN</t>
  </si>
  <si>
    <t>REF SUNFLOWER OIL 1/2LTR BOX</t>
  </si>
  <si>
    <t>REF SUNFLOWER OIL 1/2 LTR BOX (24 POUCHES)</t>
  </si>
  <si>
    <t>REF SUNFLOWER OIL 1/2 LTR BOX (COCONUT OFFER)</t>
  </si>
  <si>
    <t>REF SUNFLOWER OIL 1/2 LTR BOX (RRB OFFER)</t>
  </si>
  <si>
    <t>REF SUNFLOWER OIL 1/2 LTR  PET BOX</t>
  </si>
  <si>
    <t>REF SUNFLOWER OIL 1/2 LTR  PET BOX (COCONUT OFFER)</t>
  </si>
  <si>
    <t>REF SUNFLOWER OIL 1/2 LTR Pouch</t>
  </si>
  <si>
    <t>REF SUNFLOWER OIL 1/2 LTR POUCH (FREE)</t>
  </si>
  <si>
    <t>REF SUNFLOWER OIL 1 LTR POUCH</t>
  </si>
  <si>
    <t>REF SUNFLOWER OIL 1 LTR BOX</t>
  </si>
  <si>
    <t>REF SUNFLOWER OIL 1 LTR BOX (COCONUT OFFER)</t>
  </si>
  <si>
    <t>REF SUNFLOWER OIL 1 LTR BOX (GL)</t>
  </si>
  <si>
    <t>REFSUNFLOWER OIL1 LTR BOX (INDEPENDENCE GL)</t>
  </si>
  <si>
    <t>REF SUNFLOWER OIL 1 LTR BOX (RRB OFFER)</t>
  </si>
  <si>
    <t>REF SUNFLOWER OIL 1 LTR  PET</t>
  </si>
  <si>
    <t>REF SUNFLOWER OIL 1 LTR  PET BOX</t>
  </si>
  <si>
    <t>REF SUNFLOWER OIL 1 LTR  PET BOX (COCONUT OFFER)</t>
  </si>
  <si>
    <t>REF SUNFLOWEROIL 1 Ltr Pouch (Free)</t>
  </si>
  <si>
    <t>REF SUNFLOWER OIL 1 LTR x 5 POUCH (COMBO OFFER)</t>
  </si>
  <si>
    <t>REF SUNFLOWER OIL 200ml BOX (Offer)</t>
  </si>
  <si>
    <t>REF SUNFLOWER OIL 2LTR PET</t>
  </si>
  <si>
    <t>REF SUNFLOWER OIL 2 LTR PET BOX</t>
  </si>
  <si>
    <t>REF SUNFLOWER OIL 2LTR PET(FREE)</t>
  </si>
  <si>
    <t>REF SUNFLOWER OIL 3 LTR CAN</t>
  </si>
  <si>
    <t>REF SUNFLOWER  OIL 3 LTR CAN BOX</t>
  </si>
  <si>
    <t>REF SUNFLOWER OIL 3 LTR CAN (FREE)</t>
  </si>
  <si>
    <t>REF SUNFLOWER OIL 3 LTR COMBO PACK (12 LTR)</t>
  </si>
  <si>
    <t>REF SUNFLOWER OIL 5 LTR CAN</t>
  </si>
  <si>
    <t>REF SUNFLOWER OIL 5 LTR CAN BOX</t>
  </si>
  <si>
    <t>REF SUNFLOWER OIL 5 LTR CAN BOX (2 CAN)</t>
  </si>
  <si>
    <t>REF SUNFLOWER OIL 5 LTR CAN BOX (2 CAN) OFFER</t>
  </si>
  <si>
    <t>REF SUNFLOWER OIL 5 LTR CAN BOX (DOSA TAVA)</t>
  </si>
  <si>
    <t>REF SUNFLOWER OIL 5 LTR CAN BOX (GL)</t>
  </si>
  <si>
    <t>REF SUNFLOWER OIL 5 LTR CAN BOX (GULAB JAMUN)</t>
  </si>
  <si>
    <t>REF SUNFLOWER OIL 5 LTR CAN BOX (GULAS Offer)</t>
  </si>
  <si>
    <t>REF SUNFLOWER OIL 5 LTR CAN BOX (Offer)</t>
  </si>
  <si>
    <t>REF SUNFLOWER OIL 5 LTR CAN(FREE)</t>
  </si>
  <si>
    <t>REF SUNFLOWER OIL 5 LTR CAN (Offer)</t>
  </si>
  <si>
    <t>REF SUNFLOWER OIL 5 LTR COMBO PACK (20 LTR)</t>
  </si>
  <si>
    <t>REF SUNFLOWER OIL 5 LTR PET BOX (GULAB JAMUN)</t>
  </si>
  <si>
    <t>REF SUNFLOWER OIL 5 LTR PET BOX (GULAS OFFER)</t>
  </si>
  <si>
    <t>REF SUNFLOWER OIL 5 LTR PET BOX ( Kadai Offer)</t>
  </si>
  <si>
    <t>REF SUNFLOWER OIL 5 LTR PET BOX (Offer)</t>
  </si>
  <si>
    <t>REF SUNFLOWER OIL RS.10 PACK BOX (NEW)</t>
  </si>
  <si>
    <t>REF SUNFLOWER OIL RS.10 PACK BOX (OLD)</t>
  </si>
  <si>
    <t>REF SUNFLOWER OIL Rs.10 PACK JAR BOX (24 AUG)</t>
  </si>
  <si>
    <t>REF SUNFLOWER OIL Rs.10 PACK JAR BOX (NEW)</t>
  </si>
  <si>
    <t>REF SUNFLOWER OIL RS.20 PACK BOX (NEW)</t>
  </si>
  <si>
    <t>REF SUNFLOWER OIL RS.20 PACK BOX (OLD)</t>
  </si>
  <si>
    <t>REF SUNFLOWER OIL RS.85 POUCH BOX</t>
  </si>
  <si>
    <t>SUNRAJA GULAS (JAGGERY POWDER) 500g PET</t>
  </si>
  <si>
    <t>SUNRAJA GULAS (JAGGERY POWDER) 500g PET BOX</t>
  </si>
  <si>
    <t>SUNRAJA GULAS (JAGGERY POWDER) 500g PET BOX -OFFER</t>
  </si>
  <si>
    <t>SUNRAJA GULAS (JAGGERY POWDER) 500g POUCH</t>
  </si>
  <si>
    <t>SUNRAJA GULAS (JAGGERY POWDER) 500g POUCH BOX</t>
  </si>
  <si>
    <t>SUNRAJA GULAS (JAGGERY POWDER) 500g POUCH BOX OFFER</t>
  </si>
  <si>
    <t>SUNRAJA GULAS (JAGGERY POWDER) Rs 5 /- PACK BOX</t>
  </si>
  <si>
    <t>Total</t>
  </si>
  <si>
    <t>Qty</t>
  </si>
  <si>
    <t>Amount</t>
  </si>
  <si>
    <t>TOTAL</t>
  </si>
  <si>
    <t>COCOUNT 1/2 PET</t>
  </si>
  <si>
    <t>GROUDNUT RAW OIL 1LTR PET</t>
  </si>
  <si>
    <t>REF RICE BRAN OIL 5 LTR CAN</t>
  </si>
  <si>
    <t>REF SF OIL 5 LTR PET BOX</t>
  </si>
  <si>
    <t>GINGELLY OIL 1 LIT POUCH(FREE)</t>
  </si>
  <si>
    <t>GINGELLY OIL 1 LIT POUCH (FREE)</t>
  </si>
  <si>
    <t>GROUNDNUT RAW 1 LTR POUCH (FREE)</t>
  </si>
  <si>
    <t>GROUNDNUTRAW OIL 1Ltr PetBOX</t>
  </si>
  <si>
    <t>GROUNDNUT RAW OIL 1LTR PET BOX (CP OFFER)</t>
  </si>
  <si>
    <t>GROUNDNUT RAW OIL 1LIT BOX (Mr.Gold)</t>
  </si>
  <si>
    <t>GROUNDNUT RAW OIL 1LIT PET BOX</t>
  </si>
  <si>
    <t>GROUNDNUT RAW OIL 1 LTE PET (FREE)</t>
  </si>
  <si>
    <t>GROUNDNUTRAW OIL 1LtrPet(Free)</t>
  </si>
  <si>
    <t>GROUNDNUT RAW OIL 500ML POUCH (FREE)</t>
  </si>
  <si>
    <t>NAKSHATRA POOJA OIL 1LTR PET</t>
  </si>
  <si>
    <t>NAKSHATRA POOJA OIL 1LTR POUCH</t>
  </si>
  <si>
    <t>REF RICE BRAN OIL 1LTR PET</t>
  </si>
  <si>
    <t>REF.SUNFLOWER 5 Ltr CAN</t>
  </si>
  <si>
    <t>REF SUNFLOWER OIL 1 LIT POUCH</t>
  </si>
  <si>
    <t>REF SUNFLOWER 5 LTR CAN</t>
  </si>
  <si>
    <t>REF SUNFLOWER OIL 5LTR CAN(FREE)</t>
  </si>
  <si>
    <t>COCONUT OIL 100 ML BOX</t>
  </si>
  <si>
    <t>COCONUT OIL 100 ML PET BOX (OFFER)</t>
  </si>
  <si>
    <t>COCONUT OIL 200 ML BOX</t>
  </si>
  <si>
    <t>COCONUT OIL 50 ML</t>
  </si>
  <si>
    <t>COCONUT OIL 5 LTR BOX</t>
  </si>
  <si>
    <t>COCONUT OIL 1 LTR PET BOX (Export)</t>
  </si>
  <si>
    <t>COCONUT</t>
  </si>
  <si>
    <t>CATEGORY</t>
  </si>
  <si>
    <t>CODE</t>
  </si>
  <si>
    <t>COC</t>
  </si>
  <si>
    <t>GINGELLY OIL RS.15 PACK BOX (20 JULY)</t>
  </si>
  <si>
    <t>GINGELLY OIL RS.15 PACK BOX</t>
  </si>
  <si>
    <t>GINGELLY OIL RS.20 PACK BOX</t>
  </si>
  <si>
    <t>GINGELLY OIL 1 LTR PET</t>
  </si>
  <si>
    <t>GINGELLY OIL 1 LTR PET BOX (Export)</t>
  </si>
  <si>
    <t>GINGELLY OIL 200ml PET  BOX (Export)</t>
  </si>
  <si>
    <t>GINGELLY OIL 2 LTR PET  BOX (Export)</t>
  </si>
  <si>
    <t>GINGELLY OIL 5 LTR BOX (Export)</t>
  </si>
  <si>
    <t>GINGELLY OIL RS.40 PACK BOX</t>
  </si>
  <si>
    <t>GINGELLY OIL 1/2 LTR  BOX (OFFER)</t>
  </si>
  <si>
    <t>GINGELLY OIL RS.15 POUCH (Free)</t>
  </si>
  <si>
    <t>GINGELLY</t>
  </si>
  <si>
    <t>GING</t>
  </si>
  <si>
    <t>GROUNDNUT RAW OIL RS.10PACK BOX (03.05.2023)</t>
  </si>
  <si>
    <t>GROUNDNUT RAW OIL 1/2 LTE PET (FREE)</t>
  </si>
  <si>
    <t>GROUNDNUT RAW OIL 1/2 PET BOX</t>
  </si>
  <si>
    <t>GROUNDNUT RAW OIL RS-10  PACK BOX</t>
  </si>
  <si>
    <t>GROUNDNUT RAW OIL 1/2 LTR PET (FREE)</t>
  </si>
  <si>
    <t>GROUNDNUT RAW OIL 1 LTR BOX (FREE)</t>
  </si>
  <si>
    <t>GROUNDNUT RAWOIL 1 Ltr PET.</t>
  </si>
  <si>
    <t>GROUNDNUT RAW OIL 1 LTR PET BOX (Export)</t>
  </si>
  <si>
    <t>GROUNDNUT RAW OIL 1 LTR PET BOX (FREE)</t>
  </si>
  <si>
    <t>GROUNDNUT RAW OIL 2 LTR CAN</t>
  </si>
  <si>
    <t>GROUNDNUT RAWOIL RS.10PACK BOX</t>
  </si>
  <si>
    <t>GROUNDNUT RAW OIL RS10 Pouch(Free)</t>
  </si>
  <si>
    <t>GROUNDNUT RAW OIL RS.20 PACK BOX</t>
  </si>
  <si>
    <t>REF GROUNDNUT OIL 1 LTR POUCH (FREE)</t>
  </si>
  <si>
    <t>GROUNDNUT RAW OIL  1/2 LTR PET BOX</t>
  </si>
  <si>
    <t>GROUNDNUT RAW OIL 1/2 LTR POUCH (FREE)</t>
  </si>
  <si>
    <t>GROUNDNUT RAW OIL 1 LTR PET BOX</t>
  </si>
  <si>
    <t>GROUNDNUT RAW OIL 1 LTR PET (FREE)</t>
  </si>
  <si>
    <t>GROUNDNUT RAW OIL RS10 POUCH (FREE)</t>
  </si>
  <si>
    <t>GROUDNUT</t>
  </si>
  <si>
    <t>GN</t>
  </si>
  <si>
    <t>REF GROUNDNUT</t>
  </si>
  <si>
    <t>RGN</t>
  </si>
  <si>
    <t>MUSTARD</t>
  </si>
  <si>
    <t>NAKSHATRA POOJA OIL  100 ML BOX</t>
  </si>
  <si>
    <t>NAKSHATRA POOJA OIL  1/2 LTR PET BOX</t>
  </si>
  <si>
    <t>NAKSHATRA POOJA OIL  1/2 LTR PET (FREE)</t>
  </si>
  <si>
    <t>NAKSHATRA POOJA OIL 200 ML PET (FREE)</t>
  </si>
  <si>
    <t>NAKSHATRA POOJA OIL 50 ML BOX</t>
  </si>
  <si>
    <t>NAKSHATRA POOJA OIL Rs.10 PACK BOX</t>
  </si>
  <si>
    <t>NAKSHATRA POOJA OIL Rs.20 PACK BOX</t>
  </si>
  <si>
    <t>NAKSHATRA POOJA OIL  1/2 LTR PET BOX - EXPORT</t>
  </si>
  <si>
    <t>NAKSHATRA POOJA OIL  1/2 LTR PET BOX (FREE)</t>
  </si>
  <si>
    <t>NAKSHATRA POOJA OIL 1 LTR PET BOX (FREE)</t>
  </si>
  <si>
    <t>NAKSHATRA POOJA OIL  200 ML PET BOX (FREE)</t>
  </si>
  <si>
    <t>NAKSHATRA POOJA OIL 1/2 LTR PET BOX (OFFER)</t>
  </si>
  <si>
    <t>NAKSHATRA POOJA OIL 1 LTR PET</t>
  </si>
  <si>
    <t>NAKSHATRA POOJA OIL 1 LTR PET BOX (OFFER)</t>
  </si>
  <si>
    <t>NAKSHATRA POOJA OIL 1 LTR POUCH</t>
  </si>
  <si>
    <t>NAKSHATRA POOJA OIL 200 ML PET BOX (TEMPLE)</t>
  </si>
  <si>
    <t>NAKSHATRA</t>
  </si>
  <si>
    <t>LAMP</t>
  </si>
  <si>
    <t>REF PALMOLEIN  OIL 1 LTR BOX</t>
  </si>
  <si>
    <t>PALMOLEIN</t>
  </si>
  <si>
    <t>PALM</t>
  </si>
  <si>
    <t>REF RICE BRAN OIL 100 ML BOX</t>
  </si>
  <si>
    <t>REF RICE BRAN OIL RS.10 PACK BOX</t>
  </si>
  <si>
    <t>REF RICE BRAN OIL 2 LTR PET BOX (Export)</t>
  </si>
  <si>
    <t>REF RICE BRAN OIL 5 LTR BOX</t>
  </si>
  <si>
    <t>REF RICE BRAN OIL 5 LTR BOX (Export)</t>
  </si>
  <si>
    <t>REF RICE BRAN OIL 1 LTR POUCH</t>
  </si>
  <si>
    <t>RICE BRAN</t>
  </si>
  <si>
    <t>RB</t>
  </si>
  <si>
    <t>REF SUNFLOWER OIL RS.10 PACK BOX (03.05.2023)</t>
  </si>
  <si>
    <t>REF SUNFLOWER OIL RS.20 PACK BOX (03.05.2023)</t>
  </si>
  <si>
    <t>REF SUNFLOWER OIL 100 ML BOX</t>
  </si>
  <si>
    <t>REF SUNFLOWER OIL 100 ML BOX (FREE)</t>
  </si>
  <si>
    <t>REF SUNFLOWER OIL 100 ML POUCH (FREE)</t>
  </si>
  <si>
    <t>REF SUNFLOWER OIL 1/2 LTR BOX</t>
  </si>
  <si>
    <t>REF SUNFLOWER OIL 1 LTR BOX (FREE)</t>
  </si>
  <si>
    <t>REF SUNFLOWER OIL 200 ML BOX</t>
  </si>
  <si>
    <t>REF SUNFLOWER OIL 5 LTR BOX</t>
  </si>
  <si>
    <t>REF SUNFLOWER OIL 5 LTR PET BOX (FREE_)</t>
  </si>
  <si>
    <t>REF SUNFLOWER OIL RS.10 PACK BOX</t>
  </si>
  <si>
    <t>REFSUNFLOWER OIL Rs20 PACK BOX</t>
  </si>
  <si>
    <t>REF SUNFLOWER OIL 100ML BOX</t>
  </si>
  <si>
    <t>REF SUNFLOWER OIL 1/2 LTR BOX (FREE)</t>
  </si>
  <si>
    <t>REF SUNFLOWER OIL 1/2 LTR  PET BOX (RRB OFFER)</t>
  </si>
  <si>
    <t>REF SUNFLOWER OIL 1.5 LTR CAN BOX</t>
  </si>
  <si>
    <t>REF SUNFLOWER OIL 1 LTR  PET BOX (Export)</t>
  </si>
  <si>
    <t>REF SUNFLOWER OIL 1 LTR PET BOX (FREE)</t>
  </si>
  <si>
    <t>REF SUNFLOWER OIL 1 LTR  PET BOX (RRB OFFER)</t>
  </si>
  <si>
    <t>REF SUNFLOWEROIL 1 LtrPET (FREE)</t>
  </si>
  <si>
    <t>REF SUNFLOWER OIL 2 LTR PET BOX (Export)</t>
  </si>
  <si>
    <t>REF SUNFLOWER OIL 3 LTR CAN BOX (FREE)</t>
  </si>
  <si>
    <t>REF SUNFLOWER OIL 5 LTR BOX (DOSA TAWA)</t>
  </si>
  <si>
    <t>REF SUNFLOWER OIL Rs.10 PACK JAR BOX</t>
  </si>
  <si>
    <t>REF SUNFLOWER OIL 1 LTR PET</t>
  </si>
  <si>
    <t>REF SUNFLOWER OIL 1 LTR PET (FREE)</t>
  </si>
  <si>
    <t>REF SUNFLOWER OIL 1 Ltr POUCH (FREE)</t>
  </si>
  <si>
    <t>REF SUNFLOWER OIL 2 LTR PET</t>
  </si>
  <si>
    <t>(GL)</t>
  </si>
  <si>
    <t>GL</t>
  </si>
  <si>
    <t>SUNFLOWER</t>
  </si>
  <si>
    <t>SF</t>
  </si>
  <si>
    <t>GULAS</t>
  </si>
  <si>
    <t>GULAS (JAGGERY POWDER)</t>
  </si>
  <si>
    <t>LINES CODE</t>
  </si>
  <si>
    <t>5 L</t>
  </si>
  <si>
    <t>3 L</t>
  </si>
  <si>
    <t>2 L</t>
  </si>
  <si>
    <t>1.5 L</t>
  </si>
  <si>
    <t>1 L</t>
  </si>
  <si>
    <t>500 ML</t>
  </si>
  <si>
    <t>200 ML</t>
  </si>
  <si>
    <t>100 ML</t>
  </si>
  <si>
    <t>RS.50</t>
  </si>
  <si>
    <t>RS.40</t>
  </si>
  <si>
    <t>RS.20</t>
  </si>
  <si>
    <t>RS.15</t>
  </si>
  <si>
    <t>RS.10</t>
  </si>
  <si>
    <t>COC 200 ML</t>
  </si>
  <si>
    <t>COC 1 L</t>
  </si>
  <si>
    <t>COC 5 L</t>
  </si>
  <si>
    <t>COC 500 ML</t>
  </si>
  <si>
    <t>50 ML</t>
  </si>
  <si>
    <t>GING 500 ML</t>
  </si>
  <si>
    <t>GING 1 L</t>
  </si>
  <si>
    <t>GING 2 L</t>
  </si>
  <si>
    <t>GING 5 L</t>
  </si>
  <si>
    <t>GN 1 L</t>
  </si>
  <si>
    <t>GN 500 ML</t>
  </si>
  <si>
    <t>GN 2 L</t>
  </si>
  <si>
    <t>GN 5 L</t>
  </si>
  <si>
    <t>NO</t>
  </si>
  <si>
    <t>LAMP 500 ML</t>
  </si>
  <si>
    <t>LAMP 1 L</t>
  </si>
  <si>
    <t>PALM 1 L</t>
  </si>
  <si>
    <t>RGN 1 L</t>
  </si>
  <si>
    <t>RGN 5 L</t>
  </si>
  <si>
    <t>PALM 500 ML</t>
  </si>
  <si>
    <t>RB 1 L</t>
  </si>
  <si>
    <t>RB 5 L</t>
  </si>
  <si>
    <t>RB 500 ML</t>
  </si>
  <si>
    <t>SF 5 L</t>
  </si>
  <si>
    <t>SF 3 L</t>
  </si>
  <si>
    <t>SF 1 L</t>
  </si>
  <si>
    <t>SF 2 L</t>
  </si>
  <si>
    <t>COMBO</t>
  </si>
  <si>
    <t>SF COMBO</t>
  </si>
  <si>
    <t>SF 1.5 L</t>
  </si>
  <si>
    <t>SF 500 ML</t>
  </si>
  <si>
    <t>SF 200 ML</t>
  </si>
  <si>
    <t>RS.85</t>
  </si>
  <si>
    <t>GULAS 500 G</t>
  </si>
  <si>
    <t>500 G</t>
  </si>
  <si>
    <t>LUP</t>
  </si>
  <si>
    <t>T.OIL</t>
  </si>
  <si>
    <t>GULAS*</t>
  </si>
  <si>
    <t>GN*</t>
  </si>
  <si>
    <t>COC*</t>
  </si>
  <si>
    <t>RB*</t>
  </si>
  <si>
    <t>GING*</t>
  </si>
  <si>
    <t>LAMP*</t>
  </si>
  <si>
    <t>RGN*</t>
  </si>
  <si>
    <t>MUSTARD*</t>
  </si>
  <si>
    <t>COC 100 ML LUP</t>
  </si>
  <si>
    <t>COC 50 ML LUP</t>
  </si>
  <si>
    <t>COC RS.10 LUP</t>
  </si>
  <si>
    <t>COC RS.20 LUP</t>
  </si>
  <si>
    <t>GING RS.15 LUP</t>
  </si>
  <si>
    <t>GING RS.20 LUP</t>
  </si>
  <si>
    <t>GING RS.40 LUP</t>
  </si>
  <si>
    <t>GN RS.10 LUP</t>
  </si>
  <si>
    <t>GN RS.20 LUP</t>
  </si>
  <si>
    <t>GULAS RS.5 LUP</t>
  </si>
  <si>
    <t>LAMP 100 ML LUP</t>
  </si>
  <si>
    <t>LAMP 50 ML LUP</t>
  </si>
  <si>
    <t>LAMP RS.10 LUP</t>
  </si>
  <si>
    <t>LAMP RS.20 LUP</t>
  </si>
  <si>
    <t>PALM RS.10 LUP</t>
  </si>
  <si>
    <t>RB 100 ML LUP</t>
  </si>
  <si>
    <t>RB RS.10 LUP</t>
  </si>
  <si>
    <t>SF 100 ML LUP</t>
  </si>
  <si>
    <t>SF RS.10 LUP</t>
  </si>
  <si>
    <t>SF RS.20 LUP</t>
  </si>
  <si>
    <t>SF RS.85 LUP</t>
  </si>
  <si>
    <t>SF*LUP</t>
  </si>
  <si>
    <t>GN*LUP</t>
  </si>
  <si>
    <t>COC* LUP</t>
  </si>
  <si>
    <t>RB*LUP</t>
  </si>
  <si>
    <t>GING*LUP</t>
  </si>
  <si>
    <t>LAMP*LUP</t>
  </si>
  <si>
    <t>GULAS*LUP</t>
  </si>
  <si>
    <t>SF*</t>
  </si>
  <si>
    <t>GROUNDNUT OIL 1 LTR PET BOX</t>
  </si>
  <si>
    <t>GROUNDNUT RAW OIL 1 LTR POUCH FREE</t>
  </si>
  <si>
    <t>GROUNDNUTRAW OIL 1 LTR PET (FREE)</t>
  </si>
  <si>
    <t>REF SUNFLOWER OIL 100ML BOX(Free)</t>
  </si>
  <si>
    <t>REF SUNFLOWER OIL 5 LTR CAN BOX (GULAB JAMUN)</t>
  </si>
  <si>
    <t>COCOUNT OIL 1/2 LTR PET</t>
  </si>
  <si>
    <t>COCONUT 1/2 LTR PET (OLD)</t>
  </si>
  <si>
    <t>KACHI GANI MUSTARD OIL 1/2 LTR PET</t>
  </si>
  <si>
    <t>REF RICE BRAN OIL  OIL Rs.10 PACK</t>
  </si>
  <si>
    <t>REF SUNFLOWER OIL 1/2 LTR Pouch (OLD)</t>
  </si>
  <si>
    <t>COCONUT OIL Rs 10 PACK BOX (NEW-FREE)</t>
  </si>
  <si>
    <t>GROUNDNUT RAW OIL 1 LTR BOX (GULAB OFFER)</t>
  </si>
  <si>
    <t>GROUNDNUT RAW OIL 1 LTR PET BOX (GULAB OFFER)</t>
  </si>
  <si>
    <t>GROUNDNUT RAW OIL 1/2 LTR BOX (GULAB OFFER)</t>
  </si>
  <si>
    <t>GROUNDNUT RAW OIL 1/2 LTR PET BOX (GULAB OFFER)</t>
  </si>
  <si>
    <t>DAILY GULAB JAMUN INSTANT MIX (BUY1 GET1)</t>
  </si>
  <si>
    <t>REF RICE BRAN OIL Rs.10 PACK</t>
  </si>
  <si>
    <t>GROUNDNUT RAW OIL 1 LTR POUCH (FREE)</t>
  </si>
  <si>
    <t>REF RICEBRAN OIL 1LTR BOX(FREE)</t>
  </si>
  <si>
    <t>REF RICE BRAN OIL 100ML BOX</t>
  </si>
  <si>
    <t>REF SUNFLOWER OIL RS 10PACK BOX</t>
  </si>
  <si>
    <t>COC 1 L PET</t>
  </si>
  <si>
    <t>COC 500 ML PET</t>
  </si>
  <si>
    <t>GING 1 L PET</t>
  </si>
  <si>
    <t>GING 500 ML PET</t>
  </si>
  <si>
    <t>GN 1 L PET</t>
  </si>
  <si>
    <t>GN 500 ML PET</t>
  </si>
  <si>
    <t>GULAS 500 G PET</t>
  </si>
  <si>
    <t>LAMP 1 L PET</t>
  </si>
  <si>
    <t>LAMP 200 ML PET</t>
  </si>
  <si>
    <t>LAMP 500 ML PET</t>
  </si>
  <si>
    <t>MUSTARD 1 L PET</t>
  </si>
  <si>
    <t>MUSTARD 500 ML PET</t>
  </si>
  <si>
    <t>RB 1 L PET</t>
  </si>
  <si>
    <t>SF 1 L PET</t>
  </si>
  <si>
    <t>SF 500 ML PET</t>
  </si>
  <si>
    <t>GROUNDNUT RAW OIL 1/2 LTR BOX (RG OFFER)</t>
  </si>
  <si>
    <t>NAKSHATRA AGARBATTI Rs 55 PACK BOX (3 in 1)</t>
  </si>
  <si>
    <t>GROUNDNUT RAW OIL 1 LTR BOX ( CBR Offer)</t>
  </si>
  <si>
    <t>GROUNDNUT RAW OIL 1 LTR PET BOX (RG OFFER)</t>
  </si>
  <si>
    <t>DAILY GULAB JAMUN INSTANT MIX BOX - 25Set(+)5Set FREE</t>
  </si>
  <si>
    <t>SUNRAJA DAILY BADAM MIX Rs 10 POUCH BOX</t>
  </si>
  <si>
    <t>KACHI GANI MUSTARD OIL 200ML PET BOX</t>
  </si>
  <si>
    <t>DAILY DOUBLE ROASTED RAVA 500g POUCH - 30Kg BAG</t>
  </si>
  <si>
    <t>GINGELLY OIL RS.15 PACK BOX (01.02.24)</t>
  </si>
  <si>
    <t>GROUNDNUT RAW OIL 1/2 LTR PET BOX (RG OFFER)</t>
  </si>
  <si>
    <t>GROUNDNUT RAW OIL RS.20 PACK BOX (NEW 01.02.24)</t>
  </si>
  <si>
    <t>REF SUNFLOWER OIL RS.10 PACK BOX (OLD 01.02.24)</t>
  </si>
  <si>
    <t>REF SUNFLOWER OIL RS.20 PACK BOX (OLD 01.02.24)</t>
  </si>
  <si>
    <t>SUNRAJA DAILY BADAM DRINK MIX 200gm POUCH BOX</t>
  </si>
  <si>
    <t>SKU CODE</t>
  </si>
  <si>
    <t>TALLY SKU NAME</t>
  </si>
  <si>
    <t>CHECK</t>
  </si>
  <si>
    <t>TALLY SKU CODE</t>
  </si>
  <si>
    <t>UNIQUE TALLY SKU CODE</t>
  </si>
  <si>
    <t>NOT ADDED</t>
  </si>
  <si>
    <t>NAKSHATRA AGARBATTI Rs 55 PACK BOX (PINEAPPLE)</t>
  </si>
  <si>
    <t>NAKSHATRA AGARBATTI Rs 12 PACK BOX (VANNILA)</t>
  </si>
  <si>
    <t>NAKSHATRA AGARBATTI Rs 12 PACK BOX (3in1)</t>
  </si>
  <si>
    <t>NAKSHATRA AGARBATTI Rs 12 PACK BOX (Red Rose)</t>
  </si>
  <si>
    <t>GINGELLY OIL 100 ML PET BOX</t>
  </si>
  <si>
    <t>NAKSHATRA MATCH BOX - MEDIUM (10 x 30 Bundle)</t>
  </si>
  <si>
    <t>REF SUNFLOWER OIL RS.10 PACK BOX (NEW 01.02.24)</t>
  </si>
  <si>
    <t>SUNRAJA GULAS (JAGGERY POWDER) 1 KG POUCH BOX</t>
  </si>
  <si>
    <t>Check 2 Tally Row Count</t>
  </si>
  <si>
    <t>Add 2 Tally Files</t>
  </si>
  <si>
    <t>Check Sku Code &amp; Update</t>
  </si>
  <si>
    <t>Already Updated, Please Check</t>
  </si>
  <si>
    <t>Value Type</t>
  </si>
  <si>
    <t>NAKSHATRA AGARBATTI Rs 10 BOX (3 in 1)</t>
  </si>
  <si>
    <t>NAKSHATRA AGARBATTI Rs 10 BOX (Pineapple)</t>
  </si>
  <si>
    <t>NAKSHATRA AGARBATTI Rs 10 BOX (Venilla)</t>
  </si>
  <si>
    <t>NAKSHATRA AGARBATTI Rs 55 BOX (3 in 1)</t>
  </si>
  <si>
    <t>NAKSHATRA AGARBATTI Rs 55 BOX (Pineapple)</t>
  </si>
  <si>
    <t>NAKSHATRA AGARBATTI Rs 55 BOX (Venilla)</t>
  </si>
  <si>
    <t>NAKSHATRA AGARPATHI Rs 10 COMBO BOX</t>
  </si>
  <si>
    <t>TALLY SKU NAME - AMOUNT</t>
  </si>
  <si>
    <t>SKU CODE - AMOUNT</t>
  </si>
  <si>
    <t>LIST TYPE</t>
  </si>
  <si>
    <t>TALLY SKU NAME - QTY</t>
  </si>
  <si>
    <t>SKU CODE - QTY</t>
  </si>
  <si>
    <t>PALM JAGGERY</t>
  </si>
  <si>
    <t>AGARBATTI</t>
  </si>
  <si>
    <t>KG ACH ONLY</t>
  </si>
  <si>
    <t>GING 200 ML PET</t>
  </si>
  <si>
    <t>RB 2 L PET</t>
  </si>
  <si>
    <t>GINGELLY OIL 1/2 LTR  PET</t>
  </si>
  <si>
    <t>NAKSHATRA POOJA OIL 200ML PET</t>
  </si>
  <si>
    <t>REF SUNFLOWER OIL RS.15 PACK BOX (08-AUG-22)</t>
  </si>
  <si>
    <t>GINGELLY OIL RS.15 PACK BOX (16 OCT)</t>
  </si>
  <si>
    <t>Mr.CASTOR OIL 100ml PET BOX</t>
  </si>
  <si>
    <t>REF SUNFLOWER 5LTR CAN</t>
  </si>
  <si>
    <t>NAKSHATRA POOJA OIL 1 LTR PET BOX (MURUGAN)</t>
  </si>
  <si>
    <t>GINGELLY OIL RS.20 PACK BOX (01.02.24)</t>
  </si>
  <si>
    <t>GINGELLY OIL RS.40 PACK BOX (01.02.24)</t>
  </si>
  <si>
    <t>REF RICE BRAN OIL RS.10 PACK BOX (01.02.24)</t>
  </si>
  <si>
    <t>REF SUNFLOWER OIL RS.20 PACK BOX (NEW 01.02.24)</t>
  </si>
  <si>
    <t>COCONUT OIL 100 ML PACK</t>
  </si>
  <si>
    <t>COCONUT OIL 100 ML PET</t>
  </si>
  <si>
    <t>COCONUT OIL Rs 10 PACK BOX</t>
  </si>
  <si>
    <t>COCONUT OIL  100 ML PET</t>
  </si>
  <si>
    <t>REF SUNFLOWER OIL Rs.10 PACK</t>
  </si>
  <si>
    <t>NAKSHATRA POOJA OIL 1/2 LTR PET BOX (MURUGAN)</t>
  </si>
  <si>
    <t>NAKSHATRA POOJA OIL 200 ML PET BOX (MURUGAN)</t>
  </si>
  <si>
    <t>REF SUNFLOWER OIL Rs 10 PACK</t>
  </si>
  <si>
    <t>GROUNDNUT RAW OIL 1LTR PET</t>
  </si>
  <si>
    <t>NAKSHATRA POOJA OIL  200 ML PET BOX</t>
  </si>
  <si>
    <t>REF RICEBRAN OIL 1/2 LTR BOX</t>
  </si>
  <si>
    <t>REF SUNFLOWER OIL 1 LTR PET BOX</t>
  </si>
  <si>
    <t>REF SUNFLOWER OIL 100 ML  BOX</t>
  </si>
  <si>
    <t>REF SUNFLOWER OIL 3 LTR CAN BOX</t>
  </si>
  <si>
    <t>GROUNDNUT RAW OIL 1 LTR BOX (GULAS OFFER)</t>
  </si>
  <si>
    <t>GROUNDNUT RAW OIL 1 LTR PET BOX (GULAS OFFER)</t>
  </si>
  <si>
    <t>GROUNDNUT RAW OIL 1/2 LTR BOX (GULAS OFFER)</t>
  </si>
  <si>
    <t>GROUNDNUT RAW OIL 1/2 LTR PET BOX (GULAS OFFER)</t>
  </si>
  <si>
    <t>GINGELLY OIL 100ML PET (FREE)</t>
  </si>
  <si>
    <t>NAKSHATRA AGARPATHI Rs 55 COMBO BOX</t>
  </si>
  <si>
    <t>Rs 10 BOX (3 in 1)</t>
  </si>
  <si>
    <t>Rs 10 BOX (3 in 1) Free</t>
  </si>
  <si>
    <t>Rs 10 BOX (Pineapple)</t>
  </si>
  <si>
    <t>Rs 10 BOX (Venilla)</t>
  </si>
  <si>
    <t>Rs 55 BOX (3 in 1)</t>
  </si>
  <si>
    <t>Rs 55 BOX (3 in 1) Free</t>
  </si>
  <si>
    <t>Rs 55 BOX (Pineapple)</t>
  </si>
  <si>
    <t>Rs 55 BOX (Venilla)</t>
  </si>
  <si>
    <t>NAKSHATRA AGARBATTI Rs 10 COMBO BOX</t>
  </si>
  <si>
    <t>NAKSHATRA AGARBATTI Rs 55 COMBO BOX</t>
  </si>
  <si>
    <t>Rs 10 BOX (Vanilla)</t>
  </si>
  <si>
    <t>Rs 55 BOX (Vanilla)</t>
  </si>
  <si>
    <t>NAKSHATRA AGARBATTI Rs 10 COMBO BOX</t>
  </si>
  <si>
    <t>NAKSHATRA AGARBATTI Rs 55 COMBO BOX</t>
  </si>
  <si>
    <t>NAKSHATRA AGARBATTI Rs 55 MEGA COMBO BOX</t>
  </si>
  <si>
    <t>GINGELLY OIL 1/2 LTR PET</t>
  </si>
  <si>
    <t>COCONUT OIL 200 ML PET</t>
  </si>
  <si>
    <t>COCOUNT OIL 1/2 POUCH</t>
  </si>
  <si>
    <t>GINGELLY OIL 200ML PET</t>
  </si>
  <si>
    <t>NAKSHATRA POOJA OIL 200 ML PET</t>
  </si>
  <si>
    <t>COCONUT OIL 200ML PET</t>
  </si>
  <si>
    <t>COCOUNT OIL 1/2 PET</t>
  </si>
  <si>
    <t>NAKSHATRA POOJA OIL 1 LTR PET BOX (AGARBATHI) FREE</t>
  </si>
  <si>
    <t>COCONUT OIL Rs 10 POUCH</t>
  </si>
  <si>
    <t>COCONUT OIL Rs 20 POUCH</t>
  </si>
  <si>
    <t>GINGELLY OIL 100ML PET</t>
  </si>
  <si>
    <t>GINGELLY OIL 200 ML PET</t>
  </si>
  <si>
    <t>GINGELLY OIL RS.20 POUCH</t>
  </si>
  <si>
    <t>GROUNDNUT RAW OIL RS10 POUCH</t>
  </si>
  <si>
    <t>NAKSHATRA POOJA OIL  Rs.20 POUCH</t>
  </si>
  <si>
    <t>REF SUNFLOWER OIL RS.20 POUCH</t>
  </si>
  <si>
    <t>25 x 2 Pcs</t>
  </si>
  <si>
    <t>SUNRAJA DAILY BADAM DRINK MIX  200gm POUCH (FREE)</t>
  </si>
  <si>
    <t>SUNRAJA DAILY GULAB JAMUN MIX JAR BOX</t>
  </si>
  <si>
    <t>NAKSHATRA POOJA OIL  200 ML PET</t>
  </si>
  <si>
    <t>GINGELLY OIL Rs 15 POUCH</t>
  </si>
  <si>
    <t>GINGELLY OIL RS.40 POUCH</t>
  </si>
  <si>
    <t>GROUNDNUT RAW OIL RS.20 POUCH</t>
  </si>
  <si>
    <t>RBD PALM OLIEN OIL RS.10 PACK</t>
  </si>
  <si>
    <t>REF SUNFLOWER OIL Rs 20 PACK</t>
  </si>
  <si>
    <t>Mr.CASTOR OIL 100ml PET</t>
  </si>
  <si>
    <t>SUNRAJA GULAS (JAGGERY POWDER) Rs 5 /- PACK</t>
  </si>
  <si>
    <t>SUNRAJA GULAS PALM JAGGERY POWDER 170g JAR BOX</t>
  </si>
  <si>
    <t>SUNRAJA GULAS 1 Kg Pouch(FREE)</t>
  </si>
  <si>
    <t>SUNRAJA GULAS 500gm Pouch(FREE)</t>
  </si>
  <si>
    <t>NAKSHATRA AGARBATTI Rs 55 PACK BOX (VANNILA)</t>
  </si>
  <si>
    <t>REF RICE BRAN OIL 15 KG TIN (VALUE)</t>
  </si>
  <si>
    <t>NAKSHATRA POOJA OIL  Rs.10 POUCH</t>
  </si>
  <si>
    <t>NAKSHATRA MACH BOX (MEDIUM)</t>
  </si>
  <si>
    <t>NAKSHATRA AGARBATTI Rs 55 PACK BOX (RED ROSE)</t>
  </si>
  <si>
    <t>NAKSHATRA MATCH BOX - MEDIUM (10 x 30)</t>
  </si>
  <si>
    <t>REF SUNFLOWER OIL 1/2 LTR PET</t>
  </si>
  <si>
    <t>SUNRAJA GULAS (JAGGERY POWDER) 500g POUCH BOX(FREE)</t>
  </si>
  <si>
    <t>DAILY CHAKKI FRESH ATTA 1 KG POUCH BAG FREE</t>
  </si>
  <si>
    <t>DAILY CHAKKI FRESH ATTA 1 KG POUCH FREE</t>
  </si>
  <si>
    <t>DAILY DOUBLE ROASTED RAVA 200g POUCH BAG</t>
  </si>
  <si>
    <t>DAILY DOUBLE ROASTED RAVA 500g POUCH BAG</t>
  </si>
  <si>
    <t>DAILY KOZHUKATTAI FLOUR 500g POUCH BAG</t>
  </si>
  <si>
    <t>DAILY KOZHUKATTAI FLOUR 500g POUCH FREE</t>
  </si>
  <si>
    <t>DAILY CHAKKI FRESH ATTA 1 KG POUCH - 30Kg BAG FREE</t>
  </si>
  <si>
    <t>GROUNDNUT RAW OIL 1 LTR BOX (RG OFFER)</t>
  </si>
  <si>
    <t>DAILY KOZHUKATTAI FLOUR 500g POUCH - 30Kg BAG</t>
  </si>
  <si>
    <t>GROUNDNUT RAW OIL 1 LTR BOX (RG) OFFER)</t>
  </si>
  <si>
    <t>DAILY KOZHUKATTAI FLOUR 500g POUCH - 10Kg BAG</t>
  </si>
  <si>
    <t>NAKSHATRA AGARBATTI Rs 10 PACK BOX (3 in 1)</t>
  </si>
  <si>
    <t>NAKSHATRA AGARBATTI Rs 10 PACK BOX (PINEAPPLE)</t>
  </si>
  <si>
    <t>CHAKKI FRESH ATTA</t>
  </si>
  <si>
    <t>CHAKKI FRESH ATTA 30Kg</t>
  </si>
  <si>
    <t>KOZHUKATTAI FLOUR 500g 10kg</t>
  </si>
  <si>
    <t>KOZHUKATTAI FLOUR 500g free</t>
  </si>
  <si>
    <t>SUNRAJA GULAS  Rs 5 /- PACK(FREE)</t>
  </si>
  <si>
    <t>NAKSHATRA AGARBATTI Rs 12 PACK BOX (Pineapple)</t>
  </si>
  <si>
    <t>NAKSHATRA POOJA OIL 1 LTR PET BOX (GANESHA)</t>
  </si>
  <si>
    <t>GULAS 1 K</t>
  </si>
  <si>
    <t>COC 200 ML PET</t>
  </si>
  <si>
    <t>MACH BOX</t>
  </si>
  <si>
    <t>MUSTARD 200 ML PET</t>
  </si>
  <si>
    <t>CASTOR 100ML LUP</t>
  </si>
  <si>
    <t>COC 100 ML PET LUP</t>
  </si>
  <si>
    <t>GING 100 ML PET LUP</t>
  </si>
  <si>
    <t>GULAS  Rs.5 LUP</t>
  </si>
  <si>
    <t>NAKSHATRA AGARBATTI</t>
  </si>
  <si>
    <t>AGARBATTI 3 IN 1 RS.55</t>
  </si>
  <si>
    <t>AGARBATTI PINEAPPLE RS.55</t>
  </si>
  <si>
    <t>AGARBATTI VENILLA RS.55</t>
  </si>
  <si>
    <t>AGARBATTI COMBO RS.55</t>
  </si>
  <si>
    <t>AGARBATTI RED ROSE RS.55</t>
  </si>
  <si>
    <t>DAILY CHAKKI FRESH ATTA</t>
  </si>
  <si>
    <t>1 KG</t>
  </si>
  <si>
    <t>DAILY DOUBLE ROASTED RAVA</t>
  </si>
  <si>
    <t>200 G</t>
  </si>
  <si>
    <t>DAILY KOZHUKATTAI FLOUR</t>
  </si>
  <si>
    <t>MATCH BOX</t>
  </si>
  <si>
    <t>DAILY GULAB JAMUN MIX</t>
  </si>
  <si>
    <t>NAKSHATRA MATCH BOX</t>
  </si>
  <si>
    <t>GULAS PALM JAGGERY</t>
  </si>
  <si>
    <t>5 LTR</t>
  </si>
  <si>
    <t>Value Check</t>
  </si>
  <si>
    <t>BOX</t>
  </si>
  <si>
    <t>BAG</t>
  </si>
  <si>
    <t>ROW COUNT</t>
  </si>
  <si>
    <t>COLUMN COUNT</t>
  </si>
  <si>
    <t>DAILY CHAKKI ATTA</t>
  </si>
  <si>
    <t>DAILY RAVA</t>
  </si>
  <si>
    <t>DAILY KOZHUKATTAI</t>
  </si>
  <si>
    <t>DAILY GULAB JAMUN</t>
  </si>
  <si>
    <t>DAILY BADAM DRINK MIX</t>
  </si>
  <si>
    <t>DAILY BADAM</t>
  </si>
  <si>
    <t>DAILY CHAKKI ATTA 1 KG</t>
  </si>
  <si>
    <t>DAILY RAVA 200 G</t>
  </si>
  <si>
    <t>DAILY RAVA 500 G</t>
  </si>
  <si>
    <t>DAILY KOZHUKATTAI 500 G</t>
  </si>
  <si>
    <t>DAILY KOZHUKATTAI 500 G 10 KG</t>
  </si>
  <si>
    <t>DAILY KOZHUKATTAI 500 G FREE</t>
  </si>
  <si>
    <t>DAILY BADAM 200 G</t>
  </si>
  <si>
    <t>DAILY BADAM 200 G FREE</t>
  </si>
  <si>
    <t>DAILY BADAM RS.10 LUP</t>
  </si>
  <si>
    <t>DAILY*</t>
  </si>
  <si>
    <t>DAILY BADAM*</t>
  </si>
  <si>
    <t>DAILY CHAKKI ATTA*</t>
  </si>
  <si>
    <t>DAILY KOZHUKATTAI*</t>
  </si>
  <si>
    <t>AGARBATTI*</t>
  </si>
  <si>
    <t>AGARBATTI *RS.55</t>
  </si>
  <si>
    <t>D10000</t>
  </si>
  <si>
    <t>GZ10000</t>
  </si>
  <si>
    <t>GROUNDNUT RAW OIL 5 LTR CAN BOX (KADAI OFFER)</t>
  </si>
  <si>
    <t>REF RICE BRAN OIL 1/2 LTR PET BOX</t>
  </si>
  <si>
    <t>DAILY VERMICELLI (SEMIYA) 180gm PKT-3.6 Kg BAG</t>
  </si>
  <si>
    <t>DAILY REFINED WHEAT FLOUR (MAIDA) - 30 Kg BAG</t>
  </si>
  <si>
    <t>DAILY MAIDA 1KG</t>
  </si>
  <si>
    <t>DAILY SEMIYA 180GM</t>
  </si>
  <si>
    <t>DAILY SAMBA  RAVA 500g POUCH - 10Kg BAG</t>
  </si>
  <si>
    <t>DAILY SAMBA  RAVA</t>
  </si>
  <si>
    <t>DAILY SAMBA RAVA</t>
  </si>
  <si>
    <t>DAILY SAMBA RAVA 500 G</t>
  </si>
  <si>
    <t>AGARBATTI 3 IN 1 RS.12 LUP</t>
  </si>
  <si>
    <t>AGARBATTI PINEAPPLE RS.12 LUP</t>
  </si>
  <si>
    <t>AGARBATTI RED ROSE RS.12 LUP</t>
  </si>
  <si>
    <t>AGARBATTI VENILLA RS.12 LUP</t>
  </si>
  <si>
    <t>AGARBATTI 3 in 1 RS.10 LUP</t>
  </si>
  <si>
    <t>AGARBATTI 3 IN 1 RS.10 LUP</t>
  </si>
  <si>
    <t>AGARBATTI COMBO RS.10 LUP</t>
  </si>
  <si>
    <t>AGARBATTI PINEAPPLE RS.10 LUP</t>
  </si>
  <si>
    <t>AGARBATTI VENILLA RS.10 LUP</t>
  </si>
  <si>
    <t>AGARBATTI * LUP</t>
  </si>
  <si>
    <t>DAILY SAMBA RAVA*</t>
  </si>
  <si>
    <t>DAILY RAVA*</t>
  </si>
  <si>
    <t>GROUNDNUT RAW OIL 1 LTR BOX ( GU-CO Offer)</t>
  </si>
  <si>
    <t>GROUNDNUT RAW OIL 1/2 LTR BOX ( GU-CO Offer)</t>
  </si>
  <si>
    <t>GROUNDNUT RAW OIL 1/2 LTR PET BOX( GU-CO Offer)</t>
  </si>
  <si>
    <t>GROUNDNUT RAW OIL 1 LTR PET BOX ( GU-CO Offer)</t>
  </si>
  <si>
    <t>NAKSHATRA AGARBATTI Rs 12 PACK BOX (Sa Re Ga Ma)</t>
  </si>
  <si>
    <t>AGARBATTI SA RE GA MA RS.12 LUP</t>
  </si>
  <si>
    <t>SUNRAJA GULAS (JAGGERY POWDER) 1 KG POUCH BOX-OFFER</t>
  </si>
  <si>
    <t>NAKSHATRA AGARBATTI Rs 55 PACK BOX (Sa Re Ga Ma)</t>
  </si>
  <si>
    <t>AGARBATTI SA RE GA MA RS.55</t>
  </si>
  <si>
    <t>DAILY DOUBLE ROASTED RAVA 200g POUCH - 10Kg BAG</t>
  </si>
  <si>
    <t>GROUNDNUT RAW OIL RS.10PACK BOX (08.01.25)</t>
  </si>
  <si>
    <t>REF SUNFLOWER OIL RS.20 PACK BOX (OLD 08.01.25)</t>
  </si>
  <si>
    <t>REF SUNFLOWER OIL RS.10 PACK BOX (NEW 08.01.25)</t>
  </si>
  <si>
    <t>REF SUNFLOWER OIL RS.20 PACK BOX (NEW 08.01.25)</t>
  </si>
  <si>
    <t>REF SUNFLOWER OIL RS.10 PACK BOX (OLD 08.01.25)</t>
  </si>
  <si>
    <t>COCONUT OIL Rs 10 PACK BOX (08.01.25)</t>
  </si>
  <si>
    <t>COCONUT OIL Rs 20 PACK BOX (08.01.25)</t>
  </si>
  <si>
    <t>NAKSHATRA POOJA OIL  Rs.20 PACK BOX (08.01.25)</t>
  </si>
  <si>
    <t>NAKSHATRA POOJA OIL  Rs.10 PACK BOX (08.01.25)</t>
  </si>
  <si>
    <t>GROUNDNUT RAW OIL RS.20 PACK BOX (08.01.25)</t>
  </si>
  <si>
    <t>REF RICE BRAN OIL RS.10 PACK BOX (08.01.25)</t>
  </si>
  <si>
    <t>GINGELLY OIL RS.15 PACK BOX (08.01.25)</t>
  </si>
  <si>
    <t>GINGELLY OIL RS.40 PACK BOX (08.01.25)</t>
  </si>
  <si>
    <t>REF SUNFLOWER OIL RS.20 PACK BOX (OLD)-FREE</t>
  </si>
  <si>
    <t>NAKSHATRA AGARBATTI Rs 12 PACK BOX (Divine Jasmine)</t>
  </si>
  <si>
    <t>NAKSHATRA AGARBATTI Rs 12 PACK BOX (Floral Sandal)</t>
  </si>
  <si>
    <t>NAKSHATRA AGARBATTI Rs 55 PACK BOX (Divine Jasmine)</t>
  </si>
  <si>
    <t>NAKSHATRA AGARBATTI Rs 55 PACK BOX (Floral Sandal)</t>
  </si>
  <si>
    <t>AGARBATTI JASMINE RS.12 LUP</t>
  </si>
  <si>
    <t>AGARBATTI SANDAL RS.12 LUP</t>
  </si>
  <si>
    <t>AGARBATTI JASMINE RS.55</t>
  </si>
  <si>
    <t>AGARBATTI SANDAL RS.55</t>
  </si>
  <si>
    <t>DAILY BADAM DRINK MIX 200gm POUCH BOX</t>
  </si>
  <si>
    <t>DAILY BADAM DRINK MIX  200gm POUCH (FREE)</t>
  </si>
  <si>
    <t>GN 2 L PET</t>
  </si>
  <si>
    <t>GN*PET</t>
  </si>
  <si>
    <t>DAILY BADAM MIX Rs 10 POUCH BOX</t>
  </si>
  <si>
    <t>NAKSHATRA AGARBATTI Rs 55 PACK BOX (Thazhampoo)</t>
  </si>
  <si>
    <t>AGARBATTI THAZHAMPOO RS.55</t>
  </si>
  <si>
    <t>SUNRAJA GULAS PALM JAGGERY POWDER 170g JAR</t>
  </si>
  <si>
    <t>NAKSHATRA AGARBATTI Rs 12 PACK BOX (Thazhampoo)</t>
  </si>
  <si>
    <t>NAKSHATRA AGARBATTI Rs 12 PACK BOX (Magic Mango)</t>
  </si>
  <si>
    <t>NAKSHATRA AGARBATTI Rs 12 PACK BOX (Lavender)</t>
  </si>
  <si>
    <t>NAKSHATRA AGARBATTI Rs 12 PACK BOX (OG Arij)</t>
  </si>
  <si>
    <t>NAKSHATRA AGARBATTI Rs 12 PACK BOX (G.O.A.T)</t>
  </si>
  <si>
    <t>NAKSHATRA AGARBATTI Rs 55 PACK BOX (G.O.A.T)</t>
  </si>
  <si>
    <t>NAKSHATRA AGARBATTI Rs 55 PACK BOX (Lavender)</t>
  </si>
  <si>
    <t>AGARBATTI GOAT RS.12 LUP</t>
  </si>
  <si>
    <t>AGARBATTI LAVENDER RS.12 LUP</t>
  </si>
  <si>
    <t>AGARBATTI THAZHAMPOO RS.12 LUP</t>
  </si>
  <si>
    <t>AGARBATTI MANGO RS.12 LUP</t>
  </si>
  <si>
    <t>AGARBATTI OG RS.12 LUP</t>
  </si>
  <si>
    <t>AGARBATTI GOAT RS.55</t>
  </si>
  <si>
    <t>AGARBATTI LAVENDER RS.55</t>
  </si>
  <si>
    <t>DAILY CHAKKI FRESH ATTA 1 KG POUCH - 30Kg BAG</t>
  </si>
  <si>
    <t>NAKSHATRA AGARBATTI Rs 55 PACK BOX (Magic Mango)</t>
  </si>
  <si>
    <t>AGARBATTI MANGO RS.55</t>
  </si>
  <si>
    <t>DAILY BADAM DRINK MIX 1 KG PET</t>
  </si>
  <si>
    <t>DAILY BADAM 1 KG</t>
  </si>
  <si>
    <t>COCONUT OIL Rs 20 PACK BOX (21.03.25)</t>
  </si>
  <si>
    <t>COCONUT OIL Rs 10 PACK BOX (21.03.25)</t>
  </si>
  <si>
    <t/>
  </si>
  <si>
    <t>1</t>
  </si>
  <si>
    <t>DAILY RAVA 200*</t>
  </si>
  <si>
    <t>SUN04702</t>
  </si>
  <si>
    <t>CHENGAM - A B AGENCIES</t>
  </si>
  <si>
    <t>2</t>
  </si>
  <si>
    <t>SUN04712</t>
  </si>
  <si>
    <t>TIRUVANNAMALAI- G.K.M.TRADERS</t>
  </si>
  <si>
    <t>3</t>
  </si>
  <si>
    <t>SUN06947</t>
  </si>
  <si>
    <t>TIRUVANNAMALAI-C.SAMSUDEEN MALIGAI</t>
  </si>
  <si>
    <t>4</t>
  </si>
  <si>
    <t>SUN04873</t>
  </si>
  <si>
    <t>TIRUVANNAMALAI-PVS PROVISIONS</t>
  </si>
  <si>
    <t>5</t>
  </si>
  <si>
    <t>SUN04717</t>
  </si>
  <si>
    <t>GINGEE - SRI UMAYAL AGENCY</t>
  </si>
  <si>
    <t>6</t>
  </si>
  <si>
    <t>SUN06342</t>
  </si>
  <si>
    <t>ATTUR - M R AGENCY</t>
  </si>
  <si>
    <t>7</t>
  </si>
  <si>
    <t>SUN06029</t>
  </si>
  <si>
    <t>TIRUKKOYILUR-SRINITHI ENTERPRISES</t>
  </si>
  <si>
    <t>8</t>
  </si>
  <si>
    <t>SUN06870</t>
  </si>
  <si>
    <t>GINGEE-YUVARAJ</t>
  </si>
  <si>
    <t>9</t>
  </si>
  <si>
    <t>SUN01151</t>
  </si>
  <si>
    <t>GINGEE VRG AGENCY</t>
  </si>
  <si>
    <t>10</t>
  </si>
  <si>
    <t>SUN06631</t>
  </si>
  <si>
    <t>GINGEE-B H K MALIGAI STORE</t>
  </si>
  <si>
    <t>11</t>
  </si>
  <si>
    <t>SUN07443</t>
  </si>
  <si>
    <t>SANKARAPURAM-MADURA MARKETTING</t>
  </si>
  <si>
    <t>12</t>
  </si>
  <si>
    <t>SUN05998</t>
  </si>
  <si>
    <t>TIRUVANNAMALAI-ARKA SUPER STORE</t>
  </si>
  <si>
    <t>13</t>
  </si>
  <si>
    <t>SUN05496</t>
  </si>
  <si>
    <t>SALEM-SRI PATHMAVATHI AGENCIES</t>
  </si>
  <si>
    <t>14</t>
  </si>
  <si>
    <t>SUN07783</t>
  </si>
  <si>
    <t>KURNOOL - ABDULLA TRADERS</t>
  </si>
  <si>
    <t>15</t>
  </si>
  <si>
    <t>SUN02183</t>
  </si>
  <si>
    <t>CBE MANI OIL TRADES</t>
  </si>
  <si>
    <t>16</t>
  </si>
  <si>
    <t>SUN01002</t>
  </si>
  <si>
    <t>ED.SAKTHI MASALA (P)LTD.</t>
  </si>
  <si>
    <t>17</t>
  </si>
  <si>
    <t>SUN04325</t>
  </si>
  <si>
    <t>WAYANAD - KALAVAKURU ESTATES PRIVATE LIMITED (GRT)</t>
  </si>
  <si>
    <t>18</t>
  </si>
  <si>
    <t>SUN07376</t>
  </si>
  <si>
    <t>KL-CHERUTHURUTHY-K S K STORES</t>
  </si>
  <si>
    <t>19</t>
  </si>
  <si>
    <t>SUN01197</t>
  </si>
  <si>
    <t>KL PERINGODE  GOD WIN FLOUR &amp; OIL MILL</t>
  </si>
  <si>
    <t>20</t>
  </si>
  <si>
    <t>SUN07365</t>
  </si>
  <si>
    <t>KL-TALIPARAMBA-ARAFA ENTERPRISES</t>
  </si>
  <si>
    <t>21</t>
  </si>
  <si>
    <t>SUN06960</t>
  </si>
  <si>
    <t>KL-KELAKAM-MINA STORES</t>
  </si>
  <si>
    <t>22</t>
  </si>
  <si>
    <t>SUN06727</t>
  </si>
  <si>
    <t>KL-KANNUR-A.B.STORE,IRITTY</t>
  </si>
  <si>
    <t>23</t>
  </si>
  <si>
    <t>SUN06168</t>
  </si>
  <si>
    <t>KL-KANNUR-SHEEN VEEN TRADES</t>
  </si>
  <si>
    <t>24</t>
  </si>
  <si>
    <t>SUN06756</t>
  </si>
  <si>
    <t>KL KANNUR K.B TRADE LINKS</t>
  </si>
  <si>
    <t>25</t>
  </si>
  <si>
    <t>SUN07755</t>
  </si>
  <si>
    <t>AP KUSUMA KISHORI AGENCY</t>
  </si>
  <si>
    <t>26</t>
  </si>
  <si>
    <t>SUN07110</t>
  </si>
  <si>
    <t>AP-CHITTHIRALA EDIBLE OILS AND FOODS</t>
  </si>
  <si>
    <t>27</t>
  </si>
  <si>
    <t>SUN04946</t>
  </si>
  <si>
    <t>ED P V P REFINERIES PVT LTD</t>
  </si>
  <si>
    <t>28</t>
  </si>
  <si>
    <t>SUN06221</t>
  </si>
  <si>
    <t>ED - SRI SESHADRI AAGRO FOODS (SALES) RAMESH</t>
  </si>
  <si>
    <t>29</t>
  </si>
  <si>
    <t>SUN01051</t>
  </si>
  <si>
    <t>SLM BEE YES CEE AGENCY</t>
  </si>
  <si>
    <t>30</t>
  </si>
  <si>
    <t>SUN03613</t>
  </si>
  <si>
    <t>KUTHAMBAKKAM-SUPER MARKET (BIG BASKET)</t>
  </si>
  <si>
    <t>31</t>
  </si>
  <si>
    <t>SUN04206</t>
  </si>
  <si>
    <t>PRI SRI VENKATESHWARA FOOD PROCESSING</t>
  </si>
  <si>
    <t>32</t>
  </si>
  <si>
    <t>SUN06311</t>
  </si>
  <si>
    <t>CNI-PERIYAPALAYAM-SCOOTSY LOGISTICS PVT LTD</t>
  </si>
  <si>
    <t>33</t>
  </si>
  <si>
    <t>SUN01422</t>
  </si>
  <si>
    <t>TCY- RAJANGAM STORES</t>
  </si>
  <si>
    <t>34</t>
  </si>
  <si>
    <t>SUN04028</t>
  </si>
  <si>
    <t>TCY KONAR GHEE STORE</t>
  </si>
  <si>
    <t>35</t>
  </si>
  <si>
    <t>SUN04540</t>
  </si>
  <si>
    <t>PUDUKKOTTAI-SURYA OIL STORES</t>
  </si>
  <si>
    <t>36</t>
  </si>
  <si>
    <t>SUN03828</t>
  </si>
  <si>
    <t>ANNUR, GEM EDIBLE OIL (PRIVATE) LTD</t>
  </si>
  <si>
    <t>37</t>
  </si>
  <si>
    <t>SUN07301</t>
  </si>
  <si>
    <t>MP-WELCOME INDUSTRIES</t>
  </si>
  <si>
    <t>38</t>
  </si>
  <si>
    <t>SUN06511</t>
  </si>
  <si>
    <t>PEDDUR-SRI VASAVI AGENCY</t>
  </si>
  <si>
    <t>39</t>
  </si>
  <si>
    <t>SUN07786</t>
  </si>
  <si>
    <t>KANCHIPURAM-TVL.AMUDHAM TRADERS</t>
  </si>
  <si>
    <t>40</t>
  </si>
  <si>
    <t>SUN01158</t>
  </si>
  <si>
    <t>KANCHEEPURAM SRI HARI AGENCIES</t>
  </si>
  <si>
    <t>41</t>
  </si>
  <si>
    <t>SUN04769</t>
  </si>
  <si>
    <t>VELLORE AVENUE SUPERMARTS LTD</t>
  </si>
  <si>
    <t>42</t>
  </si>
  <si>
    <t>SUN07404</t>
  </si>
  <si>
    <t>TIRUPATTUR-KIRUBA AGENCIES</t>
  </si>
  <si>
    <t>43</t>
  </si>
  <si>
    <t>SUN01871</t>
  </si>
  <si>
    <t>ARCOT M.K.TRADERS</t>
  </si>
  <si>
    <t>44</t>
  </si>
  <si>
    <t>SUN02861</t>
  </si>
  <si>
    <t>VANIYAMBADI SREE RAGAVENDRA AGENCIES</t>
  </si>
  <si>
    <t>45</t>
  </si>
  <si>
    <t>SUN03874</t>
  </si>
  <si>
    <t>BLR - GOWRI PRIYA AGENCIES</t>
  </si>
  <si>
    <t>46</t>
  </si>
  <si>
    <t>SUN06764</t>
  </si>
  <si>
    <t>AP-SHABARI OILS</t>
  </si>
  <si>
    <t>47</t>
  </si>
  <si>
    <t>SUN06759</t>
  </si>
  <si>
    <t>AP-RAZIYA BABY OIL MILL (KADAPPA)</t>
  </si>
  <si>
    <t>48</t>
  </si>
  <si>
    <t>SUN02038</t>
  </si>
  <si>
    <t>CBE.LIYA OIL TRADERS</t>
  </si>
  <si>
    <t>49</t>
  </si>
  <si>
    <t>SUN07563</t>
  </si>
  <si>
    <t>CBE-ALANKAR SUPER MARKET PRIVATE LIMITED</t>
  </si>
  <si>
    <t>50</t>
  </si>
  <si>
    <t>SUN07710</t>
  </si>
  <si>
    <t>COIMBATORE-GEETHA CANTEEN</t>
  </si>
  <si>
    <t>51</t>
  </si>
  <si>
    <t>SUN07713</t>
  </si>
  <si>
    <t>COIMBATORE-GEETHA RESTAURANT</t>
  </si>
  <si>
    <t>52</t>
  </si>
  <si>
    <t>SUN05493</t>
  </si>
  <si>
    <t>CBE ZION TRADERS</t>
  </si>
  <si>
    <t>53</t>
  </si>
  <si>
    <t>SUN03509</t>
  </si>
  <si>
    <t>COONOOR G.V.AGENCIES</t>
  </si>
  <si>
    <t>54</t>
  </si>
  <si>
    <t>SUN06997</t>
  </si>
  <si>
    <t>AP-VAMSADHARA TRADERS</t>
  </si>
  <si>
    <t>55</t>
  </si>
  <si>
    <t>SUN06214</t>
  </si>
  <si>
    <t>CHENNAI -TVM EDIBLE OILS PVT LTD (NEW GST)</t>
  </si>
  <si>
    <t>56</t>
  </si>
  <si>
    <t>SUN04144</t>
  </si>
  <si>
    <t>NELLORE-SANTHOSHIMATHAA OILS &amp; FATS</t>
  </si>
  <si>
    <t>57</t>
  </si>
  <si>
    <t>SUN06747</t>
  </si>
  <si>
    <t>ERODE-AATHAVA AGENCE</t>
  </si>
  <si>
    <t>58</t>
  </si>
  <si>
    <t>SUN04510</t>
  </si>
  <si>
    <t>TCY R.VASU OIL TRADERS  (EDA STREET)</t>
  </si>
  <si>
    <t>59</t>
  </si>
  <si>
    <t>SUN07618</t>
  </si>
  <si>
    <t>MUTHUR-SENTHUR VELAN TRADERS</t>
  </si>
  <si>
    <t>60</t>
  </si>
  <si>
    <t>SUN06304</t>
  </si>
  <si>
    <t>MUTHUR-SRI MAAN MALIGAI</t>
  </si>
  <si>
    <t>61</t>
  </si>
  <si>
    <t>SUN03289</t>
  </si>
  <si>
    <t>VELLAKOVIL MITHUN TRADERS</t>
  </si>
  <si>
    <t>62</t>
  </si>
  <si>
    <t>SUN04704</t>
  </si>
  <si>
    <t>KANGAYAM SRI MURUGAN TRADERS</t>
  </si>
  <si>
    <t>63</t>
  </si>
  <si>
    <t>SUN05723</t>
  </si>
  <si>
    <t>PALACODE-S. KANAGARAJ (MALIGAI)</t>
  </si>
  <si>
    <t>64</t>
  </si>
  <si>
    <t>SUN03103</t>
  </si>
  <si>
    <t>DHARMAPURI AYYANAR SWEETS</t>
  </si>
  <si>
    <t>65</t>
  </si>
  <si>
    <t>SUN01960</t>
  </si>
  <si>
    <t>KARAMADAI, SREE MAHALAKSHMI OIL MILLS</t>
  </si>
  <si>
    <t>66</t>
  </si>
  <si>
    <t>SUN07207</t>
  </si>
  <si>
    <t>AP-MAHALAKSHMI TRADERS</t>
  </si>
  <si>
    <t>67</t>
  </si>
  <si>
    <t>SUN06521</t>
  </si>
  <si>
    <t>BLR - KOF</t>
  </si>
  <si>
    <t>68</t>
  </si>
  <si>
    <t>SUN02510</t>
  </si>
  <si>
    <t>HARUR P.V. AGENCIES</t>
  </si>
  <si>
    <t>69</t>
  </si>
  <si>
    <t>SUN04519</t>
  </si>
  <si>
    <t>PALACODE-STAR AGENCIES</t>
  </si>
  <si>
    <t>70</t>
  </si>
  <si>
    <t>SUN01583</t>
  </si>
  <si>
    <t>HOSUR DAVID ENTERPRISES</t>
  </si>
  <si>
    <t>71</t>
  </si>
  <si>
    <t>SUN02952</t>
  </si>
  <si>
    <t>KRISHNAGIRI M.R.TRADARS</t>
  </si>
  <si>
    <t>72</t>
  </si>
  <si>
    <t>SUN07406</t>
  </si>
  <si>
    <t>KARUR-NAKSATRAA TRADERS</t>
  </si>
  <si>
    <t>73</t>
  </si>
  <si>
    <t>SUN06600</t>
  </si>
  <si>
    <t>KODUMUDI-SUDHA SUPER MARKET</t>
  </si>
  <si>
    <t>74</t>
  </si>
  <si>
    <t>SUN03375</t>
  </si>
  <si>
    <t>KA KATTIGENAHALLI SRI VINAYAKA PROVISION STORES</t>
  </si>
  <si>
    <t>75</t>
  </si>
  <si>
    <t>SUN05864</t>
  </si>
  <si>
    <t>BLR SUNRAJA OIL INDUSTERIES PVT LTD (NEW)</t>
  </si>
  <si>
    <t>76</t>
  </si>
  <si>
    <t>SUN04370</t>
  </si>
  <si>
    <t>GOBI ARISH A TO Z WHOLESALER</t>
  </si>
  <si>
    <t>77</t>
  </si>
  <si>
    <t>SUN05709</t>
  </si>
  <si>
    <t>TIRUPUR- MANIPAL STORES (HEAD OFFICE)</t>
  </si>
  <si>
    <t>78</t>
  </si>
  <si>
    <t>SUN06832</t>
  </si>
  <si>
    <t>DHARAPURAM-SVK TRADERS</t>
  </si>
  <si>
    <t>79</t>
  </si>
  <si>
    <t>SUN01143</t>
  </si>
  <si>
    <t>BHUVANAGIRI KANI AGENCIES</t>
  </si>
  <si>
    <t>80</t>
  </si>
  <si>
    <t>SUN03624</t>
  </si>
  <si>
    <t>CHIDAMBARAM VISALAM TRADERS</t>
  </si>
  <si>
    <t>81</t>
  </si>
  <si>
    <t>SUN06750</t>
  </si>
  <si>
    <t>JAYANKONDAM-SOWDAMBIKAA VIDYALAYA</t>
  </si>
  <si>
    <t>82</t>
  </si>
  <si>
    <t>SUN06711</t>
  </si>
  <si>
    <t>VIRUDHACHALAM-KUMARAN TRADERS</t>
  </si>
  <si>
    <t>83</t>
  </si>
  <si>
    <t>SUN02359</t>
  </si>
  <si>
    <t>KATTUMANNARKOIL HAJABAWA SWEETS &amp; BAKERY (LALPET)</t>
  </si>
  <si>
    <t>84</t>
  </si>
  <si>
    <t>SUN07171</t>
  </si>
  <si>
    <t>NEYVELI-VENKATESWARA BAKERY &amp; SWEETS</t>
  </si>
  <si>
    <t>85</t>
  </si>
  <si>
    <t>SUN03130</t>
  </si>
  <si>
    <t>CHIDAMBARAM HOTEL SARADHARAM</t>
  </si>
  <si>
    <t>86</t>
  </si>
  <si>
    <t>SUN01857</t>
  </si>
  <si>
    <t>TCY AVENUE SUPERMARTS LIMITED</t>
  </si>
  <si>
    <t>87</t>
  </si>
  <si>
    <t>SUN07664</t>
  </si>
  <si>
    <t>TRICHY-MURALI AGENCIES</t>
  </si>
  <si>
    <t>88</t>
  </si>
  <si>
    <t>SUN06946</t>
  </si>
  <si>
    <t>MANAPPARAI-JAYARANI AGENCIES</t>
  </si>
  <si>
    <t>89</t>
  </si>
  <si>
    <t>SUN03003</t>
  </si>
  <si>
    <t>THANJAVUR PRIME OIL TRADERS</t>
  </si>
  <si>
    <t>90</t>
  </si>
  <si>
    <t>SUN01091</t>
  </si>
  <si>
    <t>TANJORE A.KANDASAMY NADAR MALIGAI</t>
  </si>
  <si>
    <t>91</t>
  </si>
  <si>
    <t>SUN07325</t>
  </si>
  <si>
    <t>KL-PATHANAMTHITTA-AMALA GROUP AGENCIES</t>
  </si>
  <si>
    <t>92</t>
  </si>
  <si>
    <t>SUN07419</t>
  </si>
  <si>
    <t>KL CHENGANAR SRADHA TRADING</t>
  </si>
  <si>
    <t>93</t>
  </si>
  <si>
    <t>SUN03444</t>
  </si>
  <si>
    <t>KL KOLLAM STANES TRADING COMPANY</t>
  </si>
  <si>
    <t>94</t>
  </si>
  <si>
    <t>SUN07240</t>
  </si>
  <si>
    <t>KL-KOLLAM-S.A.K ASSOCIATE</t>
  </si>
  <si>
    <t>95</t>
  </si>
  <si>
    <t>SUN04470</t>
  </si>
  <si>
    <t>TIRUNELVELI KAUMARAM FOOD PRODUCTS</t>
  </si>
  <si>
    <t>96</t>
  </si>
  <si>
    <t>SUN04298</t>
  </si>
  <si>
    <t>ATTUVAMPATTI STERLING HOLIDAY RESORTS LIMITED</t>
  </si>
  <si>
    <t>97</t>
  </si>
  <si>
    <t>SUN03935</t>
  </si>
  <si>
    <t>KL KUNNAMKULAM MURINGATHERY TRADING COMPANY</t>
  </si>
  <si>
    <t>98</t>
  </si>
  <si>
    <t>SUN01952</t>
  </si>
  <si>
    <t>KALLAKURICHI SRI AGENCIES</t>
  </si>
  <si>
    <t>99</t>
  </si>
  <si>
    <t>SUN05538</t>
  </si>
  <si>
    <t>DHARMAPURI-CAVINKARE PRIVATE LIMITED</t>
  </si>
  <si>
    <t>100</t>
  </si>
  <si>
    <t>SUN07359</t>
  </si>
  <si>
    <t>THAVALAKUPPAM-MAHALAKSHMI AGENCY</t>
  </si>
  <si>
    <t>101</t>
  </si>
  <si>
    <t>SUN06833</t>
  </si>
  <si>
    <t>PUDUCHERRY-K.M.P AGENCY</t>
  </si>
  <si>
    <t>102</t>
  </si>
  <si>
    <t>SUN01145</t>
  </si>
  <si>
    <t>PONDY J.B ENTERPRISES</t>
  </si>
  <si>
    <t>103</t>
  </si>
  <si>
    <t>SUN02291</t>
  </si>
  <si>
    <t>CBE SULUR AVENUE SUPERMARTS LIMITED</t>
  </si>
  <si>
    <t>104</t>
  </si>
  <si>
    <t>SUN03644</t>
  </si>
  <si>
    <t>CBE CHINNIYAMPALAYAM AVENUE SUPERMARTS LTD</t>
  </si>
  <si>
    <t>105</t>
  </si>
  <si>
    <t>SUN02310</t>
  </si>
  <si>
    <t>CBE THALAPPAKATTI HOTELS PRIVATE LIMITED</t>
  </si>
  <si>
    <t>106</t>
  </si>
  <si>
    <t>SUN05625</t>
  </si>
  <si>
    <t>CBE LULU INTERNATIONAL SHOPPING MALLS PRIVATE LIMITED</t>
  </si>
  <si>
    <t>107</t>
  </si>
  <si>
    <t>SUN07068</t>
  </si>
  <si>
    <t>PRI-SUNRAJA OIL INDUSTRIES PRIVATE LIMITED</t>
  </si>
  <si>
    <t>108</t>
  </si>
  <si>
    <t>SUN03455</t>
  </si>
  <si>
    <t>CNI-PUZHAL-SUNRAJA OIL INDUSTRIES</t>
  </si>
  <si>
    <t>109</t>
  </si>
  <si>
    <t>SUN06608</t>
  </si>
  <si>
    <t>MDU-SUNRAJA OIL INDUSTRIES PRIVATE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</si>
</sst>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&quot;0"/>
    <numFmt numFmtId="165" formatCode="&quot;&quot;0&quot; BOX&quot;"/>
    <numFmt numFmtId="166" formatCode="&quot;&quot;0.00"/>
    <numFmt numFmtId="167" formatCode="&quot;&quot;0&quot; Kgs&quot;"/>
    <numFmt numFmtId="168" formatCode="&quot;&quot;0&quot; BAG&quot;"/>
    <numFmt numFmtId="169" formatCode="&quot;&quot;0.000&quot; POUCH&quot;"/>
    <numFmt numFmtId="170" formatCode="&quot;&quot;0&quot; PET&quot;"/>
    <numFmt numFmtId="171" formatCode="&quot;&quot;0&quot; CAN&quot;"/>
    <numFmt numFmtId="172" formatCode="&quot;&quot;0.000&quot; Nos&quot;"/>
  </numFmts>
  <fonts count="11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49" fontId="1" fillId="0" borderId="1" xfId="0" applyNumberFormat="1" applyFont="1" applyBorder="1" applyAlignment="1">
      <alignment horizontal="center" vertical="top"/>
    </xf>
    <xf numFmtId="49" fontId="1" fillId="0" borderId="2" xfId="0" applyNumberFormat="1" applyFont="1" applyBorder="1" applyAlignment="1">
      <alignment horizontal="center" vertical="top"/>
    </xf>
    <xf numFmtId="49" fontId="1" fillId="0" borderId="6" xfId="0" applyNumberFormat="1" applyFont="1" applyBorder="1" applyAlignment="1">
      <alignment horizontal="left" vertical="top" indent="1"/>
    </xf>
    <xf numFmtId="49" fontId="1" fillId="0" borderId="6" xfId="0" applyNumberFormat="1" applyFont="1" applyBorder="1" applyAlignment="1">
      <alignment vertical="top"/>
    </xf>
    <xf numFmtId="49" fontId="1" fillId="0" borderId="6" xfId="0" applyNumberFormat="1" applyFont="1" applyBorder="1" applyAlignment="1">
      <alignment horizontal="left" vertical="top" indent="2"/>
    </xf>
    <xf numFmtId="164" fontId="1" fillId="0" borderId="6" xfId="0" applyNumberFormat="1" applyFont="1" applyBorder="1" applyAlignment="1">
      <alignment horizontal="right" vertical="top"/>
    </xf>
    <xf numFmtId="166" fontId="1" fillId="0" borderId="6" xfId="0" applyNumberFormat="1" applyFont="1" applyBorder="1" applyAlignment="1">
      <alignment horizontal="right" vertical="top"/>
    </xf>
    <xf numFmtId="49" fontId="1" fillId="0" borderId="1" xfId="0" applyNumberFormat="1" applyFont="1" applyBorder="1" applyAlignment="1">
      <alignment horizontal="left" vertical="top" indent="1"/>
    </xf>
    <xf numFmtId="49" fontId="1" fillId="0" borderId="1" xfId="0" applyNumberFormat="1" applyFont="1" applyBorder="1" applyAlignment="1">
      <alignment vertical="top"/>
    </xf>
    <xf numFmtId="49" fontId="1" fillId="0" borderId="1" xfId="0" applyNumberFormat="1" applyFont="1" applyBorder="1" applyAlignment="1">
      <alignment horizontal="left" vertical="top" indent="2"/>
    </xf>
    <xf numFmtId="164" fontId="1" fillId="0" borderId="1" xfId="0" applyNumberFormat="1" applyFont="1" applyBorder="1" applyAlignment="1">
      <alignment horizontal="right" vertical="top"/>
    </xf>
    <xf numFmtId="166" fontId="1" fillId="0" borderId="1" xfId="0" applyNumberFormat="1" applyFont="1" applyBorder="1" applyAlignment="1">
      <alignment horizontal="right" vertical="top"/>
    </xf>
    <xf numFmtId="167" fontId="1" fillId="0" borderId="6" xfId="0" applyNumberFormat="1" applyFont="1" applyBorder="1" applyAlignment="1">
      <alignment horizontal="right" vertical="top"/>
    </xf>
    <xf numFmtId="167" fontId="1" fillId="0" borderId="1" xfId="0" applyNumberFormat="1" applyFont="1" applyBorder="1" applyAlignment="1">
      <alignment horizontal="right" vertical="top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0" borderId="0" xfId="0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49" fontId="1" fillId="0" borderId="3" xfId="0" applyNumberFormat="1" applyFont="1" applyBorder="1" applyAlignment="1">
      <alignment horizontal="center" vertical="top"/>
    </xf>
    <xf numFmtId="49" fontId="1" fillId="0" borderId="4" xfId="0" applyNumberFormat="1" applyFont="1" applyBorder="1" applyAlignment="1">
      <alignment horizontal="center" vertical="top"/>
    </xf>
    <xf numFmtId="0" fontId="7" fillId="2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top"/>
      <protection locked="0"/>
    </xf>
    <xf numFmtId="49" fontId="1" fillId="0" borderId="1" xfId="0" applyNumberFormat="1" applyFont="1" applyBorder="1" applyAlignment="1" applyProtection="1">
      <alignment horizontal="center" vertical="top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0" fillId="3" borderId="7" xfId="0" applyFill="1" applyBorder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 applyAlignment="1" applyProtection="1">
      <alignment horizontal="center" vertical="top"/>
      <protection locked="0"/>
    </xf>
    <xf numFmtId="49" fontId="1" fillId="0" borderId="0" xfId="0" applyNumberFormat="1" applyFont="1" applyAlignment="1" applyProtection="1">
      <alignment horizontal="center" vertical="top"/>
      <protection locked="0"/>
    </xf>
    <xf numFmtId="0" fontId="7" fillId="3" borderId="0" xfId="0" applyFont="1" applyFill="1" applyAlignment="1" applyProtection="1">
      <alignment horizontal="center" vertical="center" wrapText="1"/>
      <protection locked="0"/>
    </xf>
    <xf numFmtId="49" fontId="4" fillId="2" borderId="0" xfId="0" applyNumberFormat="1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9" fillId="4" borderId="5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49" fontId="9" fillId="7" borderId="5" xfId="0" applyNumberFormat="1" applyFont="1" applyFill="1" applyBorder="1" applyAlignment="1">
      <alignment horizontal="center" vertical="center" wrapText="1"/>
    </xf>
    <xf numFmtId="49" fontId="9" fillId="8" borderId="5" xfId="0" applyNumberFormat="1" applyFont="1" applyFill="1" applyBorder="1" applyAlignment="1">
      <alignment horizontal="center" vertical="center" wrapText="1"/>
    </xf>
    <xf numFmtId="49" fontId="9" fillId="5" borderId="6" xfId="0" applyNumberFormat="1" applyFont="1" applyFill="1" applyBorder="1" applyAlignment="1">
      <alignment horizontal="center" vertical="center" wrapText="1"/>
    </xf>
    <xf numFmtId="49" fontId="9" fillId="8" borderId="6" xfId="0" applyNumberFormat="1" applyFont="1" applyFill="1" applyBorder="1" applyAlignment="1">
      <alignment horizontal="center" vertical="center" wrapText="1"/>
    </xf>
    <xf numFmtId="49" fontId="9" fillId="7" borderId="6" xfId="0" applyNumberFormat="1" applyFont="1" applyFill="1" applyBorder="1" applyAlignment="1">
      <alignment horizontal="center" vertical="center" wrapText="1"/>
    </xf>
    <xf numFmtId="49" fontId="9" fillId="2" borderId="5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top"/>
    </xf>
    <xf numFmtId="167" fontId="1" fillId="0" borderId="0" xfId="0" applyNumberFormat="1" applyFont="1" applyAlignment="1" applyProtection="1">
      <alignment horizontal="center" vertical="top"/>
      <protection locked="0"/>
    </xf>
    <xf numFmtId="49" fontId="3" fillId="0" borderId="1" xfId="0" applyNumberFormat="1" applyFont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" fillId="0" borderId="5" xfId="0" applyNumberFormat="1" applyFont="1" applyBorder="1" applyAlignment="1">
      <alignment vertical="top"/>
    </xf>
    <xf numFmtId="164" fontId="1" fillId="0" borderId="5" xfId="0" applyNumberFormat="1" applyFont="1" applyBorder="1" applyAlignment="1">
      <alignment horizontal="right" vertical="top"/>
    </xf>
    <xf numFmtId="0" fontId="1" fillId="0" borderId="1" xfId="0" applyFont="1" applyBorder="1" applyAlignment="1" applyProtection="1">
      <alignment horizontal="center" vertical="center"/>
      <protection locked="0"/>
    </xf>
    <xf numFmtId="49" fontId="1" fillId="0" borderId="5" xfId="0" applyNumberFormat="1" applyFont="1" applyBorder="1" applyAlignment="1">
      <alignment horizontal="left" vertical="top" indent="1"/>
    </xf>
    <xf numFmtId="165" fontId="1" fillId="0" borderId="6" xfId="0" applyNumberFormat="1" applyFont="1" applyBorder="1" applyAlignment="1">
      <alignment horizontal="right" vertical="top"/>
    </xf>
    <xf numFmtId="168" fontId="1" fillId="0" borderId="6" xfId="0" applyNumberFormat="1" applyFont="1" applyBorder="1" applyAlignment="1">
      <alignment horizontal="right" vertical="top"/>
    </xf>
    <xf numFmtId="169" fontId="1" fillId="0" borderId="6" xfId="0" applyNumberFormat="1" applyFont="1" applyBorder="1" applyAlignment="1">
      <alignment horizontal="right" vertical="top"/>
    </xf>
    <xf numFmtId="170" fontId="1" fillId="0" borderId="6" xfId="0" applyNumberFormat="1" applyFont="1" applyBorder="1" applyAlignment="1">
      <alignment horizontal="right" vertical="top"/>
    </xf>
    <xf numFmtId="165" fontId="1" fillId="0" borderId="1" xfId="0" applyNumberFormat="1" applyFont="1" applyBorder="1" applyAlignment="1">
      <alignment horizontal="right" vertical="top"/>
    </xf>
    <xf numFmtId="170" fontId="1" fillId="0" borderId="1" xfId="0" applyNumberFormat="1" applyFont="1" applyBorder="1" applyAlignment="1">
      <alignment horizontal="right" vertical="top"/>
    </xf>
    <xf numFmtId="169" fontId="1" fillId="0" borderId="1" xfId="0" applyNumberFormat="1" applyFont="1" applyBorder="1" applyAlignment="1">
      <alignment horizontal="right" vertical="top"/>
    </xf>
    <xf numFmtId="168" fontId="1" fillId="0" borderId="1" xfId="0" applyNumberFormat="1" applyFont="1" applyBorder="1" applyAlignment="1">
      <alignment horizontal="right" vertical="top"/>
    </xf>
    <xf numFmtId="49" fontId="1" fillId="0" borderId="0" xfId="0" applyNumberFormat="1" applyFont="1" applyAlignment="1">
      <alignment horizontal="center" vertical="center"/>
    </xf>
    <xf numFmtId="171" fontId="1" fillId="0" borderId="6" xfId="0" applyNumberFormat="1" applyFont="1" applyBorder="1" applyAlignment="1">
      <alignment horizontal="right" vertical="top"/>
    </xf>
    <xf numFmtId="171" fontId="1" fillId="0" borderId="1" xfId="0" applyNumberFormat="1" applyFont="1" applyBorder="1" applyAlignment="1">
      <alignment horizontal="right" vertical="top"/>
    </xf>
    <xf numFmtId="49" fontId="1" fillId="0" borderId="5" xfId="0" applyNumberFormat="1" applyFont="1" applyBorder="1" applyAlignment="1">
      <alignment horizontal="left" vertical="top" indent="2"/>
    </xf>
    <xf numFmtId="0" fontId="0" fillId="0" borderId="0" xfId="0" applyAlignment="1">
      <alignment horizontal="left"/>
    </xf>
    <xf numFmtId="166" fontId="1" fillId="0" borderId="5" xfId="0" applyNumberFormat="1" applyFont="1" applyBorder="1" applyAlignment="1">
      <alignment horizontal="right" vertical="top"/>
    </xf>
    <xf numFmtId="167" fontId="1" fillId="0" borderId="5" xfId="0" applyNumberFormat="1" applyFont="1" applyBorder="1" applyAlignment="1">
      <alignment horizontal="right" vertical="top"/>
    </xf>
    <xf numFmtId="165" fontId="1" fillId="0" borderId="5" xfId="0" applyNumberFormat="1" applyFont="1" applyBorder="1" applyAlignment="1">
      <alignment horizontal="right" vertical="top"/>
    </xf>
    <xf numFmtId="172" fontId="1" fillId="0" borderId="1" xfId="0" applyNumberFormat="1" applyFont="1" applyBorder="1" applyAlignment="1">
      <alignment horizontal="right" vertical="top"/>
    </xf>
    <xf numFmtId="172" fontId="1" fillId="0" borderId="6" xfId="0" applyNumberFormat="1" applyFont="1" applyBorder="1" applyAlignment="1">
      <alignment horizontal="right" vertical="top"/>
    </xf>
    <xf numFmtId="49" fontId="1" fillId="0" borderId="3" xfId="0" applyNumberFormat="1" applyFont="1" applyBorder="1" applyAlignment="1">
      <alignment horizontal="center" vertical="top"/>
    </xf>
    <xf numFmtId="49" fontId="1" fillId="0" borderId="4" xfId="0" applyNumberFormat="1" applyFont="1" applyBorder="1" applyAlignment="1">
      <alignment horizontal="center" vertical="top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0" borderId="9" xfId="0" applyFont="1" applyFill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550</xdr:row>
          <xdr:rowOff>0</xdr:rowOff>
        </xdr:from>
        <xdr:to>
          <xdr:col>21</xdr:col>
          <xdr:colOff>295275</xdr:colOff>
          <xdr:row>552</xdr:row>
          <xdr:rowOff>180975</xdr:rowOff>
        </xdr:to>
        <xdr:sp macro="" textlink="">
          <xdr:nvSpPr>
            <xdr:cNvPr id="5121" name="checki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DD02852-246D-44A6-94F7-AC1F1501271A}">
  <we:reference id="wa104381227" version="1.0.0.1" store="en-US" storeType="OMEX"/>
  <we:alternateReferences>
    <we:reference id="WA104381227" version="1.0.0.1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0B1D1-0597-4EC9-A801-B78A71987C97}">
  <sheetPr codeName="Sheet8">
    <tabColor rgb="FF0070C0"/>
  </sheetPr>
  <dimension ref="A1:CA512"/>
  <sheetViews>
    <sheetView showGridLines="0" showRowColHeaders="0" zoomScale="115" zoomScaleNormal="115" workbookViewId="0">
      <pane xSplit="5" ySplit="1" topLeftCell="F2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ColWidth="9.140625" defaultRowHeight="15" x14ac:dyDescent="0.25"/>
  <cols>
    <col min="1" max="1" width="3.42578125" style="19" customWidth="1"/>
    <col min="2" max="2" width="2.28515625" style="19" hidden="1" customWidth="1"/>
    <col min="3" max="3" width="8.7109375" style="41" bestFit="1" customWidth="1"/>
    <col min="4" max="4" width="12.140625" style="41" bestFit="1" customWidth="1"/>
    <col min="5" max="5" width="47.85546875" style="41" bestFit="1" customWidth="1"/>
    <col min="6" max="79" width="14" style="41" customWidth="1"/>
    <col min="80" max="147" width="17.140625" style="19" customWidth="1"/>
    <col min="148" max="16384" width="9.140625" style="19"/>
  </cols>
  <sheetData>
    <row r="1" spans="1:79" s="41" customFormat="1" ht="36" customHeight="1" x14ac:dyDescent="0.25">
      <c r="A1" s="19"/>
      <c r="B1" s="19" cm="1">
        <f t="array" aca="1" ref="B1:AW1" ca="1">HEADING1</f>
        <v>0</v>
      </c>
      <c r="C1" s="45" t="str">
        <f ca="1"/>
        <v>S.No</v>
      </c>
      <c r="D1" s="42" t="str">
        <f ca="1"/>
        <v>Party Code</v>
      </c>
      <c r="E1" s="43" t="str">
        <f ca="1"/>
        <v>Party Name</v>
      </c>
      <c r="F1" s="51" t="str">
        <f ca="1"/>
        <v>TOTAL</v>
      </c>
      <c r="G1" s="51" t="str">
        <f ca="1"/>
        <v>SF*</v>
      </c>
      <c r="H1" s="51" t="str">
        <f ca="1"/>
        <v>GN*</v>
      </c>
      <c r="I1" s="51" t="str">
        <f ca="1"/>
        <v>T.OIL</v>
      </c>
      <c r="J1" s="51" t="str">
        <f ca="1"/>
        <v>COC*</v>
      </c>
      <c r="K1" s="51" t="str">
        <f ca="1"/>
        <v>RB*</v>
      </c>
      <c r="L1" s="51" t="str">
        <f ca="1"/>
        <v>GING*</v>
      </c>
      <c r="M1" s="51" t="str">
        <f ca="1"/>
        <v>LAMP*</v>
      </c>
      <c r="N1" s="51" t="str">
        <f ca="1"/>
        <v>RGN*</v>
      </c>
      <c r="O1" s="51" t="str">
        <f ca="1"/>
        <v>MUSTARD*</v>
      </c>
      <c r="P1" s="51" t="str">
        <f ca="1"/>
        <v>CASTOR 100ML LUP</v>
      </c>
      <c r="Q1" s="51" t="str">
        <f ca="1"/>
        <v>GULAS*</v>
      </c>
      <c r="R1" s="51" t="str">
        <f ca="1"/>
        <v>LUP</v>
      </c>
      <c r="S1" s="51" t="str">
        <f ca="1"/>
        <v>SF*LUP</v>
      </c>
      <c r="T1" s="51" t="str">
        <f ca="1"/>
        <v>GN*LUP</v>
      </c>
      <c r="U1" s="51" t="str">
        <f ca="1"/>
        <v>COC* LUP</v>
      </c>
      <c r="V1" s="51" t="str">
        <f ca="1"/>
        <v>RB*LUP</v>
      </c>
      <c r="W1" s="51" t="str">
        <f ca="1"/>
        <v>GING*LUP</v>
      </c>
      <c r="X1" s="51" t="str">
        <f ca="1"/>
        <v>LAMP*LUP</v>
      </c>
      <c r="Y1" s="51" t="str">
        <f ca="1"/>
        <v>GULAS*LUP</v>
      </c>
      <c r="Z1" s="51" t="str">
        <f ca="1"/>
        <v>GN 5 L</v>
      </c>
      <c r="AA1" s="51" t="str">
        <f ca="1"/>
        <v>SF 5 L</v>
      </c>
      <c r="AB1" s="51" t="str">
        <f ca="1"/>
        <v>COC 5 L</v>
      </c>
      <c r="AC1" s="51" t="str">
        <f ca="1"/>
        <v>RB 5 L</v>
      </c>
      <c r="AD1" s="51" t="str">
        <f ca="1"/>
        <v>GING 5 L</v>
      </c>
      <c r="AE1" s="51" t="str">
        <f ca="1"/>
        <v>RGN 5 L</v>
      </c>
      <c r="AF1" s="51" t="str">
        <f ca="1"/>
        <v>SF COMBO</v>
      </c>
      <c r="AG1" s="51" t="str">
        <f ca="1"/>
        <v>GING 100 ML PET LUP</v>
      </c>
      <c r="AH1" s="51" t="str">
        <f ca="1"/>
        <v>PALM JAGGERY</v>
      </c>
      <c r="AI1" s="51" t="str">
        <f ca="1"/>
        <v>AGARBATTI*</v>
      </c>
      <c r="AJ1" s="51" t="str">
        <f ca="1"/>
        <v>AGARBATTI * LUP</v>
      </c>
      <c r="AK1" s="51" t="str">
        <f ca="1"/>
        <v>AGARBATTI *RS.55</v>
      </c>
      <c r="AL1" s="51" t="str">
        <f ca="1"/>
        <v>DAILY BADAM RS.10 LUP</v>
      </c>
      <c r="AM1" s="51" t="str">
        <f ca="1"/>
        <v>DAILY RAVA 200*</v>
      </c>
      <c r="AN1" s="51" t="str">
        <f ca="1"/>
        <v>DAILY*</v>
      </c>
      <c r="AO1" s="51" t="str">
        <f ca="1"/>
        <v>DAILY GULAB JAMUN</v>
      </c>
      <c r="AP1" s="51" t="str">
        <f ca="1"/>
        <v>DAILY BADAM*</v>
      </c>
      <c r="AQ1" s="51" t="str">
        <f ca="1"/>
        <v>DAILY CHAKKI ATTA*</v>
      </c>
      <c r="AR1" s="51" t="str">
        <f ca="1"/>
        <v>DAILY RAVA*</v>
      </c>
      <c r="AS1" s="51" t="str">
        <f ca="1"/>
        <v>DAILY KOZHUKATTAI*</v>
      </c>
      <c r="AT1" s="51" t="str">
        <f ca="1"/>
        <v>DAILY MAIDA 1KG</v>
      </c>
      <c r="AU1" s="51" t="str">
        <f ca="1"/>
        <v>DAILY SEMIYA 180GM</v>
      </c>
      <c r="AV1" s="51" t="str">
        <f ca="1"/>
        <v>DAILY SAMBA RAVA*</v>
      </c>
      <c r="AW1" s="51" t="str">
        <f ca="1"/>
        <v>GN*PET</v>
      </c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</row>
    <row r="2" spans="1:79" ht="16.5" customHeight="1" x14ac:dyDescent="0.25">
      <c r="B2" s="19" cm="1">
        <f t="array" aca="1" ref="B2:AW111" ca="1">DATA1</f>
        <v>0</v>
      </c>
      <c r="C2" s="21" t="str">
        <f ca="1"/>
        <v>1</v>
      </c>
      <c r="D2" s="21" t="str">
        <f ca="1"/>
        <v>SUN04702</v>
      </c>
      <c r="E2" s="21" t="str">
        <f ca="1"/>
        <v>CHENGAM - A B AGENCIES</v>
      </c>
      <c r="F2" s="21">
        <f ca="1"/>
        <v>0</v>
      </c>
      <c r="G2" s="21">
        <f ca="1"/>
        <v>0</v>
      </c>
      <c r="H2" s="21">
        <f ca="1"/>
        <v>0</v>
      </c>
      <c r="I2" s="21">
        <f ca="1"/>
        <v>0</v>
      </c>
      <c r="J2" s="21">
        <f ca="1"/>
        <v>0</v>
      </c>
      <c r="K2" s="21">
        <f ca="1"/>
        <v>0</v>
      </c>
      <c r="L2" s="21">
        <f ca="1"/>
        <v>0</v>
      </c>
      <c r="M2" s="21">
        <f ca="1"/>
        <v>0</v>
      </c>
      <c r="N2" s="21">
        <f ca="1"/>
        <v>0</v>
      </c>
      <c r="O2" s="21">
        <f ca="1"/>
        <v>0</v>
      </c>
      <c r="P2" s="21">
        <f ca="1"/>
        <v>0</v>
      </c>
      <c r="Q2" s="21">
        <f ca="1"/>
        <v>0</v>
      </c>
      <c r="R2" s="21">
        <f ca="1"/>
        <v>0</v>
      </c>
      <c r="S2" s="21">
        <f ca="1"/>
        <v>0</v>
      </c>
      <c r="T2" s="21">
        <f ca="1"/>
        <v>0</v>
      </c>
      <c r="U2" s="21">
        <f ca="1"/>
        <v>0</v>
      </c>
      <c r="V2" s="21">
        <f ca="1"/>
        <v>0</v>
      </c>
      <c r="W2" s="21">
        <f ca="1"/>
        <v>0</v>
      </c>
      <c r="X2" s="21">
        <f ca="1"/>
        <v>0</v>
      </c>
      <c r="Y2" s="21">
        <f ca="1"/>
        <v>0</v>
      </c>
      <c r="Z2" s="21">
        <f ca="1"/>
        <v>0</v>
      </c>
      <c r="AA2" s="21">
        <f ca="1"/>
        <v>0</v>
      </c>
      <c r="AB2" s="21">
        <f ca="1"/>
        <v>0</v>
      </c>
      <c r="AC2" s="21">
        <f ca="1"/>
        <v>0</v>
      </c>
      <c r="AD2" s="21">
        <f ca="1"/>
        <v>0</v>
      </c>
      <c r="AE2" s="21">
        <f ca="1"/>
        <v>0</v>
      </c>
      <c r="AF2" s="21">
        <f ca="1"/>
        <v>0</v>
      </c>
      <c r="AG2" s="21">
        <f ca="1"/>
        <v>0</v>
      </c>
      <c r="AH2" s="21">
        <f ca="1"/>
        <v>0</v>
      </c>
      <c r="AI2" s="21">
        <f ca="1"/>
        <v>0</v>
      </c>
      <c r="AJ2" s="21">
        <f ca="1"/>
        <v>0</v>
      </c>
      <c r="AK2" s="21">
        <f ca="1"/>
        <v>0</v>
      </c>
      <c r="AL2" s="21">
        <f ca="1"/>
        <v>0</v>
      </c>
      <c r="AM2" s="21">
        <f ca="1"/>
        <v>0</v>
      </c>
      <c r="AN2" s="21">
        <f ca="1"/>
        <v>0</v>
      </c>
      <c r="AO2" s="21">
        <f ca="1"/>
        <v>0</v>
      </c>
      <c r="AP2" s="21">
        <f ca="1"/>
        <v>0</v>
      </c>
      <c r="AQ2" s="21">
        <f ca="1"/>
        <v>0</v>
      </c>
      <c r="AR2" s="21">
        <f ca="1"/>
        <v>0</v>
      </c>
      <c r="AS2" s="21">
        <f ca="1"/>
        <v>0</v>
      </c>
      <c r="AT2" s="21">
        <f ca="1"/>
        <v>0</v>
      </c>
      <c r="AU2" s="21">
        <f ca="1"/>
        <v>0</v>
      </c>
      <c r="AV2" s="21">
        <f ca="1"/>
        <v>0</v>
      </c>
      <c r="AW2" s="21">
        <f ca="1"/>
        <v>0</v>
      </c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</row>
    <row r="3" spans="1:79" x14ac:dyDescent="0.25">
      <c r="B3" s="19">
        <f ca="1"/>
        <v>0</v>
      </c>
      <c r="C3" s="21" t="str">
        <f ca="1"/>
        <v>2</v>
      </c>
      <c r="D3" s="21" t="str">
        <f ca="1"/>
        <v>SUN04712</v>
      </c>
      <c r="E3" s="21" t="str">
        <f ca="1"/>
        <v>TIRUVANNAMALAI- G.K.M.TRADERS</v>
      </c>
      <c r="F3" s="21">
        <f ca="1"/>
        <v>2.0459999999999998</v>
      </c>
      <c r="G3" s="21">
        <f ca="1"/>
        <v>0</v>
      </c>
      <c r="H3" s="21">
        <f ca="1"/>
        <v>0</v>
      </c>
      <c r="I3" s="21">
        <f ca="1"/>
        <v>0</v>
      </c>
      <c r="J3" s="21">
        <f ca="1"/>
        <v>0</v>
      </c>
      <c r="K3" s="21">
        <f ca="1"/>
        <v>0</v>
      </c>
      <c r="L3" s="21">
        <f ca="1"/>
        <v>0</v>
      </c>
      <c r="M3" s="21">
        <f ca="1"/>
        <v>0</v>
      </c>
      <c r="N3" s="21">
        <f ca="1"/>
        <v>0</v>
      </c>
      <c r="O3" s="21">
        <f ca="1"/>
        <v>0</v>
      </c>
      <c r="P3" s="21">
        <f ca="1"/>
        <v>0</v>
      </c>
      <c r="Q3" s="21">
        <f ca="1"/>
        <v>0</v>
      </c>
      <c r="R3" s="21">
        <f ca="1"/>
        <v>0</v>
      </c>
      <c r="S3" s="21">
        <f ca="1"/>
        <v>0</v>
      </c>
      <c r="T3" s="21">
        <f ca="1"/>
        <v>0</v>
      </c>
      <c r="U3" s="21">
        <f ca="1"/>
        <v>0</v>
      </c>
      <c r="V3" s="21">
        <f ca="1"/>
        <v>0</v>
      </c>
      <c r="W3" s="21">
        <f ca="1"/>
        <v>0</v>
      </c>
      <c r="X3" s="21">
        <f ca="1"/>
        <v>0</v>
      </c>
      <c r="Y3" s="21">
        <f ca="1"/>
        <v>0</v>
      </c>
      <c r="Z3" s="21">
        <f ca="1"/>
        <v>0</v>
      </c>
      <c r="AA3" s="21">
        <f ca="1"/>
        <v>0</v>
      </c>
      <c r="AB3" s="21">
        <f ca="1"/>
        <v>0</v>
      </c>
      <c r="AC3" s="21">
        <f ca="1"/>
        <v>0</v>
      </c>
      <c r="AD3" s="21">
        <f ca="1"/>
        <v>0</v>
      </c>
      <c r="AE3" s="21">
        <f ca="1"/>
        <v>0</v>
      </c>
      <c r="AF3" s="21">
        <f ca="1"/>
        <v>0</v>
      </c>
      <c r="AG3" s="21">
        <f ca="1"/>
        <v>0</v>
      </c>
      <c r="AH3" s="21">
        <f ca="1"/>
        <v>0</v>
      </c>
      <c r="AI3" s="21">
        <f ca="1"/>
        <v>0</v>
      </c>
      <c r="AJ3" s="21">
        <f ca="1"/>
        <v>0</v>
      </c>
      <c r="AK3" s="21">
        <f ca="1"/>
        <v>0</v>
      </c>
      <c r="AL3" s="21">
        <f ca="1"/>
        <v>0</v>
      </c>
      <c r="AM3" s="21">
        <f ca="1"/>
        <v>0</v>
      </c>
      <c r="AN3" s="21">
        <f ca="1"/>
        <v>0</v>
      </c>
      <c r="AO3" s="21">
        <f ca="1"/>
        <v>0</v>
      </c>
      <c r="AP3" s="21">
        <f ca="1"/>
        <v>0</v>
      </c>
      <c r="AQ3" s="21">
        <f ca="1"/>
        <v>0</v>
      </c>
      <c r="AR3" s="21">
        <f ca="1"/>
        <v>0</v>
      </c>
      <c r="AS3" s="21">
        <f ca="1"/>
        <v>0</v>
      </c>
      <c r="AT3" s="21">
        <f ca="1"/>
        <v>0</v>
      </c>
      <c r="AU3" s="21">
        <f ca="1"/>
        <v>0</v>
      </c>
      <c r="AV3" s="21">
        <f ca="1"/>
        <v>0</v>
      </c>
      <c r="AW3" s="21">
        <f ca="1"/>
        <v>0</v>
      </c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</row>
    <row r="4" spans="1:79" x14ac:dyDescent="0.25">
      <c r="B4" s="19">
        <f ca="1"/>
        <v>0</v>
      </c>
      <c r="C4" s="21" t="str">
        <f ca="1"/>
        <v>3</v>
      </c>
      <c r="D4" s="21" t="str">
        <f ca="1"/>
        <v>SUN06947</v>
      </c>
      <c r="E4" s="21" t="str">
        <f ca="1"/>
        <v>TIRUVANNAMALAI-C.SAMSUDEEN MALIGAI</v>
      </c>
      <c r="F4" s="21">
        <f ca="1"/>
        <v>0</v>
      </c>
      <c r="G4" s="21">
        <f ca="1"/>
        <v>0</v>
      </c>
      <c r="H4" s="21">
        <f ca="1"/>
        <v>0</v>
      </c>
      <c r="I4" s="21">
        <f ca="1"/>
        <v>0</v>
      </c>
      <c r="J4" s="21">
        <f ca="1"/>
        <v>0</v>
      </c>
      <c r="K4" s="21">
        <f ca="1"/>
        <v>0</v>
      </c>
      <c r="L4" s="21">
        <f ca="1"/>
        <v>0</v>
      </c>
      <c r="M4" s="21">
        <f ca="1"/>
        <v>0</v>
      </c>
      <c r="N4" s="21">
        <f ca="1"/>
        <v>0</v>
      </c>
      <c r="O4" s="21">
        <f ca="1"/>
        <v>0</v>
      </c>
      <c r="P4" s="21">
        <f ca="1"/>
        <v>0</v>
      </c>
      <c r="Q4" s="21">
        <f ca="1"/>
        <v>0</v>
      </c>
      <c r="R4" s="21">
        <f ca="1"/>
        <v>0</v>
      </c>
      <c r="S4" s="21">
        <f ca="1"/>
        <v>0</v>
      </c>
      <c r="T4" s="21">
        <f ca="1"/>
        <v>0</v>
      </c>
      <c r="U4" s="21">
        <f ca="1"/>
        <v>0</v>
      </c>
      <c r="V4" s="21">
        <f ca="1"/>
        <v>0</v>
      </c>
      <c r="W4" s="21">
        <f ca="1"/>
        <v>0</v>
      </c>
      <c r="X4" s="21">
        <f ca="1"/>
        <v>0</v>
      </c>
      <c r="Y4" s="21">
        <f ca="1"/>
        <v>0</v>
      </c>
      <c r="Z4" s="21">
        <f ca="1"/>
        <v>0</v>
      </c>
      <c r="AA4" s="21">
        <f ca="1"/>
        <v>0</v>
      </c>
      <c r="AB4" s="21">
        <f ca="1"/>
        <v>0</v>
      </c>
      <c r="AC4" s="21">
        <f ca="1"/>
        <v>0</v>
      </c>
      <c r="AD4" s="21">
        <f ca="1"/>
        <v>0</v>
      </c>
      <c r="AE4" s="21">
        <f ca="1"/>
        <v>0</v>
      </c>
      <c r="AF4" s="21">
        <f ca="1"/>
        <v>0</v>
      </c>
      <c r="AG4" s="21">
        <f ca="1"/>
        <v>0</v>
      </c>
      <c r="AH4" s="21">
        <f ca="1"/>
        <v>0</v>
      </c>
      <c r="AI4" s="21">
        <f ca="1"/>
        <v>0</v>
      </c>
      <c r="AJ4" s="21">
        <f ca="1"/>
        <v>0</v>
      </c>
      <c r="AK4" s="21">
        <f ca="1"/>
        <v>0</v>
      </c>
      <c r="AL4" s="21">
        <f ca="1"/>
        <v>0</v>
      </c>
      <c r="AM4" s="21">
        <f ca="1"/>
        <v>0</v>
      </c>
      <c r="AN4" s="21">
        <f ca="1"/>
        <v>0</v>
      </c>
      <c r="AO4" s="21">
        <f ca="1"/>
        <v>0</v>
      </c>
      <c r="AP4" s="21">
        <f ca="1"/>
        <v>0</v>
      </c>
      <c r="AQ4" s="21">
        <f ca="1"/>
        <v>0</v>
      </c>
      <c r="AR4" s="21">
        <f ca="1"/>
        <v>0</v>
      </c>
      <c r="AS4" s="21">
        <f ca="1"/>
        <v>0</v>
      </c>
      <c r="AT4" s="21">
        <f ca="1"/>
        <v>0</v>
      </c>
      <c r="AU4" s="21">
        <f ca="1"/>
        <v>0</v>
      </c>
      <c r="AV4" s="21">
        <f ca="1"/>
        <v>0</v>
      </c>
      <c r="AW4" s="21">
        <f ca="1"/>
        <v>0</v>
      </c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</row>
    <row r="5" spans="1:79" x14ac:dyDescent="0.25">
      <c r="B5" s="19">
        <f ca="1"/>
        <v>0</v>
      </c>
      <c r="C5" s="21" t="str">
        <f ca="1"/>
        <v>4</v>
      </c>
      <c r="D5" s="21" t="str">
        <f ca="1"/>
        <v>SUN04873</v>
      </c>
      <c r="E5" s="21" t="str">
        <f ca="1"/>
        <v>TIRUVANNAMALAI-PVS PROVISIONS</v>
      </c>
      <c r="F5" s="21">
        <f ca="1"/>
        <v>0</v>
      </c>
      <c r="G5" s="21">
        <f ca="1"/>
        <v>0</v>
      </c>
      <c r="H5" s="21">
        <f ca="1"/>
        <v>0</v>
      </c>
      <c r="I5" s="21">
        <f ca="1"/>
        <v>0</v>
      </c>
      <c r="J5" s="21">
        <f ca="1"/>
        <v>0</v>
      </c>
      <c r="K5" s="21">
        <f ca="1"/>
        <v>0</v>
      </c>
      <c r="L5" s="21">
        <f ca="1"/>
        <v>0</v>
      </c>
      <c r="M5" s="21">
        <f ca="1"/>
        <v>0</v>
      </c>
      <c r="N5" s="21">
        <f ca="1"/>
        <v>0</v>
      </c>
      <c r="O5" s="21">
        <f ca="1"/>
        <v>0</v>
      </c>
      <c r="P5" s="21">
        <f ca="1"/>
        <v>0</v>
      </c>
      <c r="Q5" s="21">
        <f ca="1"/>
        <v>0</v>
      </c>
      <c r="R5" s="21">
        <f ca="1"/>
        <v>0</v>
      </c>
      <c r="S5" s="21">
        <f ca="1"/>
        <v>0</v>
      </c>
      <c r="T5" s="21">
        <f ca="1"/>
        <v>0</v>
      </c>
      <c r="U5" s="21">
        <f ca="1"/>
        <v>0</v>
      </c>
      <c r="V5" s="21">
        <f ca="1"/>
        <v>0</v>
      </c>
      <c r="W5" s="21">
        <f ca="1"/>
        <v>0</v>
      </c>
      <c r="X5" s="21">
        <f ca="1"/>
        <v>0</v>
      </c>
      <c r="Y5" s="21">
        <f ca="1"/>
        <v>0</v>
      </c>
      <c r="Z5" s="21">
        <f ca="1"/>
        <v>0</v>
      </c>
      <c r="AA5" s="21">
        <f ca="1"/>
        <v>0</v>
      </c>
      <c r="AB5" s="21">
        <f ca="1"/>
        <v>0</v>
      </c>
      <c r="AC5" s="21">
        <f ca="1"/>
        <v>0</v>
      </c>
      <c r="AD5" s="21">
        <f ca="1"/>
        <v>0</v>
      </c>
      <c r="AE5" s="21">
        <f ca="1"/>
        <v>0</v>
      </c>
      <c r="AF5" s="21">
        <f ca="1"/>
        <v>0</v>
      </c>
      <c r="AG5" s="21">
        <f ca="1"/>
        <v>0</v>
      </c>
      <c r="AH5" s="21">
        <f ca="1"/>
        <v>0</v>
      </c>
      <c r="AI5" s="21">
        <f ca="1"/>
        <v>0</v>
      </c>
      <c r="AJ5" s="21">
        <f ca="1"/>
        <v>0</v>
      </c>
      <c r="AK5" s="21">
        <f ca="1"/>
        <v>0</v>
      </c>
      <c r="AL5" s="21">
        <f ca="1"/>
        <v>0</v>
      </c>
      <c r="AM5" s="21">
        <f ca="1"/>
        <v>0</v>
      </c>
      <c r="AN5" s="21">
        <f ca="1"/>
        <v>0</v>
      </c>
      <c r="AO5" s="21">
        <f ca="1"/>
        <v>0</v>
      </c>
      <c r="AP5" s="21">
        <f ca="1"/>
        <v>0</v>
      </c>
      <c r="AQ5" s="21">
        <f ca="1"/>
        <v>0</v>
      </c>
      <c r="AR5" s="21">
        <f ca="1"/>
        <v>0</v>
      </c>
      <c r="AS5" s="21">
        <f ca="1"/>
        <v>0</v>
      </c>
      <c r="AT5" s="21">
        <f ca="1"/>
        <v>0</v>
      </c>
      <c r="AU5" s="21">
        <f ca="1"/>
        <v>0</v>
      </c>
      <c r="AV5" s="21">
        <f ca="1"/>
        <v>0</v>
      </c>
      <c r="AW5" s="21">
        <f ca="1"/>
        <v>0</v>
      </c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</row>
    <row r="6" spans="1:79" x14ac:dyDescent="0.25">
      <c r="B6" s="19">
        <f ca="1"/>
        <v>0</v>
      </c>
      <c r="C6" s="21" t="str">
        <f ca="1"/>
        <v>5</v>
      </c>
      <c r="D6" s="21" t="str">
        <f ca="1"/>
        <v>SUN04717</v>
      </c>
      <c r="E6" s="21" t="str">
        <f ca="1"/>
        <v>GINGEE - SRI UMAYAL AGENCY</v>
      </c>
      <c r="F6" s="21">
        <f ca="1"/>
        <v>1.002</v>
      </c>
      <c r="G6" s="21">
        <f ca="1"/>
        <v>0</v>
      </c>
      <c r="H6" s="21">
        <f ca="1"/>
        <v>0</v>
      </c>
      <c r="I6" s="21">
        <f ca="1"/>
        <v>0</v>
      </c>
      <c r="J6" s="21">
        <f ca="1"/>
        <v>0</v>
      </c>
      <c r="K6" s="21">
        <f ca="1"/>
        <v>0</v>
      </c>
      <c r="L6" s="21">
        <f ca="1"/>
        <v>0</v>
      </c>
      <c r="M6" s="21">
        <f ca="1"/>
        <v>0</v>
      </c>
      <c r="N6" s="21">
        <f ca="1"/>
        <v>0</v>
      </c>
      <c r="O6" s="21">
        <f ca="1"/>
        <v>0</v>
      </c>
      <c r="P6" s="21">
        <f ca="1"/>
        <v>0</v>
      </c>
      <c r="Q6" s="21">
        <f ca="1"/>
        <v>0</v>
      </c>
      <c r="R6" s="21">
        <f ca="1"/>
        <v>0</v>
      </c>
      <c r="S6" s="21">
        <f ca="1"/>
        <v>0</v>
      </c>
      <c r="T6" s="21">
        <f ca="1"/>
        <v>0</v>
      </c>
      <c r="U6" s="21">
        <f ca="1"/>
        <v>0</v>
      </c>
      <c r="V6" s="21">
        <f ca="1"/>
        <v>0</v>
      </c>
      <c r="W6" s="21">
        <f ca="1"/>
        <v>0</v>
      </c>
      <c r="X6" s="21">
        <f ca="1"/>
        <v>0</v>
      </c>
      <c r="Y6" s="21">
        <f ca="1"/>
        <v>0</v>
      </c>
      <c r="Z6" s="21">
        <f ca="1"/>
        <v>0</v>
      </c>
      <c r="AA6" s="21">
        <f ca="1"/>
        <v>0</v>
      </c>
      <c r="AB6" s="21">
        <f ca="1"/>
        <v>0</v>
      </c>
      <c r="AC6" s="21">
        <f ca="1"/>
        <v>0</v>
      </c>
      <c r="AD6" s="21">
        <f ca="1"/>
        <v>0</v>
      </c>
      <c r="AE6" s="21">
        <f ca="1"/>
        <v>0</v>
      </c>
      <c r="AF6" s="21">
        <f ca="1"/>
        <v>0</v>
      </c>
      <c r="AG6" s="21">
        <f ca="1"/>
        <v>0</v>
      </c>
      <c r="AH6" s="21">
        <f ca="1"/>
        <v>0</v>
      </c>
      <c r="AI6" s="21">
        <f ca="1"/>
        <v>0</v>
      </c>
      <c r="AJ6" s="21">
        <f ca="1"/>
        <v>0</v>
      </c>
      <c r="AK6" s="21">
        <f ca="1"/>
        <v>0</v>
      </c>
      <c r="AL6" s="21">
        <f ca="1"/>
        <v>0</v>
      </c>
      <c r="AM6" s="21">
        <f ca="1"/>
        <v>0</v>
      </c>
      <c r="AN6" s="21">
        <f ca="1"/>
        <v>0</v>
      </c>
      <c r="AO6" s="21">
        <f ca="1"/>
        <v>0</v>
      </c>
      <c r="AP6" s="21">
        <f ca="1"/>
        <v>0</v>
      </c>
      <c r="AQ6" s="21">
        <f ca="1"/>
        <v>0</v>
      </c>
      <c r="AR6" s="21">
        <f ca="1"/>
        <v>0</v>
      </c>
      <c r="AS6" s="21">
        <f ca="1"/>
        <v>0</v>
      </c>
      <c r="AT6" s="21">
        <f ca="1"/>
        <v>0</v>
      </c>
      <c r="AU6" s="21">
        <f ca="1"/>
        <v>0</v>
      </c>
      <c r="AV6" s="21">
        <f ca="1"/>
        <v>0</v>
      </c>
      <c r="AW6" s="21">
        <f ca="1"/>
        <v>0</v>
      </c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</row>
    <row r="7" spans="1:79" x14ac:dyDescent="0.25">
      <c r="B7" s="19">
        <f ca="1"/>
        <v>0</v>
      </c>
      <c r="C7" s="21" t="str">
        <f ca="1"/>
        <v>6</v>
      </c>
      <c r="D7" s="21" t="str">
        <f ca="1"/>
        <v>SUN06342</v>
      </c>
      <c r="E7" s="21" t="str">
        <f ca="1"/>
        <v>ATTUR - M R AGENCY</v>
      </c>
      <c r="F7" s="21">
        <f ca="1"/>
        <v>0.79</v>
      </c>
      <c r="G7" s="21">
        <f ca="1"/>
        <v>0</v>
      </c>
      <c r="H7" s="21">
        <f ca="1"/>
        <v>0</v>
      </c>
      <c r="I7" s="21">
        <f ca="1"/>
        <v>0</v>
      </c>
      <c r="J7" s="21">
        <f ca="1"/>
        <v>0</v>
      </c>
      <c r="K7" s="21">
        <f ca="1"/>
        <v>0</v>
      </c>
      <c r="L7" s="21">
        <f ca="1"/>
        <v>0</v>
      </c>
      <c r="M7" s="21">
        <f ca="1"/>
        <v>0</v>
      </c>
      <c r="N7" s="21">
        <f ca="1"/>
        <v>0</v>
      </c>
      <c r="O7" s="21">
        <f ca="1"/>
        <v>0</v>
      </c>
      <c r="P7" s="21">
        <f ca="1"/>
        <v>0</v>
      </c>
      <c r="Q7" s="21">
        <f ca="1"/>
        <v>0</v>
      </c>
      <c r="R7" s="21">
        <f ca="1"/>
        <v>0</v>
      </c>
      <c r="S7" s="21">
        <f ca="1"/>
        <v>0</v>
      </c>
      <c r="T7" s="21">
        <f ca="1"/>
        <v>0</v>
      </c>
      <c r="U7" s="21">
        <f ca="1"/>
        <v>0</v>
      </c>
      <c r="V7" s="21">
        <f ca="1"/>
        <v>0</v>
      </c>
      <c r="W7" s="21">
        <f ca="1"/>
        <v>0</v>
      </c>
      <c r="X7" s="21">
        <f ca="1"/>
        <v>0</v>
      </c>
      <c r="Y7" s="21">
        <f ca="1"/>
        <v>0</v>
      </c>
      <c r="Z7" s="21">
        <f ca="1"/>
        <v>0</v>
      </c>
      <c r="AA7" s="21">
        <f ca="1"/>
        <v>0</v>
      </c>
      <c r="AB7" s="21">
        <f ca="1"/>
        <v>0</v>
      </c>
      <c r="AC7" s="21">
        <f ca="1"/>
        <v>0</v>
      </c>
      <c r="AD7" s="21">
        <f ca="1"/>
        <v>0</v>
      </c>
      <c r="AE7" s="21">
        <f ca="1"/>
        <v>0</v>
      </c>
      <c r="AF7" s="21">
        <f ca="1"/>
        <v>0</v>
      </c>
      <c r="AG7" s="21">
        <f ca="1"/>
        <v>0</v>
      </c>
      <c r="AH7" s="21">
        <f ca="1"/>
        <v>0</v>
      </c>
      <c r="AI7" s="21">
        <f ca="1"/>
        <v>0</v>
      </c>
      <c r="AJ7" s="21">
        <f ca="1"/>
        <v>0</v>
      </c>
      <c r="AK7" s="21">
        <f ca="1"/>
        <v>0</v>
      </c>
      <c r="AL7" s="21">
        <f ca="1"/>
        <v>0</v>
      </c>
      <c r="AM7" s="21">
        <f ca="1"/>
        <v>0</v>
      </c>
      <c r="AN7" s="21">
        <f ca="1"/>
        <v>0</v>
      </c>
      <c r="AO7" s="21">
        <f ca="1"/>
        <v>0</v>
      </c>
      <c r="AP7" s="21">
        <f ca="1"/>
        <v>0</v>
      </c>
      <c r="AQ7" s="21">
        <f ca="1"/>
        <v>0</v>
      </c>
      <c r="AR7" s="21">
        <f ca="1"/>
        <v>0</v>
      </c>
      <c r="AS7" s="21">
        <f ca="1"/>
        <v>0</v>
      </c>
      <c r="AT7" s="21">
        <f ca="1"/>
        <v>0</v>
      </c>
      <c r="AU7" s="21">
        <f ca="1"/>
        <v>0</v>
      </c>
      <c r="AV7" s="21">
        <f ca="1"/>
        <v>0</v>
      </c>
      <c r="AW7" s="21">
        <f ca="1"/>
        <v>0</v>
      </c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</row>
    <row r="8" spans="1:79" x14ac:dyDescent="0.25">
      <c r="B8" s="19">
        <f ca="1"/>
        <v>0</v>
      </c>
      <c r="C8" s="21" t="str">
        <f ca="1"/>
        <v>7</v>
      </c>
      <c r="D8" s="21" t="str">
        <f ca="1"/>
        <v>SUN06029</v>
      </c>
      <c r="E8" s="21" t="str">
        <f ca="1"/>
        <v>TIRUKKOYILUR-SRINITHI ENTERPRISES</v>
      </c>
      <c r="F8" s="21">
        <f ca="1"/>
        <v>1.546</v>
      </c>
      <c r="G8" s="21">
        <f ca="1"/>
        <v>0</v>
      </c>
      <c r="H8" s="21">
        <f ca="1"/>
        <v>0</v>
      </c>
      <c r="I8" s="21">
        <f ca="1"/>
        <v>16</v>
      </c>
      <c r="J8" s="21">
        <f ca="1"/>
        <v>0</v>
      </c>
      <c r="K8" s="21">
        <f ca="1"/>
        <v>0</v>
      </c>
      <c r="L8" s="21">
        <f ca="1"/>
        <v>16</v>
      </c>
      <c r="M8" s="21">
        <f ca="1"/>
        <v>0</v>
      </c>
      <c r="N8" s="21">
        <f ca="1"/>
        <v>0</v>
      </c>
      <c r="O8" s="21">
        <f ca="1"/>
        <v>0</v>
      </c>
      <c r="P8" s="21">
        <f ca="1"/>
        <v>0</v>
      </c>
      <c r="Q8" s="21">
        <f ca="1"/>
        <v>0</v>
      </c>
      <c r="R8" s="21">
        <f ca="1"/>
        <v>0</v>
      </c>
      <c r="S8" s="21">
        <f ca="1"/>
        <v>0</v>
      </c>
      <c r="T8" s="21">
        <f ca="1"/>
        <v>0</v>
      </c>
      <c r="U8" s="21">
        <f ca="1"/>
        <v>0</v>
      </c>
      <c r="V8" s="21">
        <f ca="1"/>
        <v>0</v>
      </c>
      <c r="W8" s="21">
        <f ca="1"/>
        <v>0</v>
      </c>
      <c r="X8" s="21">
        <f ca="1"/>
        <v>0</v>
      </c>
      <c r="Y8" s="21">
        <f ca="1"/>
        <v>0</v>
      </c>
      <c r="Z8" s="21">
        <f ca="1"/>
        <v>0</v>
      </c>
      <c r="AA8" s="21">
        <f ca="1"/>
        <v>0</v>
      </c>
      <c r="AB8" s="21">
        <f ca="1"/>
        <v>0</v>
      </c>
      <c r="AC8" s="21">
        <f ca="1"/>
        <v>0</v>
      </c>
      <c r="AD8" s="21">
        <f ca="1"/>
        <v>0</v>
      </c>
      <c r="AE8" s="21">
        <f ca="1"/>
        <v>0</v>
      </c>
      <c r="AF8" s="21">
        <f ca="1"/>
        <v>0</v>
      </c>
      <c r="AG8" s="21">
        <f ca="1"/>
        <v>0</v>
      </c>
      <c r="AH8" s="21">
        <f ca="1"/>
        <v>0</v>
      </c>
      <c r="AI8" s="21">
        <f ca="1"/>
        <v>0</v>
      </c>
      <c r="AJ8" s="21">
        <f ca="1"/>
        <v>0</v>
      </c>
      <c r="AK8" s="21">
        <f ca="1"/>
        <v>0</v>
      </c>
      <c r="AL8" s="21">
        <f ca="1"/>
        <v>0</v>
      </c>
      <c r="AM8" s="21">
        <f ca="1"/>
        <v>0</v>
      </c>
      <c r="AN8" s="21">
        <f ca="1"/>
        <v>40</v>
      </c>
      <c r="AO8" s="21">
        <f ca="1"/>
        <v>0</v>
      </c>
      <c r="AP8" s="21">
        <f ca="1"/>
        <v>0</v>
      </c>
      <c r="AQ8" s="21">
        <f ca="1"/>
        <v>0</v>
      </c>
      <c r="AR8" s="21">
        <f ca="1"/>
        <v>0</v>
      </c>
      <c r="AS8" s="21">
        <f ca="1"/>
        <v>0</v>
      </c>
      <c r="AT8" s="21">
        <f ca="1"/>
        <v>0</v>
      </c>
      <c r="AU8" s="21">
        <f ca="1"/>
        <v>0</v>
      </c>
      <c r="AV8" s="21">
        <f ca="1"/>
        <v>0</v>
      </c>
      <c r="AW8" s="21">
        <f ca="1"/>
        <v>0</v>
      </c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</row>
    <row r="9" spans="1:79" x14ac:dyDescent="0.25">
      <c r="B9" s="19">
        <f ca="1"/>
        <v>0</v>
      </c>
      <c r="C9" s="21" t="str">
        <f ca="1"/>
        <v>8</v>
      </c>
      <c r="D9" s="21" t="str">
        <f ca="1"/>
        <v>SUN06870</v>
      </c>
      <c r="E9" s="21" t="str">
        <f ca="1"/>
        <v>GINGEE-YUVARAJ</v>
      </c>
      <c r="F9" s="21">
        <f ca="1"/>
        <v>0</v>
      </c>
      <c r="G9" s="21">
        <f ca="1"/>
        <v>0</v>
      </c>
      <c r="H9" s="21">
        <f ca="1"/>
        <v>0</v>
      </c>
      <c r="I9" s="21">
        <f ca="1"/>
        <v>0</v>
      </c>
      <c r="J9" s="21">
        <f ca="1"/>
        <v>0</v>
      </c>
      <c r="K9" s="21">
        <f ca="1"/>
        <v>0</v>
      </c>
      <c r="L9" s="21">
        <f ca="1"/>
        <v>0</v>
      </c>
      <c r="M9" s="21">
        <f ca="1"/>
        <v>0</v>
      </c>
      <c r="N9" s="21">
        <f ca="1"/>
        <v>0</v>
      </c>
      <c r="O9" s="21">
        <f ca="1"/>
        <v>0</v>
      </c>
      <c r="P9" s="21">
        <f ca="1"/>
        <v>0</v>
      </c>
      <c r="Q9" s="21">
        <f ca="1"/>
        <v>0</v>
      </c>
      <c r="R9" s="21">
        <f ca="1"/>
        <v>0</v>
      </c>
      <c r="S9" s="21">
        <f ca="1"/>
        <v>0</v>
      </c>
      <c r="T9" s="21">
        <f ca="1"/>
        <v>0</v>
      </c>
      <c r="U9" s="21">
        <f ca="1"/>
        <v>0</v>
      </c>
      <c r="V9" s="21">
        <f ca="1"/>
        <v>0</v>
      </c>
      <c r="W9" s="21">
        <f ca="1"/>
        <v>0</v>
      </c>
      <c r="X9" s="21">
        <f ca="1"/>
        <v>0</v>
      </c>
      <c r="Y9" s="21">
        <f ca="1"/>
        <v>0</v>
      </c>
      <c r="Z9" s="21">
        <f ca="1"/>
        <v>0</v>
      </c>
      <c r="AA9" s="21">
        <f ca="1"/>
        <v>0</v>
      </c>
      <c r="AB9" s="21">
        <f ca="1"/>
        <v>0</v>
      </c>
      <c r="AC9" s="21">
        <f ca="1"/>
        <v>0</v>
      </c>
      <c r="AD9" s="21">
        <f ca="1"/>
        <v>0</v>
      </c>
      <c r="AE9" s="21">
        <f ca="1"/>
        <v>0</v>
      </c>
      <c r="AF9" s="21">
        <f ca="1"/>
        <v>0</v>
      </c>
      <c r="AG9" s="21">
        <f ca="1"/>
        <v>0</v>
      </c>
      <c r="AH9" s="21">
        <f ca="1"/>
        <v>0</v>
      </c>
      <c r="AI9" s="21">
        <f ca="1"/>
        <v>0</v>
      </c>
      <c r="AJ9" s="21">
        <f ca="1"/>
        <v>0</v>
      </c>
      <c r="AK9" s="21">
        <f ca="1"/>
        <v>0</v>
      </c>
      <c r="AL9" s="21">
        <f ca="1"/>
        <v>0</v>
      </c>
      <c r="AM9" s="21">
        <f ca="1"/>
        <v>0</v>
      </c>
      <c r="AN9" s="21">
        <f ca="1"/>
        <v>0</v>
      </c>
      <c r="AO9" s="21">
        <f ca="1"/>
        <v>0</v>
      </c>
      <c r="AP9" s="21">
        <f ca="1"/>
        <v>0</v>
      </c>
      <c r="AQ9" s="21">
        <f ca="1"/>
        <v>0</v>
      </c>
      <c r="AR9" s="21">
        <f ca="1"/>
        <v>0</v>
      </c>
      <c r="AS9" s="21">
        <f ca="1"/>
        <v>0</v>
      </c>
      <c r="AT9" s="21">
        <f ca="1"/>
        <v>0</v>
      </c>
      <c r="AU9" s="21">
        <f ca="1"/>
        <v>0</v>
      </c>
      <c r="AV9" s="21">
        <f ca="1"/>
        <v>0</v>
      </c>
      <c r="AW9" s="21">
        <f ca="1"/>
        <v>0</v>
      </c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</row>
    <row r="10" spans="1:79" x14ac:dyDescent="0.25">
      <c r="B10" s="19">
        <f ca="1"/>
        <v>0</v>
      </c>
      <c r="C10" s="21" t="str">
        <f ca="1"/>
        <v>9</v>
      </c>
      <c r="D10" s="21" t="str">
        <f ca="1"/>
        <v>SUN01151</v>
      </c>
      <c r="E10" s="21" t="str">
        <f ca="1"/>
        <v>GINGEE VRG AGENCY</v>
      </c>
      <c r="F10" s="21">
        <f ca="1"/>
        <v>0</v>
      </c>
      <c r="G10" s="21">
        <f ca="1"/>
        <v>0</v>
      </c>
      <c r="H10" s="21">
        <f ca="1"/>
        <v>0</v>
      </c>
      <c r="I10" s="21">
        <f ca="1"/>
        <v>0</v>
      </c>
      <c r="J10" s="21">
        <f ca="1"/>
        <v>0</v>
      </c>
      <c r="K10" s="21">
        <f ca="1"/>
        <v>0</v>
      </c>
      <c r="L10" s="21">
        <f ca="1"/>
        <v>0</v>
      </c>
      <c r="M10" s="21">
        <f ca="1"/>
        <v>0</v>
      </c>
      <c r="N10" s="21">
        <f ca="1"/>
        <v>0</v>
      </c>
      <c r="O10" s="21">
        <f ca="1"/>
        <v>0</v>
      </c>
      <c r="P10" s="21">
        <f ca="1"/>
        <v>0</v>
      </c>
      <c r="Q10" s="21">
        <f ca="1"/>
        <v>0</v>
      </c>
      <c r="R10" s="21">
        <f ca="1"/>
        <v>0</v>
      </c>
      <c r="S10" s="21">
        <f ca="1"/>
        <v>0</v>
      </c>
      <c r="T10" s="21">
        <f ca="1"/>
        <v>0</v>
      </c>
      <c r="U10" s="21">
        <f ca="1"/>
        <v>0</v>
      </c>
      <c r="V10" s="21">
        <f ca="1"/>
        <v>0</v>
      </c>
      <c r="W10" s="21">
        <f ca="1"/>
        <v>0</v>
      </c>
      <c r="X10" s="21">
        <f ca="1"/>
        <v>0</v>
      </c>
      <c r="Y10" s="21">
        <f ca="1"/>
        <v>0</v>
      </c>
      <c r="Z10" s="21">
        <f ca="1"/>
        <v>0</v>
      </c>
      <c r="AA10" s="21">
        <f ca="1"/>
        <v>0</v>
      </c>
      <c r="AB10" s="21">
        <f ca="1"/>
        <v>0</v>
      </c>
      <c r="AC10" s="21">
        <f ca="1"/>
        <v>0</v>
      </c>
      <c r="AD10" s="21">
        <f ca="1"/>
        <v>0</v>
      </c>
      <c r="AE10" s="21">
        <f ca="1"/>
        <v>0</v>
      </c>
      <c r="AF10" s="21">
        <f ca="1"/>
        <v>0</v>
      </c>
      <c r="AG10" s="21">
        <f ca="1"/>
        <v>0</v>
      </c>
      <c r="AH10" s="21">
        <f ca="1"/>
        <v>0</v>
      </c>
      <c r="AI10" s="21">
        <f ca="1"/>
        <v>0</v>
      </c>
      <c r="AJ10" s="21">
        <f ca="1"/>
        <v>0</v>
      </c>
      <c r="AK10" s="21">
        <f ca="1"/>
        <v>0</v>
      </c>
      <c r="AL10" s="21">
        <f ca="1"/>
        <v>0</v>
      </c>
      <c r="AM10" s="21">
        <f ca="1"/>
        <v>0</v>
      </c>
      <c r="AN10" s="21">
        <f ca="1"/>
        <v>0</v>
      </c>
      <c r="AO10" s="21">
        <f ca="1"/>
        <v>0</v>
      </c>
      <c r="AP10" s="21">
        <f ca="1"/>
        <v>0</v>
      </c>
      <c r="AQ10" s="21">
        <f ca="1"/>
        <v>0</v>
      </c>
      <c r="AR10" s="21">
        <f ca="1"/>
        <v>0</v>
      </c>
      <c r="AS10" s="21">
        <f ca="1"/>
        <v>0</v>
      </c>
      <c r="AT10" s="21">
        <f ca="1"/>
        <v>0</v>
      </c>
      <c r="AU10" s="21">
        <f ca="1"/>
        <v>0</v>
      </c>
      <c r="AV10" s="21">
        <f ca="1"/>
        <v>0</v>
      </c>
      <c r="AW10" s="21">
        <f ca="1"/>
        <v>0</v>
      </c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</row>
    <row r="11" spans="1:79" x14ac:dyDescent="0.25">
      <c r="B11" s="19">
        <f ca="1"/>
        <v>0</v>
      </c>
      <c r="C11" s="21" t="str">
        <f ca="1"/>
        <v>10</v>
      </c>
      <c r="D11" s="21" t="str">
        <f ca="1"/>
        <v>SUN06631</v>
      </c>
      <c r="E11" s="21" t="str">
        <f ca="1"/>
        <v>GINGEE-B H K MALIGAI STORE</v>
      </c>
      <c r="F11" s="21">
        <f ca="1"/>
        <v>0</v>
      </c>
      <c r="G11" s="21">
        <f ca="1"/>
        <v>0</v>
      </c>
      <c r="H11" s="21">
        <f ca="1"/>
        <v>0</v>
      </c>
      <c r="I11" s="21">
        <f ca="1"/>
        <v>0</v>
      </c>
      <c r="J11" s="21">
        <f ca="1"/>
        <v>0</v>
      </c>
      <c r="K11" s="21">
        <f ca="1"/>
        <v>0</v>
      </c>
      <c r="L11" s="21">
        <f ca="1"/>
        <v>0</v>
      </c>
      <c r="M11" s="21">
        <f ca="1"/>
        <v>0</v>
      </c>
      <c r="N11" s="21">
        <f ca="1"/>
        <v>0</v>
      </c>
      <c r="O11" s="21">
        <f ca="1"/>
        <v>0</v>
      </c>
      <c r="P11" s="21">
        <f ca="1"/>
        <v>0</v>
      </c>
      <c r="Q11" s="21">
        <f ca="1"/>
        <v>0</v>
      </c>
      <c r="R11" s="21">
        <f ca="1"/>
        <v>0</v>
      </c>
      <c r="S11" s="21">
        <f ca="1"/>
        <v>0</v>
      </c>
      <c r="T11" s="21">
        <f ca="1"/>
        <v>0</v>
      </c>
      <c r="U11" s="21">
        <f ca="1"/>
        <v>0</v>
      </c>
      <c r="V11" s="21">
        <f ca="1"/>
        <v>0</v>
      </c>
      <c r="W11" s="21">
        <f ca="1"/>
        <v>0</v>
      </c>
      <c r="X11" s="21">
        <f ca="1"/>
        <v>0</v>
      </c>
      <c r="Y11" s="21">
        <f ca="1"/>
        <v>0</v>
      </c>
      <c r="Z11" s="21">
        <f ca="1"/>
        <v>0</v>
      </c>
      <c r="AA11" s="21">
        <f ca="1"/>
        <v>0</v>
      </c>
      <c r="AB11" s="21">
        <f ca="1"/>
        <v>0</v>
      </c>
      <c r="AC11" s="21">
        <f ca="1"/>
        <v>0</v>
      </c>
      <c r="AD11" s="21">
        <f ca="1"/>
        <v>0</v>
      </c>
      <c r="AE11" s="21">
        <f ca="1"/>
        <v>0</v>
      </c>
      <c r="AF11" s="21">
        <f ca="1"/>
        <v>0</v>
      </c>
      <c r="AG11" s="21">
        <f ca="1"/>
        <v>0</v>
      </c>
      <c r="AH11" s="21">
        <f ca="1"/>
        <v>0</v>
      </c>
      <c r="AI11" s="21">
        <f ca="1"/>
        <v>0</v>
      </c>
      <c r="AJ11" s="21">
        <f ca="1"/>
        <v>0</v>
      </c>
      <c r="AK11" s="21">
        <f ca="1"/>
        <v>0</v>
      </c>
      <c r="AL11" s="21">
        <f ca="1"/>
        <v>0</v>
      </c>
      <c r="AM11" s="21">
        <f ca="1"/>
        <v>0</v>
      </c>
      <c r="AN11" s="21">
        <f ca="1"/>
        <v>0</v>
      </c>
      <c r="AO11" s="21">
        <f ca="1"/>
        <v>0</v>
      </c>
      <c r="AP11" s="21">
        <f ca="1"/>
        <v>0</v>
      </c>
      <c r="AQ11" s="21">
        <f ca="1"/>
        <v>0</v>
      </c>
      <c r="AR11" s="21">
        <f ca="1"/>
        <v>0</v>
      </c>
      <c r="AS11" s="21">
        <f ca="1"/>
        <v>0</v>
      </c>
      <c r="AT11" s="21">
        <f ca="1"/>
        <v>0</v>
      </c>
      <c r="AU11" s="21">
        <f ca="1"/>
        <v>0</v>
      </c>
      <c r="AV11" s="21">
        <f ca="1"/>
        <v>0</v>
      </c>
      <c r="AW11" s="21">
        <f ca="1"/>
        <v>0</v>
      </c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</row>
    <row r="12" spans="1:79" x14ac:dyDescent="0.25">
      <c r="B12" s="19">
        <f ca="1"/>
        <v>0</v>
      </c>
      <c r="C12" s="21" t="str">
        <f ca="1"/>
        <v>11</v>
      </c>
      <c r="D12" s="21" t="str">
        <f ca="1"/>
        <v>SUN07443</v>
      </c>
      <c r="E12" s="21" t="str">
        <f ca="1"/>
        <v>SANKARAPURAM-MADURA MARKETTING</v>
      </c>
      <c r="F12" s="21">
        <f ca="1"/>
        <v>3.5000000000000003E-2</v>
      </c>
      <c r="G12" s="21">
        <f ca="1"/>
        <v>0</v>
      </c>
      <c r="H12" s="21">
        <f ca="1"/>
        <v>0</v>
      </c>
      <c r="I12" s="21">
        <f ca="1"/>
        <v>0</v>
      </c>
      <c r="J12" s="21">
        <f ca="1"/>
        <v>0</v>
      </c>
      <c r="K12" s="21">
        <f ca="1"/>
        <v>0</v>
      </c>
      <c r="L12" s="21">
        <f ca="1"/>
        <v>0</v>
      </c>
      <c r="M12" s="21">
        <f ca="1"/>
        <v>0</v>
      </c>
      <c r="N12" s="21">
        <f ca="1"/>
        <v>0</v>
      </c>
      <c r="O12" s="21">
        <f ca="1"/>
        <v>0</v>
      </c>
      <c r="P12" s="21">
        <f ca="1"/>
        <v>0</v>
      </c>
      <c r="Q12" s="21">
        <f ca="1"/>
        <v>0</v>
      </c>
      <c r="R12" s="21">
        <f ca="1"/>
        <v>0</v>
      </c>
      <c r="S12" s="21">
        <f ca="1"/>
        <v>0</v>
      </c>
      <c r="T12" s="21">
        <f ca="1"/>
        <v>0</v>
      </c>
      <c r="U12" s="21">
        <f ca="1"/>
        <v>0</v>
      </c>
      <c r="V12" s="21">
        <f ca="1"/>
        <v>0</v>
      </c>
      <c r="W12" s="21">
        <f ca="1"/>
        <v>0</v>
      </c>
      <c r="X12" s="21">
        <f ca="1"/>
        <v>0</v>
      </c>
      <c r="Y12" s="21">
        <f ca="1"/>
        <v>0</v>
      </c>
      <c r="Z12" s="21">
        <f ca="1"/>
        <v>0</v>
      </c>
      <c r="AA12" s="21">
        <f ca="1"/>
        <v>0</v>
      </c>
      <c r="AB12" s="21">
        <f ca="1"/>
        <v>0</v>
      </c>
      <c r="AC12" s="21">
        <f ca="1"/>
        <v>0</v>
      </c>
      <c r="AD12" s="21">
        <f ca="1"/>
        <v>0</v>
      </c>
      <c r="AE12" s="21">
        <f ca="1"/>
        <v>0</v>
      </c>
      <c r="AF12" s="21">
        <f ca="1"/>
        <v>0</v>
      </c>
      <c r="AG12" s="21">
        <f ca="1"/>
        <v>0</v>
      </c>
      <c r="AH12" s="21">
        <f ca="1"/>
        <v>0</v>
      </c>
      <c r="AI12" s="21">
        <f ca="1"/>
        <v>0</v>
      </c>
      <c r="AJ12" s="21">
        <f ca="1"/>
        <v>0</v>
      </c>
      <c r="AK12" s="21">
        <f ca="1"/>
        <v>0</v>
      </c>
      <c r="AL12" s="21">
        <f ca="1"/>
        <v>0</v>
      </c>
      <c r="AM12" s="21">
        <f ca="1"/>
        <v>0</v>
      </c>
      <c r="AN12" s="21">
        <f ca="1"/>
        <v>4</v>
      </c>
      <c r="AO12" s="21">
        <f ca="1"/>
        <v>0</v>
      </c>
      <c r="AP12" s="21">
        <f ca="1"/>
        <v>2</v>
      </c>
      <c r="AQ12" s="21">
        <f ca="1"/>
        <v>0</v>
      </c>
      <c r="AR12" s="21">
        <f ca="1"/>
        <v>0</v>
      </c>
      <c r="AS12" s="21">
        <f ca="1"/>
        <v>0</v>
      </c>
      <c r="AT12" s="21">
        <f ca="1"/>
        <v>0</v>
      </c>
      <c r="AU12" s="21">
        <f ca="1"/>
        <v>0</v>
      </c>
      <c r="AV12" s="21">
        <f ca="1"/>
        <v>0</v>
      </c>
      <c r="AW12" s="21">
        <f ca="1"/>
        <v>0</v>
      </c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</row>
    <row r="13" spans="1:79" x14ac:dyDescent="0.25">
      <c r="B13" s="19">
        <f ca="1"/>
        <v>0</v>
      </c>
      <c r="C13" s="21" t="str">
        <f ca="1"/>
        <v>12</v>
      </c>
      <c r="D13" s="21" t="str">
        <f ca="1"/>
        <v>SUN05998</v>
      </c>
      <c r="E13" s="21" t="str">
        <f ca="1"/>
        <v>TIRUVANNAMALAI-ARKA SUPER STORE</v>
      </c>
      <c r="F13" s="21">
        <f ca="1"/>
        <v>5.1539999999999999</v>
      </c>
      <c r="G13" s="21">
        <f ca="1"/>
        <v>0</v>
      </c>
      <c r="H13" s="21">
        <f ca="1"/>
        <v>0</v>
      </c>
      <c r="I13" s="21">
        <f ca="1"/>
        <v>0</v>
      </c>
      <c r="J13" s="21">
        <f ca="1"/>
        <v>0</v>
      </c>
      <c r="K13" s="21">
        <f ca="1"/>
        <v>0</v>
      </c>
      <c r="L13" s="21">
        <f ca="1"/>
        <v>0</v>
      </c>
      <c r="M13" s="21">
        <f ca="1"/>
        <v>0</v>
      </c>
      <c r="N13" s="21">
        <f ca="1"/>
        <v>0</v>
      </c>
      <c r="O13" s="21">
        <f ca="1"/>
        <v>0</v>
      </c>
      <c r="P13" s="21">
        <f ca="1"/>
        <v>0</v>
      </c>
      <c r="Q13" s="21">
        <f ca="1"/>
        <v>0</v>
      </c>
      <c r="R13" s="21">
        <f ca="1"/>
        <v>0</v>
      </c>
      <c r="S13" s="21">
        <f ca="1"/>
        <v>0</v>
      </c>
      <c r="T13" s="21">
        <f ca="1"/>
        <v>0</v>
      </c>
      <c r="U13" s="21">
        <f ca="1"/>
        <v>0</v>
      </c>
      <c r="V13" s="21">
        <f ca="1"/>
        <v>0</v>
      </c>
      <c r="W13" s="21">
        <f ca="1"/>
        <v>0</v>
      </c>
      <c r="X13" s="21">
        <f ca="1"/>
        <v>0</v>
      </c>
      <c r="Y13" s="21">
        <f ca="1"/>
        <v>0</v>
      </c>
      <c r="Z13" s="21">
        <f ca="1"/>
        <v>0</v>
      </c>
      <c r="AA13" s="21">
        <f ca="1"/>
        <v>0</v>
      </c>
      <c r="AB13" s="21">
        <f ca="1"/>
        <v>0</v>
      </c>
      <c r="AC13" s="21">
        <f ca="1"/>
        <v>0</v>
      </c>
      <c r="AD13" s="21">
        <f ca="1"/>
        <v>0</v>
      </c>
      <c r="AE13" s="21">
        <f ca="1"/>
        <v>0</v>
      </c>
      <c r="AF13" s="21">
        <f ca="1"/>
        <v>0</v>
      </c>
      <c r="AG13" s="21">
        <f ca="1"/>
        <v>0</v>
      </c>
      <c r="AH13" s="21">
        <f ca="1"/>
        <v>0</v>
      </c>
      <c r="AI13" s="21">
        <f ca="1"/>
        <v>0</v>
      </c>
      <c r="AJ13" s="21">
        <f ca="1"/>
        <v>0</v>
      </c>
      <c r="AK13" s="21">
        <f ca="1"/>
        <v>0</v>
      </c>
      <c r="AL13" s="21">
        <f ca="1"/>
        <v>0</v>
      </c>
      <c r="AM13" s="21">
        <f ca="1"/>
        <v>0</v>
      </c>
      <c r="AN13" s="21">
        <f ca="1"/>
        <v>1</v>
      </c>
      <c r="AO13" s="21">
        <f ca="1"/>
        <v>0</v>
      </c>
      <c r="AP13" s="21">
        <f ca="1"/>
        <v>1</v>
      </c>
      <c r="AQ13" s="21">
        <f ca="1"/>
        <v>0</v>
      </c>
      <c r="AR13" s="21">
        <f ca="1"/>
        <v>0</v>
      </c>
      <c r="AS13" s="21">
        <f ca="1"/>
        <v>0</v>
      </c>
      <c r="AT13" s="21">
        <f ca="1"/>
        <v>0</v>
      </c>
      <c r="AU13" s="21">
        <f ca="1"/>
        <v>0</v>
      </c>
      <c r="AV13" s="21">
        <f ca="1"/>
        <v>0</v>
      </c>
      <c r="AW13" s="21">
        <f ca="1"/>
        <v>0</v>
      </c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</row>
    <row r="14" spans="1:79" x14ac:dyDescent="0.25">
      <c r="B14" s="19">
        <f ca="1"/>
        <v>0</v>
      </c>
      <c r="C14" s="21" t="str">
        <f ca="1"/>
        <v>13</v>
      </c>
      <c r="D14" s="21" t="str">
        <f ca="1"/>
        <v>SUN05496</v>
      </c>
      <c r="E14" s="21" t="str">
        <f ca="1"/>
        <v>SALEM-SRI PATHMAVATHI AGENCIES</v>
      </c>
      <c r="F14" s="21">
        <f ca="1"/>
        <v>9.6720000000000006</v>
      </c>
      <c r="G14" s="21">
        <f ca="1"/>
        <v>0</v>
      </c>
      <c r="H14" s="21">
        <f ca="1"/>
        <v>0</v>
      </c>
      <c r="I14" s="21">
        <f ca="1"/>
        <v>0</v>
      </c>
      <c r="J14" s="21">
        <f ca="1"/>
        <v>0</v>
      </c>
      <c r="K14" s="21">
        <f ca="1"/>
        <v>0</v>
      </c>
      <c r="L14" s="21">
        <f ca="1"/>
        <v>0</v>
      </c>
      <c r="M14" s="21">
        <f ca="1"/>
        <v>0</v>
      </c>
      <c r="N14" s="21">
        <f ca="1"/>
        <v>0</v>
      </c>
      <c r="O14" s="21">
        <f ca="1"/>
        <v>0</v>
      </c>
      <c r="P14" s="21">
        <f ca="1"/>
        <v>0</v>
      </c>
      <c r="Q14" s="21">
        <f ca="1"/>
        <v>0</v>
      </c>
      <c r="R14" s="21">
        <f ca="1"/>
        <v>0</v>
      </c>
      <c r="S14" s="21">
        <f ca="1"/>
        <v>0</v>
      </c>
      <c r="T14" s="21">
        <f ca="1"/>
        <v>0</v>
      </c>
      <c r="U14" s="21">
        <f ca="1"/>
        <v>0</v>
      </c>
      <c r="V14" s="21">
        <f ca="1"/>
        <v>0</v>
      </c>
      <c r="W14" s="21">
        <f ca="1"/>
        <v>0</v>
      </c>
      <c r="X14" s="21">
        <f ca="1"/>
        <v>0</v>
      </c>
      <c r="Y14" s="21">
        <f ca="1"/>
        <v>0</v>
      </c>
      <c r="Z14" s="21">
        <f ca="1"/>
        <v>0</v>
      </c>
      <c r="AA14" s="21">
        <f ca="1"/>
        <v>0</v>
      </c>
      <c r="AB14" s="21">
        <f ca="1"/>
        <v>0</v>
      </c>
      <c r="AC14" s="21">
        <f ca="1"/>
        <v>0</v>
      </c>
      <c r="AD14" s="21">
        <f ca="1"/>
        <v>0</v>
      </c>
      <c r="AE14" s="21">
        <f ca="1"/>
        <v>0</v>
      </c>
      <c r="AF14" s="21">
        <f ca="1"/>
        <v>0</v>
      </c>
      <c r="AG14" s="21">
        <f ca="1"/>
        <v>0</v>
      </c>
      <c r="AH14" s="21">
        <f ca="1"/>
        <v>0</v>
      </c>
      <c r="AI14" s="21">
        <f ca="1"/>
        <v>0</v>
      </c>
      <c r="AJ14" s="21">
        <f ca="1"/>
        <v>0</v>
      </c>
      <c r="AK14" s="21">
        <f ca="1"/>
        <v>0</v>
      </c>
      <c r="AL14" s="21">
        <f ca="1"/>
        <v>0</v>
      </c>
      <c r="AM14" s="21">
        <f ca="1"/>
        <v>0</v>
      </c>
      <c r="AN14" s="21">
        <f ca="1"/>
        <v>0</v>
      </c>
      <c r="AO14" s="21">
        <f ca="1"/>
        <v>0</v>
      </c>
      <c r="AP14" s="21">
        <f ca="1"/>
        <v>0</v>
      </c>
      <c r="AQ14" s="21">
        <f ca="1"/>
        <v>0</v>
      </c>
      <c r="AR14" s="21">
        <f ca="1"/>
        <v>0</v>
      </c>
      <c r="AS14" s="21">
        <f ca="1"/>
        <v>0</v>
      </c>
      <c r="AT14" s="21">
        <f ca="1"/>
        <v>0</v>
      </c>
      <c r="AU14" s="21">
        <f ca="1"/>
        <v>0</v>
      </c>
      <c r="AV14" s="21">
        <f ca="1"/>
        <v>0</v>
      </c>
      <c r="AW14" s="21">
        <f ca="1"/>
        <v>0</v>
      </c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</row>
    <row r="15" spans="1:79" x14ac:dyDescent="0.25">
      <c r="B15" s="19">
        <f ca="1"/>
        <v>0</v>
      </c>
      <c r="C15" s="21" t="str">
        <f ca="1"/>
        <v>14</v>
      </c>
      <c r="D15" s="21" t="str">
        <f ca="1"/>
        <v>SUN07783</v>
      </c>
      <c r="E15" s="21" t="str">
        <f ca="1"/>
        <v>KURNOOL - ABDULLA TRADERS</v>
      </c>
      <c r="F15" s="21">
        <f ca="1"/>
        <v>0</v>
      </c>
      <c r="G15" s="21">
        <f ca="1"/>
        <v>0</v>
      </c>
      <c r="H15" s="21">
        <f ca="1"/>
        <v>0</v>
      </c>
      <c r="I15" s="21">
        <f ca="1"/>
        <v>0</v>
      </c>
      <c r="J15" s="21">
        <f ca="1"/>
        <v>0</v>
      </c>
      <c r="K15" s="21">
        <f ca="1"/>
        <v>0</v>
      </c>
      <c r="L15" s="21">
        <f ca="1"/>
        <v>0</v>
      </c>
      <c r="M15" s="21">
        <f ca="1"/>
        <v>0</v>
      </c>
      <c r="N15" s="21">
        <f ca="1"/>
        <v>0</v>
      </c>
      <c r="O15" s="21">
        <f ca="1"/>
        <v>0</v>
      </c>
      <c r="P15" s="21">
        <f ca="1"/>
        <v>0</v>
      </c>
      <c r="Q15" s="21">
        <f ca="1"/>
        <v>0</v>
      </c>
      <c r="R15" s="21">
        <f ca="1"/>
        <v>0</v>
      </c>
      <c r="S15" s="21">
        <f ca="1"/>
        <v>0</v>
      </c>
      <c r="T15" s="21">
        <f ca="1"/>
        <v>0</v>
      </c>
      <c r="U15" s="21">
        <f ca="1"/>
        <v>0</v>
      </c>
      <c r="V15" s="21">
        <f ca="1"/>
        <v>0</v>
      </c>
      <c r="W15" s="21">
        <f ca="1"/>
        <v>0</v>
      </c>
      <c r="X15" s="21">
        <f ca="1"/>
        <v>0</v>
      </c>
      <c r="Y15" s="21">
        <f ca="1"/>
        <v>0</v>
      </c>
      <c r="Z15" s="21">
        <f ca="1"/>
        <v>0</v>
      </c>
      <c r="AA15" s="21">
        <f ca="1"/>
        <v>0</v>
      </c>
      <c r="AB15" s="21">
        <f ca="1"/>
        <v>0</v>
      </c>
      <c r="AC15" s="21">
        <f ca="1"/>
        <v>0</v>
      </c>
      <c r="AD15" s="21">
        <f ca="1"/>
        <v>0</v>
      </c>
      <c r="AE15" s="21">
        <f ca="1"/>
        <v>0</v>
      </c>
      <c r="AF15" s="21">
        <f ca="1"/>
        <v>0</v>
      </c>
      <c r="AG15" s="21">
        <f ca="1"/>
        <v>0</v>
      </c>
      <c r="AH15" s="21">
        <f ca="1"/>
        <v>0</v>
      </c>
      <c r="AI15" s="21">
        <f ca="1"/>
        <v>0</v>
      </c>
      <c r="AJ15" s="21">
        <f ca="1"/>
        <v>0</v>
      </c>
      <c r="AK15" s="21">
        <f ca="1"/>
        <v>0</v>
      </c>
      <c r="AL15" s="21">
        <f ca="1"/>
        <v>0</v>
      </c>
      <c r="AM15" s="21">
        <f ca="1"/>
        <v>0</v>
      </c>
      <c r="AN15" s="21">
        <f ca="1"/>
        <v>0</v>
      </c>
      <c r="AO15" s="21">
        <f ca="1"/>
        <v>0</v>
      </c>
      <c r="AP15" s="21">
        <f ca="1"/>
        <v>0</v>
      </c>
      <c r="AQ15" s="21">
        <f ca="1"/>
        <v>0</v>
      </c>
      <c r="AR15" s="21">
        <f ca="1"/>
        <v>0</v>
      </c>
      <c r="AS15" s="21">
        <f ca="1"/>
        <v>0</v>
      </c>
      <c r="AT15" s="21">
        <f ca="1"/>
        <v>0</v>
      </c>
      <c r="AU15" s="21">
        <f ca="1"/>
        <v>0</v>
      </c>
      <c r="AV15" s="21">
        <f ca="1"/>
        <v>0</v>
      </c>
      <c r="AW15" s="21">
        <f ca="1"/>
        <v>0</v>
      </c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</row>
    <row r="16" spans="1:79" x14ac:dyDescent="0.25">
      <c r="B16" s="19">
        <f ca="1"/>
        <v>0</v>
      </c>
      <c r="C16" s="21" t="str">
        <f ca="1"/>
        <v>15</v>
      </c>
      <c r="D16" s="21" t="str">
        <f ca="1"/>
        <v>SUN02183</v>
      </c>
      <c r="E16" s="21" t="str">
        <f ca="1"/>
        <v>CBE MANI OIL TRADES</v>
      </c>
      <c r="F16" s="21">
        <f ca="1"/>
        <v>4.46</v>
      </c>
      <c r="G16" s="21">
        <f ca="1"/>
        <v>0</v>
      </c>
      <c r="H16" s="21">
        <f ca="1"/>
        <v>0</v>
      </c>
      <c r="I16" s="21">
        <f ca="1"/>
        <v>0</v>
      </c>
      <c r="J16" s="21">
        <f ca="1"/>
        <v>0</v>
      </c>
      <c r="K16" s="21">
        <f ca="1"/>
        <v>0</v>
      </c>
      <c r="L16" s="21">
        <f ca="1"/>
        <v>0</v>
      </c>
      <c r="M16" s="21">
        <f ca="1"/>
        <v>0</v>
      </c>
      <c r="N16" s="21">
        <f ca="1"/>
        <v>0</v>
      </c>
      <c r="O16" s="21">
        <f ca="1"/>
        <v>0</v>
      </c>
      <c r="P16" s="21">
        <f ca="1"/>
        <v>0</v>
      </c>
      <c r="Q16" s="21">
        <f ca="1"/>
        <v>0</v>
      </c>
      <c r="R16" s="21">
        <f ca="1"/>
        <v>0</v>
      </c>
      <c r="S16" s="21">
        <f ca="1"/>
        <v>0</v>
      </c>
      <c r="T16" s="21">
        <f ca="1"/>
        <v>0</v>
      </c>
      <c r="U16" s="21">
        <f ca="1"/>
        <v>0</v>
      </c>
      <c r="V16" s="21">
        <f ca="1"/>
        <v>0</v>
      </c>
      <c r="W16" s="21">
        <f ca="1"/>
        <v>0</v>
      </c>
      <c r="X16" s="21">
        <f ca="1"/>
        <v>0</v>
      </c>
      <c r="Y16" s="21">
        <f ca="1"/>
        <v>0</v>
      </c>
      <c r="Z16" s="21">
        <f ca="1"/>
        <v>0</v>
      </c>
      <c r="AA16" s="21">
        <f ca="1"/>
        <v>0</v>
      </c>
      <c r="AB16" s="21">
        <f ca="1"/>
        <v>0</v>
      </c>
      <c r="AC16" s="21">
        <f ca="1"/>
        <v>0</v>
      </c>
      <c r="AD16" s="21">
        <f ca="1"/>
        <v>0</v>
      </c>
      <c r="AE16" s="21">
        <f ca="1"/>
        <v>0</v>
      </c>
      <c r="AF16" s="21">
        <f ca="1"/>
        <v>0</v>
      </c>
      <c r="AG16" s="21">
        <f ca="1"/>
        <v>0</v>
      </c>
      <c r="AH16" s="21">
        <f ca="1"/>
        <v>0</v>
      </c>
      <c r="AI16" s="21">
        <f ca="1"/>
        <v>0</v>
      </c>
      <c r="AJ16" s="21">
        <f ca="1"/>
        <v>0</v>
      </c>
      <c r="AK16" s="21">
        <f ca="1"/>
        <v>0</v>
      </c>
      <c r="AL16" s="21">
        <f ca="1"/>
        <v>0</v>
      </c>
      <c r="AM16" s="21">
        <f ca="1"/>
        <v>0</v>
      </c>
      <c r="AN16" s="21">
        <f ca="1"/>
        <v>0</v>
      </c>
      <c r="AO16" s="21">
        <f ca="1"/>
        <v>0</v>
      </c>
      <c r="AP16" s="21">
        <f ca="1"/>
        <v>0</v>
      </c>
      <c r="AQ16" s="21">
        <f ca="1"/>
        <v>0</v>
      </c>
      <c r="AR16" s="21">
        <f ca="1"/>
        <v>0</v>
      </c>
      <c r="AS16" s="21">
        <f ca="1"/>
        <v>0</v>
      </c>
      <c r="AT16" s="21">
        <f ca="1"/>
        <v>0</v>
      </c>
      <c r="AU16" s="21">
        <f ca="1"/>
        <v>0</v>
      </c>
      <c r="AV16" s="21">
        <f ca="1"/>
        <v>0</v>
      </c>
      <c r="AW16" s="21">
        <f ca="1"/>
        <v>0</v>
      </c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</row>
    <row r="17" spans="2:79" x14ac:dyDescent="0.25">
      <c r="B17" s="19">
        <f ca="1"/>
        <v>0</v>
      </c>
      <c r="C17" s="21" t="str">
        <f ca="1"/>
        <v>16</v>
      </c>
      <c r="D17" s="21" t="str">
        <f ca="1"/>
        <v>SUN01002</v>
      </c>
      <c r="E17" s="21" t="str">
        <f ca="1"/>
        <v>ED.SAKTHI MASALA (P)LTD.</v>
      </c>
      <c r="F17" s="21">
        <f ca="1"/>
        <v>0</v>
      </c>
      <c r="G17" s="21">
        <f ca="1"/>
        <v>0</v>
      </c>
      <c r="H17" s="21">
        <f ca="1"/>
        <v>0</v>
      </c>
      <c r="I17" s="21">
        <f ca="1"/>
        <v>0</v>
      </c>
      <c r="J17" s="21">
        <f ca="1"/>
        <v>0</v>
      </c>
      <c r="K17" s="21">
        <f ca="1"/>
        <v>0</v>
      </c>
      <c r="L17" s="21">
        <f ca="1"/>
        <v>0</v>
      </c>
      <c r="M17" s="21">
        <f ca="1"/>
        <v>0</v>
      </c>
      <c r="N17" s="21">
        <f ca="1"/>
        <v>0</v>
      </c>
      <c r="O17" s="21">
        <f ca="1"/>
        <v>0</v>
      </c>
      <c r="P17" s="21">
        <f ca="1"/>
        <v>0</v>
      </c>
      <c r="Q17" s="21">
        <f ca="1"/>
        <v>0</v>
      </c>
      <c r="R17" s="21">
        <f ca="1"/>
        <v>0</v>
      </c>
      <c r="S17" s="21">
        <f ca="1"/>
        <v>0</v>
      </c>
      <c r="T17" s="21">
        <f ca="1"/>
        <v>0</v>
      </c>
      <c r="U17" s="21">
        <f ca="1"/>
        <v>0</v>
      </c>
      <c r="V17" s="21">
        <f ca="1"/>
        <v>0</v>
      </c>
      <c r="W17" s="21">
        <f ca="1"/>
        <v>0</v>
      </c>
      <c r="X17" s="21">
        <f ca="1"/>
        <v>0</v>
      </c>
      <c r="Y17" s="21">
        <f ca="1"/>
        <v>0</v>
      </c>
      <c r="Z17" s="21">
        <f ca="1"/>
        <v>0</v>
      </c>
      <c r="AA17" s="21">
        <f ca="1"/>
        <v>0</v>
      </c>
      <c r="AB17" s="21">
        <f ca="1"/>
        <v>0</v>
      </c>
      <c r="AC17" s="21">
        <f ca="1"/>
        <v>0</v>
      </c>
      <c r="AD17" s="21">
        <f ca="1"/>
        <v>0</v>
      </c>
      <c r="AE17" s="21">
        <f ca="1"/>
        <v>0</v>
      </c>
      <c r="AF17" s="21">
        <f ca="1"/>
        <v>0</v>
      </c>
      <c r="AG17" s="21">
        <f ca="1"/>
        <v>0</v>
      </c>
      <c r="AH17" s="21">
        <f ca="1"/>
        <v>0</v>
      </c>
      <c r="AI17" s="21">
        <f ca="1"/>
        <v>0</v>
      </c>
      <c r="AJ17" s="21">
        <f ca="1"/>
        <v>0</v>
      </c>
      <c r="AK17" s="21">
        <f ca="1"/>
        <v>0</v>
      </c>
      <c r="AL17" s="21">
        <f ca="1"/>
        <v>0</v>
      </c>
      <c r="AM17" s="21">
        <f ca="1"/>
        <v>0</v>
      </c>
      <c r="AN17" s="21">
        <f ca="1"/>
        <v>0</v>
      </c>
      <c r="AO17" s="21">
        <f ca="1"/>
        <v>0</v>
      </c>
      <c r="AP17" s="21">
        <f ca="1"/>
        <v>0</v>
      </c>
      <c r="AQ17" s="21">
        <f ca="1"/>
        <v>0</v>
      </c>
      <c r="AR17" s="21">
        <f ca="1"/>
        <v>0</v>
      </c>
      <c r="AS17" s="21">
        <f ca="1"/>
        <v>0</v>
      </c>
      <c r="AT17" s="21">
        <f ca="1"/>
        <v>0</v>
      </c>
      <c r="AU17" s="21">
        <f ca="1"/>
        <v>0</v>
      </c>
      <c r="AV17" s="21">
        <f ca="1"/>
        <v>0</v>
      </c>
      <c r="AW17" s="21">
        <f ca="1"/>
        <v>0</v>
      </c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</row>
    <row r="18" spans="2:79" x14ac:dyDescent="0.25">
      <c r="B18" s="19">
        <f ca="1"/>
        <v>0</v>
      </c>
      <c r="C18" s="21" t="str">
        <f ca="1"/>
        <v>17</v>
      </c>
      <c r="D18" s="21" t="str">
        <f ca="1"/>
        <v>SUN04325</v>
      </c>
      <c r="E18" s="21" t="str">
        <f ca="1"/>
        <v>WAYANAD - KALAVAKURU ESTATES PRIVATE LIMITED (GRT)</v>
      </c>
      <c r="F18" s="21">
        <f ca="1"/>
        <v>2.1840000000000002</v>
      </c>
      <c r="G18" s="21">
        <f ca="1"/>
        <v>0</v>
      </c>
      <c r="H18" s="21">
        <f ca="1"/>
        <v>0</v>
      </c>
      <c r="I18" s="21">
        <f ca="1"/>
        <v>0</v>
      </c>
      <c r="J18" s="21">
        <f ca="1"/>
        <v>0</v>
      </c>
      <c r="K18" s="21">
        <f ca="1"/>
        <v>0</v>
      </c>
      <c r="L18" s="21">
        <f ca="1"/>
        <v>0</v>
      </c>
      <c r="M18" s="21">
        <f ca="1"/>
        <v>0</v>
      </c>
      <c r="N18" s="21">
        <f ca="1"/>
        <v>0</v>
      </c>
      <c r="O18" s="21">
        <f ca="1"/>
        <v>0</v>
      </c>
      <c r="P18" s="21">
        <f ca="1"/>
        <v>0</v>
      </c>
      <c r="Q18" s="21">
        <f ca="1"/>
        <v>0</v>
      </c>
      <c r="R18" s="21">
        <f ca="1"/>
        <v>0</v>
      </c>
      <c r="S18" s="21">
        <f ca="1"/>
        <v>0</v>
      </c>
      <c r="T18" s="21">
        <f ca="1"/>
        <v>0</v>
      </c>
      <c r="U18" s="21">
        <f ca="1"/>
        <v>0</v>
      </c>
      <c r="V18" s="21">
        <f ca="1"/>
        <v>0</v>
      </c>
      <c r="W18" s="21">
        <f ca="1"/>
        <v>0</v>
      </c>
      <c r="X18" s="21">
        <f ca="1"/>
        <v>0</v>
      </c>
      <c r="Y18" s="21">
        <f ca="1"/>
        <v>0</v>
      </c>
      <c r="Z18" s="21">
        <f ca="1"/>
        <v>0</v>
      </c>
      <c r="AA18" s="21">
        <f ca="1"/>
        <v>0</v>
      </c>
      <c r="AB18" s="21">
        <f ca="1"/>
        <v>0</v>
      </c>
      <c r="AC18" s="21">
        <f ca="1"/>
        <v>0</v>
      </c>
      <c r="AD18" s="21">
        <f ca="1"/>
        <v>0</v>
      </c>
      <c r="AE18" s="21">
        <f ca="1"/>
        <v>0</v>
      </c>
      <c r="AF18" s="21">
        <f ca="1"/>
        <v>0</v>
      </c>
      <c r="AG18" s="21">
        <f ca="1"/>
        <v>0</v>
      </c>
      <c r="AH18" s="21">
        <f ca="1"/>
        <v>0</v>
      </c>
      <c r="AI18" s="21">
        <f ca="1"/>
        <v>0</v>
      </c>
      <c r="AJ18" s="21">
        <f ca="1"/>
        <v>0</v>
      </c>
      <c r="AK18" s="21">
        <f ca="1"/>
        <v>0</v>
      </c>
      <c r="AL18" s="21">
        <f ca="1"/>
        <v>0</v>
      </c>
      <c r="AM18" s="21">
        <f ca="1"/>
        <v>0</v>
      </c>
      <c r="AN18" s="21">
        <f ca="1"/>
        <v>0</v>
      </c>
      <c r="AO18" s="21">
        <f ca="1"/>
        <v>0</v>
      </c>
      <c r="AP18" s="21">
        <f ca="1"/>
        <v>0</v>
      </c>
      <c r="AQ18" s="21">
        <f ca="1"/>
        <v>0</v>
      </c>
      <c r="AR18" s="21">
        <f ca="1"/>
        <v>0</v>
      </c>
      <c r="AS18" s="21">
        <f ca="1"/>
        <v>0</v>
      </c>
      <c r="AT18" s="21">
        <f ca="1"/>
        <v>0</v>
      </c>
      <c r="AU18" s="21">
        <f ca="1"/>
        <v>0</v>
      </c>
      <c r="AV18" s="21">
        <f ca="1"/>
        <v>0</v>
      </c>
      <c r="AW18" s="21">
        <f ca="1"/>
        <v>0</v>
      </c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</row>
    <row r="19" spans="2:79" x14ac:dyDescent="0.25">
      <c r="B19" s="19">
        <f ca="1"/>
        <v>0</v>
      </c>
      <c r="C19" s="21" t="str">
        <f ca="1"/>
        <v>18</v>
      </c>
      <c r="D19" s="21" t="str">
        <f ca="1"/>
        <v>SUN07376</v>
      </c>
      <c r="E19" s="21" t="str">
        <f ca="1"/>
        <v>KL-CHERUTHURUTHY-K S K STORES</v>
      </c>
      <c r="F19" s="21">
        <f ca="1"/>
        <v>1.82</v>
      </c>
      <c r="G19" s="21">
        <f ca="1"/>
        <v>0</v>
      </c>
      <c r="H19" s="21">
        <f ca="1"/>
        <v>0</v>
      </c>
      <c r="I19" s="21">
        <f ca="1"/>
        <v>0</v>
      </c>
      <c r="J19" s="21">
        <f ca="1"/>
        <v>0</v>
      </c>
      <c r="K19" s="21">
        <f ca="1"/>
        <v>0</v>
      </c>
      <c r="L19" s="21">
        <f ca="1"/>
        <v>0</v>
      </c>
      <c r="M19" s="21">
        <f ca="1"/>
        <v>0</v>
      </c>
      <c r="N19" s="21">
        <f ca="1"/>
        <v>0</v>
      </c>
      <c r="O19" s="21">
        <f ca="1"/>
        <v>0</v>
      </c>
      <c r="P19" s="21">
        <f ca="1"/>
        <v>0</v>
      </c>
      <c r="Q19" s="21">
        <f ca="1"/>
        <v>0</v>
      </c>
      <c r="R19" s="21">
        <f ca="1"/>
        <v>0</v>
      </c>
      <c r="S19" s="21">
        <f ca="1"/>
        <v>0</v>
      </c>
      <c r="T19" s="21">
        <f ca="1"/>
        <v>0</v>
      </c>
      <c r="U19" s="21">
        <f ca="1"/>
        <v>0</v>
      </c>
      <c r="V19" s="21">
        <f ca="1"/>
        <v>0</v>
      </c>
      <c r="W19" s="21">
        <f ca="1"/>
        <v>0</v>
      </c>
      <c r="X19" s="21">
        <f ca="1"/>
        <v>0</v>
      </c>
      <c r="Y19" s="21">
        <f ca="1"/>
        <v>0</v>
      </c>
      <c r="Z19" s="21">
        <f ca="1"/>
        <v>0</v>
      </c>
      <c r="AA19" s="21">
        <f ca="1"/>
        <v>0</v>
      </c>
      <c r="AB19" s="21">
        <f ca="1"/>
        <v>0</v>
      </c>
      <c r="AC19" s="21">
        <f ca="1"/>
        <v>0</v>
      </c>
      <c r="AD19" s="21">
        <f ca="1"/>
        <v>0</v>
      </c>
      <c r="AE19" s="21">
        <f ca="1"/>
        <v>0</v>
      </c>
      <c r="AF19" s="21">
        <f ca="1"/>
        <v>0</v>
      </c>
      <c r="AG19" s="21">
        <f ca="1"/>
        <v>0</v>
      </c>
      <c r="AH19" s="21">
        <f ca="1"/>
        <v>0</v>
      </c>
      <c r="AI19" s="21">
        <f ca="1"/>
        <v>0</v>
      </c>
      <c r="AJ19" s="21">
        <f ca="1"/>
        <v>0</v>
      </c>
      <c r="AK19" s="21">
        <f ca="1"/>
        <v>0</v>
      </c>
      <c r="AL19" s="21">
        <f ca="1"/>
        <v>0</v>
      </c>
      <c r="AM19" s="21">
        <f ca="1"/>
        <v>0</v>
      </c>
      <c r="AN19" s="21">
        <f ca="1"/>
        <v>0</v>
      </c>
      <c r="AO19" s="21">
        <f ca="1"/>
        <v>0</v>
      </c>
      <c r="AP19" s="21">
        <f ca="1"/>
        <v>0</v>
      </c>
      <c r="AQ19" s="21">
        <f ca="1"/>
        <v>0</v>
      </c>
      <c r="AR19" s="21">
        <f ca="1"/>
        <v>0</v>
      </c>
      <c r="AS19" s="21">
        <f ca="1"/>
        <v>0</v>
      </c>
      <c r="AT19" s="21">
        <f ca="1"/>
        <v>0</v>
      </c>
      <c r="AU19" s="21">
        <f ca="1"/>
        <v>0</v>
      </c>
      <c r="AV19" s="21">
        <f ca="1"/>
        <v>0</v>
      </c>
      <c r="AW19" s="21">
        <f ca="1"/>
        <v>0</v>
      </c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</row>
    <row r="20" spans="2:79" x14ac:dyDescent="0.25">
      <c r="B20" s="19">
        <f ca="1"/>
        <v>0</v>
      </c>
      <c r="C20" s="21" t="str">
        <f ca="1"/>
        <v>19</v>
      </c>
      <c r="D20" s="21" t="str">
        <f ca="1"/>
        <v>SUN01197</v>
      </c>
      <c r="E20" s="21" t="str">
        <f ca="1"/>
        <v>KL PERINGODE  GOD WIN FLOUR &amp; OIL MILL</v>
      </c>
      <c r="F20" s="21">
        <f ca="1"/>
        <v>9.1999999999999998E-2</v>
      </c>
      <c r="G20" s="21">
        <f ca="1"/>
        <v>0</v>
      </c>
      <c r="H20" s="21">
        <f ca="1"/>
        <v>0</v>
      </c>
      <c r="I20" s="21">
        <f ca="1"/>
        <v>0</v>
      </c>
      <c r="J20" s="21">
        <f ca="1"/>
        <v>0</v>
      </c>
      <c r="K20" s="21">
        <f ca="1"/>
        <v>0</v>
      </c>
      <c r="L20" s="21">
        <f ca="1"/>
        <v>0</v>
      </c>
      <c r="M20" s="21">
        <f ca="1"/>
        <v>0</v>
      </c>
      <c r="N20" s="21">
        <f ca="1"/>
        <v>0</v>
      </c>
      <c r="O20" s="21">
        <f ca="1"/>
        <v>0</v>
      </c>
      <c r="P20" s="21">
        <f ca="1"/>
        <v>0</v>
      </c>
      <c r="Q20" s="21">
        <f ca="1"/>
        <v>0</v>
      </c>
      <c r="R20" s="21">
        <f ca="1"/>
        <v>0</v>
      </c>
      <c r="S20" s="21">
        <f ca="1"/>
        <v>0</v>
      </c>
      <c r="T20" s="21">
        <f ca="1"/>
        <v>0</v>
      </c>
      <c r="U20" s="21">
        <f ca="1"/>
        <v>0</v>
      </c>
      <c r="V20" s="21">
        <f ca="1"/>
        <v>0</v>
      </c>
      <c r="W20" s="21">
        <f ca="1"/>
        <v>0</v>
      </c>
      <c r="X20" s="21">
        <f ca="1"/>
        <v>0</v>
      </c>
      <c r="Y20" s="21">
        <f ca="1"/>
        <v>0</v>
      </c>
      <c r="Z20" s="21">
        <f ca="1"/>
        <v>0</v>
      </c>
      <c r="AA20" s="21">
        <f ca="1"/>
        <v>0</v>
      </c>
      <c r="AB20" s="21">
        <f ca="1"/>
        <v>0</v>
      </c>
      <c r="AC20" s="21">
        <f ca="1"/>
        <v>0</v>
      </c>
      <c r="AD20" s="21">
        <f ca="1"/>
        <v>0</v>
      </c>
      <c r="AE20" s="21">
        <f ca="1"/>
        <v>0</v>
      </c>
      <c r="AF20" s="21">
        <f ca="1"/>
        <v>0</v>
      </c>
      <c r="AG20" s="21">
        <f ca="1"/>
        <v>0</v>
      </c>
      <c r="AH20" s="21">
        <f ca="1"/>
        <v>0</v>
      </c>
      <c r="AI20" s="21">
        <f ca="1"/>
        <v>0</v>
      </c>
      <c r="AJ20" s="21">
        <f ca="1"/>
        <v>0</v>
      </c>
      <c r="AK20" s="21">
        <f ca="1"/>
        <v>0</v>
      </c>
      <c r="AL20" s="21">
        <f ca="1"/>
        <v>0</v>
      </c>
      <c r="AM20" s="21">
        <f ca="1"/>
        <v>0</v>
      </c>
      <c r="AN20" s="21">
        <f ca="1"/>
        <v>0</v>
      </c>
      <c r="AO20" s="21">
        <f ca="1"/>
        <v>0</v>
      </c>
      <c r="AP20" s="21">
        <f ca="1"/>
        <v>0</v>
      </c>
      <c r="AQ20" s="21">
        <f ca="1"/>
        <v>0</v>
      </c>
      <c r="AR20" s="21">
        <f ca="1"/>
        <v>0</v>
      </c>
      <c r="AS20" s="21">
        <f ca="1"/>
        <v>0</v>
      </c>
      <c r="AT20" s="21">
        <f ca="1"/>
        <v>0</v>
      </c>
      <c r="AU20" s="21">
        <f ca="1"/>
        <v>0</v>
      </c>
      <c r="AV20" s="21">
        <f ca="1"/>
        <v>0</v>
      </c>
      <c r="AW20" s="21">
        <f ca="1"/>
        <v>0</v>
      </c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</row>
    <row r="21" spans="2:79" x14ac:dyDescent="0.25">
      <c r="B21" s="19">
        <f ca="1"/>
        <v>0</v>
      </c>
      <c r="C21" s="21" t="str">
        <f ca="1"/>
        <v>20</v>
      </c>
      <c r="D21" s="21" t="str">
        <f ca="1"/>
        <v>SUN07365</v>
      </c>
      <c r="E21" s="21" t="str">
        <f ca="1"/>
        <v>KL-TALIPARAMBA-ARAFA ENTERPRISES</v>
      </c>
      <c r="F21" s="21">
        <f ca="1"/>
        <v>2.9140000000000001</v>
      </c>
      <c r="G21" s="21">
        <f ca="1"/>
        <v>0</v>
      </c>
      <c r="H21" s="21">
        <f ca="1"/>
        <v>0</v>
      </c>
      <c r="I21" s="21">
        <f ca="1"/>
        <v>0</v>
      </c>
      <c r="J21" s="21">
        <f ca="1"/>
        <v>0</v>
      </c>
      <c r="K21" s="21">
        <f ca="1"/>
        <v>0</v>
      </c>
      <c r="L21" s="21">
        <f ca="1"/>
        <v>0</v>
      </c>
      <c r="M21" s="21">
        <f ca="1"/>
        <v>0</v>
      </c>
      <c r="N21" s="21">
        <f ca="1"/>
        <v>0</v>
      </c>
      <c r="O21" s="21">
        <f ca="1"/>
        <v>0</v>
      </c>
      <c r="P21" s="21">
        <f ca="1"/>
        <v>0</v>
      </c>
      <c r="Q21" s="21">
        <f ca="1"/>
        <v>0</v>
      </c>
      <c r="R21" s="21">
        <f ca="1"/>
        <v>0</v>
      </c>
      <c r="S21" s="21">
        <f ca="1"/>
        <v>0</v>
      </c>
      <c r="T21" s="21">
        <f ca="1"/>
        <v>0</v>
      </c>
      <c r="U21" s="21">
        <f ca="1"/>
        <v>0</v>
      </c>
      <c r="V21" s="21">
        <f ca="1"/>
        <v>0</v>
      </c>
      <c r="W21" s="21">
        <f ca="1"/>
        <v>0</v>
      </c>
      <c r="X21" s="21">
        <f ca="1"/>
        <v>0</v>
      </c>
      <c r="Y21" s="21">
        <f ca="1"/>
        <v>0</v>
      </c>
      <c r="Z21" s="21">
        <f ca="1"/>
        <v>0</v>
      </c>
      <c r="AA21" s="21">
        <f ca="1"/>
        <v>0</v>
      </c>
      <c r="AB21" s="21">
        <f ca="1"/>
        <v>0</v>
      </c>
      <c r="AC21" s="21">
        <f ca="1"/>
        <v>0</v>
      </c>
      <c r="AD21" s="21">
        <f ca="1"/>
        <v>0</v>
      </c>
      <c r="AE21" s="21">
        <f ca="1"/>
        <v>0</v>
      </c>
      <c r="AF21" s="21">
        <f ca="1"/>
        <v>0</v>
      </c>
      <c r="AG21" s="21">
        <f ca="1"/>
        <v>0</v>
      </c>
      <c r="AH21" s="21">
        <f ca="1"/>
        <v>0</v>
      </c>
      <c r="AI21" s="21">
        <f ca="1"/>
        <v>0</v>
      </c>
      <c r="AJ21" s="21">
        <f ca="1"/>
        <v>0</v>
      </c>
      <c r="AK21" s="21">
        <f ca="1"/>
        <v>0</v>
      </c>
      <c r="AL21" s="21">
        <f ca="1"/>
        <v>0</v>
      </c>
      <c r="AM21" s="21">
        <f ca="1"/>
        <v>0</v>
      </c>
      <c r="AN21" s="21">
        <f ca="1"/>
        <v>0</v>
      </c>
      <c r="AO21" s="21">
        <f ca="1"/>
        <v>0</v>
      </c>
      <c r="AP21" s="21">
        <f ca="1"/>
        <v>0</v>
      </c>
      <c r="AQ21" s="21">
        <f ca="1"/>
        <v>0</v>
      </c>
      <c r="AR21" s="21">
        <f ca="1"/>
        <v>0</v>
      </c>
      <c r="AS21" s="21">
        <f ca="1"/>
        <v>0</v>
      </c>
      <c r="AT21" s="21">
        <f ca="1"/>
        <v>0</v>
      </c>
      <c r="AU21" s="21">
        <f ca="1"/>
        <v>0</v>
      </c>
      <c r="AV21" s="21">
        <f ca="1"/>
        <v>0</v>
      </c>
      <c r="AW21" s="21">
        <f ca="1"/>
        <v>0</v>
      </c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</row>
    <row r="22" spans="2:79" x14ac:dyDescent="0.25">
      <c r="B22" s="19">
        <f ca="1"/>
        <v>0</v>
      </c>
      <c r="C22" s="21" t="str">
        <f ca="1"/>
        <v>21</v>
      </c>
      <c r="D22" s="21" t="str">
        <f ca="1"/>
        <v>SUN06960</v>
      </c>
      <c r="E22" s="21" t="str">
        <f ca="1"/>
        <v>KL-KELAKAM-MINA STORES</v>
      </c>
      <c r="F22" s="21">
        <f ca="1"/>
        <v>2.0019999999999998</v>
      </c>
      <c r="G22" s="21">
        <f ca="1"/>
        <v>0</v>
      </c>
      <c r="H22" s="21">
        <f ca="1"/>
        <v>0</v>
      </c>
      <c r="I22" s="21">
        <f ca="1"/>
        <v>0</v>
      </c>
      <c r="J22" s="21">
        <f ca="1"/>
        <v>0</v>
      </c>
      <c r="K22" s="21">
        <f ca="1"/>
        <v>0</v>
      </c>
      <c r="L22" s="21">
        <f ca="1"/>
        <v>0</v>
      </c>
      <c r="M22" s="21">
        <f ca="1"/>
        <v>0</v>
      </c>
      <c r="N22" s="21">
        <f ca="1"/>
        <v>0</v>
      </c>
      <c r="O22" s="21">
        <f ca="1"/>
        <v>0</v>
      </c>
      <c r="P22" s="21">
        <f ca="1"/>
        <v>0</v>
      </c>
      <c r="Q22" s="21">
        <f ca="1"/>
        <v>0</v>
      </c>
      <c r="R22" s="21">
        <f ca="1"/>
        <v>0</v>
      </c>
      <c r="S22" s="21">
        <f ca="1"/>
        <v>0</v>
      </c>
      <c r="T22" s="21">
        <f ca="1"/>
        <v>0</v>
      </c>
      <c r="U22" s="21">
        <f ca="1"/>
        <v>0</v>
      </c>
      <c r="V22" s="21">
        <f ca="1"/>
        <v>0</v>
      </c>
      <c r="W22" s="21">
        <f ca="1"/>
        <v>0</v>
      </c>
      <c r="X22" s="21">
        <f ca="1"/>
        <v>0</v>
      </c>
      <c r="Y22" s="21">
        <f ca="1"/>
        <v>0</v>
      </c>
      <c r="Z22" s="21">
        <f ca="1"/>
        <v>0</v>
      </c>
      <c r="AA22" s="21">
        <f ca="1"/>
        <v>0</v>
      </c>
      <c r="AB22" s="21">
        <f ca="1"/>
        <v>0</v>
      </c>
      <c r="AC22" s="21">
        <f ca="1"/>
        <v>0</v>
      </c>
      <c r="AD22" s="21">
        <f ca="1"/>
        <v>0</v>
      </c>
      <c r="AE22" s="21">
        <f ca="1"/>
        <v>0</v>
      </c>
      <c r="AF22" s="21">
        <f ca="1"/>
        <v>0</v>
      </c>
      <c r="AG22" s="21">
        <f ca="1"/>
        <v>0</v>
      </c>
      <c r="AH22" s="21">
        <f ca="1"/>
        <v>0</v>
      </c>
      <c r="AI22" s="21">
        <f ca="1"/>
        <v>0</v>
      </c>
      <c r="AJ22" s="21">
        <f ca="1"/>
        <v>0</v>
      </c>
      <c r="AK22" s="21">
        <f ca="1"/>
        <v>0</v>
      </c>
      <c r="AL22" s="21">
        <f ca="1"/>
        <v>0</v>
      </c>
      <c r="AM22" s="21">
        <f ca="1"/>
        <v>0</v>
      </c>
      <c r="AN22" s="21">
        <f ca="1"/>
        <v>0</v>
      </c>
      <c r="AO22" s="21">
        <f ca="1"/>
        <v>0</v>
      </c>
      <c r="AP22" s="21">
        <f ca="1"/>
        <v>0</v>
      </c>
      <c r="AQ22" s="21">
        <f ca="1"/>
        <v>0</v>
      </c>
      <c r="AR22" s="21">
        <f ca="1"/>
        <v>0</v>
      </c>
      <c r="AS22" s="21">
        <f ca="1"/>
        <v>0</v>
      </c>
      <c r="AT22" s="21">
        <f ca="1"/>
        <v>0</v>
      </c>
      <c r="AU22" s="21">
        <f ca="1"/>
        <v>0</v>
      </c>
      <c r="AV22" s="21">
        <f ca="1"/>
        <v>0</v>
      </c>
      <c r="AW22" s="21">
        <f ca="1"/>
        <v>0</v>
      </c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</row>
    <row r="23" spans="2:79" x14ac:dyDescent="0.25">
      <c r="B23" s="19">
        <f ca="1"/>
        <v>0</v>
      </c>
      <c r="C23" s="21" t="str">
        <f ca="1"/>
        <v>22</v>
      </c>
      <c r="D23" s="21" t="str">
        <f ca="1"/>
        <v>SUN06727</v>
      </c>
      <c r="E23" s="21" t="str">
        <f ca="1"/>
        <v>KL-KANNUR-A.B.STORE,IRITTY</v>
      </c>
      <c r="F23" s="21">
        <f ca="1"/>
        <v>5.46</v>
      </c>
      <c r="G23" s="21">
        <f ca="1"/>
        <v>0</v>
      </c>
      <c r="H23" s="21">
        <f ca="1"/>
        <v>0</v>
      </c>
      <c r="I23" s="21">
        <f ca="1"/>
        <v>0</v>
      </c>
      <c r="J23" s="21">
        <f ca="1"/>
        <v>0</v>
      </c>
      <c r="K23" s="21">
        <f ca="1"/>
        <v>0</v>
      </c>
      <c r="L23" s="21">
        <f ca="1"/>
        <v>0</v>
      </c>
      <c r="M23" s="21">
        <f ca="1"/>
        <v>0</v>
      </c>
      <c r="N23" s="21">
        <f ca="1"/>
        <v>0</v>
      </c>
      <c r="O23" s="21">
        <f ca="1"/>
        <v>0</v>
      </c>
      <c r="P23" s="21">
        <f ca="1"/>
        <v>0</v>
      </c>
      <c r="Q23" s="21">
        <f ca="1"/>
        <v>0</v>
      </c>
      <c r="R23" s="21">
        <f ca="1"/>
        <v>0</v>
      </c>
      <c r="S23" s="21">
        <f ca="1"/>
        <v>0</v>
      </c>
      <c r="T23" s="21">
        <f ca="1"/>
        <v>0</v>
      </c>
      <c r="U23" s="21">
        <f ca="1"/>
        <v>0</v>
      </c>
      <c r="V23" s="21">
        <f ca="1"/>
        <v>0</v>
      </c>
      <c r="W23" s="21">
        <f ca="1"/>
        <v>0</v>
      </c>
      <c r="X23" s="21">
        <f ca="1"/>
        <v>0</v>
      </c>
      <c r="Y23" s="21">
        <f ca="1"/>
        <v>0</v>
      </c>
      <c r="Z23" s="21">
        <f ca="1"/>
        <v>0</v>
      </c>
      <c r="AA23" s="21">
        <f ca="1"/>
        <v>0</v>
      </c>
      <c r="AB23" s="21">
        <f ca="1"/>
        <v>0</v>
      </c>
      <c r="AC23" s="21">
        <f ca="1"/>
        <v>0</v>
      </c>
      <c r="AD23" s="21">
        <f ca="1"/>
        <v>0</v>
      </c>
      <c r="AE23" s="21">
        <f ca="1"/>
        <v>0</v>
      </c>
      <c r="AF23" s="21">
        <f ca="1"/>
        <v>0</v>
      </c>
      <c r="AG23" s="21">
        <f ca="1"/>
        <v>0</v>
      </c>
      <c r="AH23" s="21">
        <f ca="1"/>
        <v>0</v>
      </c>
      <c r="AI23" s="21">
        <f ca="1"/>
        <v>0</v>
      </c>
      <c r="AJ23" s="21">
        <f ca="1"/>
        <v>0</v>
      </c>
      <c r="AK23" s="21">
        <f ca="1"/>
        <v>0</v>
      </c>
      <c r="AL23" s="21">
        <f ca="1"/>
        <v>0</v>
      </c>
      <c r="AM23" s="21">
        <f ca="1"/>
        <v>0</v>
      </c>
      <c r="AN23" s="21">
        <f ca="1"/>
        <v>0</v>
      </c>
      <c r="AO23" s="21">
        <f ca="1"/>
        <v>0</v>
      </c>
      <c r="AP23" s="21">
        <f ca="1"/>
        <v>0</v>
      </c>
      <c r="AQ23" s="21">
        <f ca="1"/>
        <v>0</v>
      </c>
      <c r="AR23" s="21">
        <f ca="1"/>
        <v>0</v>
      </c>
      <c r="AS23" s="21">
        <f ca="1"/>
        <v>0</v>
      </c>
      <c r="AT23" s="21">
        <f ca="1"/>
        <v>0</v>
      </c>
      <c r="AU23" s="21">
        <f ca="1"/>
        <v>0</v>
      </c>
      <c r="AV23" s="21">
        <f ca="1"/>
        <v>0</v>
      </c>
      <c r="AW23" s="21">
        <f ca="1"/>
        <v>0</v>
      </c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</row>
    <row r="24" spans="2:79" x14ac:dyDescent="0.25">
      <c r="B24" s="19">
        <f ca="1"/>
        <v>0</v>
      </c>
      <c r="C24" s="21" t="str">
        <f ca="1"/>
        <v>23</v>
      </c>
      <c r="D24" s="21" t="str">
        <f ca="1"/>
        <v>SUN06168</v>
      </c>
      <c r="E24" s="21" t="str">
        <f ca="1"/>
        <v>KL-KANNUR-SHEEN VEEN TRADES</v>
      </c>
      <c r="F24" s="21">
        <f ca="1"/>
        <v>2.004</v>
      </c>
      <c r="G24" s="21">
        <f ca="1"/>
        <v>0</v>
      </c>
      <c r="H24" s="21">
        <f ca="1"/>
        <v>0</v>
      </c>
      <c r="I24" s="21">
        <f ca="1"/>
        <v>0</v>
      </c>
      <c r="J24" s="21">
        <f ca="1"/>
        <v>0</v>
      </c>
      <c r="K24" s="21">
        <f ca="1"/>
        <v>0</v>
      </c>
      <c r="L24" s="21">
        <f ca="1"/>
        <v>0</v>
      </c>
      <c r="M24" s="21">
        <f ca="1"/>
        <v>0</v>
      </c>
      <c r="N24" s="21">
        <f ca="1"/>
        <v>0</v>
      </c>
      <c r="O24" s="21">
        <f ca="1"/>
        <v>0</v>
      </c>
      <c r="P24" s="21">
        <f ca="1"/>
        <v>0</v>
      </c>
      <c r="Q24" s="21">
        <f ca="1"/>
        <v>0</v>
      </c>
      <c r="R24" s="21">
        <f ca="1"/>
        <v>0</v>
      </c>
      <c r="S24" s="21">
        <f ca="1"/>
        <v>0</v>
      </c>
      <c r="T24" s="21">
        <f ca="1"/>
        <v>0</v>
      </c>
      <c r="U24" s="21">
        <f ca="1"/>
        <v>0</v>
      </c>
      <c r="V24" s="21">
        <f ca="1"/>
        <v>0</v>
      </c>
      <c r="W24" s="21">
        <f ca="1"/>
        <v>0</v>
      </c>
      <c r="X24" s="21">
        <f ca="1"/>
        <v>0</v>
      </c>
      <c r="Y24" s="21">
        <f ca="1"/>
        <v>0</v>
      </c>
      <c r="Z24" s="21">
        <f ca="1"/>
        <v>0</v>
      </c>
      <c r="AA24" s="21">
        <f ca="1"/>
        <v>0</v>
      </c>
      <c r="AB24" s="21">
        <f ca="1"/>
        <v>0</v>
      </c>
      <c r="AC24" s="21">
        <f ca="1"/>
        <v>0</v>
      </c>
      <c r="AD24" s="21">
        <f ca="1"/>
        <v>0</v>
      </c>
      <c r="AE24" s="21">
        <f ca="1"/>
        <v>0</v>
      </c>
      <c r="AF24" s="21">
        <f ca="1"/>
        <v>0</v>
      </c>
      <c r="AG24" s="21">
        <f ca="1"/>
        <v>0</v>
      </c>
      <c r="AH24" s="21">
        <f ca="1"/>
        <v>0</v>
      </c>
      <c r="AI24" s="21">
        <f ca="1"/>
        <v>0</v>
      </c>
      <c r="AJ24" s="21">
        <f ca="1"/>
        <v>0</v>
      </c>
      <c r="AK24" s="21">
        <f ca="1"/>
        <v>0</v>
      </c>
      <c r="AL24" s="21">
        <f ca="1"/>
        <v>0</v>
      </c>
      <c r="AM24" s="21">
        <f ca="1"/>
        <v>0</v>
      </c>
      <c r="AN24" s="21">
        <f ca="1"/>
        <v>0</v>
      </c>
      <c r="AO24" s="21">
        <f ca="1"/>
        <v>0</v>
      </c>
      <c r="AP24" s="21">
        <f ca="1"/>
        <v>0</v>
      </c>
      <c r="AQ24" s="21">
        <f ca="1"/>
        <v>0</v>
      </c>
      <c r="AR24" s="21">
        <f ca="1"/>
        <v>0</v>
      </c>
      <c r="AS24" s="21">
        <f ca="1"/>
        <v>0</v>
      </c>
      <c r="AT24" s="21">
        <f ca="1"/>
        <v>0</v>
      </c>
      <c r="AU24" s="21">
        <f ca="1"/>
        <v>0</v>
      </c>
      <c r="AV24" s="21">
        <f ca="1"/>
        <v>0</v>
      </c>
      <c r="AW24" s="21">
        <f ca="1"/>
        <v>0</v>
      </c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</row>
    <row r="25" spans="2:79" x14ac:dyDescent="0.25">
      <c r="B25" s="19">
        <f ca="1"/>
        <v>0</v>
      </c>
      <c r="C25" s="21" t="str">
        <f ca="1"/>
        <v>24</v>
      </c>
      <c r="D25" s="21" t="str">
        <f ca="1"/>
        <v>SUN06756</v>
      </c>
      <c r="E25" s="21" t="str">
        <f ca="1"/>
        <v>KL KANNUR K.B TRADE LINKS</v>
      </c>
      <c r="F25" s="21">
        <f ca="1"/>
        <v>2.7320000000000002</v>
      </c>
      <c r="G25" s="21">
        <f ca="1"/>
        <v>0</v>
      </c>
      <c r="H25" s="21">
        <f ca="1"/>
        <v>0</v>
      </c>
      <c r="I25" s="21">
        <f ca="1"/>
        <v>0</v>
      </c>
      <c r="J25" s="21">
        <f ca="1"/>
        <v>0</v>
      </c>
      <c r="K25" s="21">
        <f ca="1"/>
        <v>0</v>
      </c>
      <c r="L25" s="21">
        <f ca="1"/>
        <v>0</v>
      </c>
      <c r="M25" s="21">
        <f ca="1"/>
        <v>0</v>
      </c>
      <c r="N25" s="21">
        <f ca="1"/>
        <v>0</v>
      </c>
      <c r="O25" s="21">
        <f ca="1"/>
        <v>0</v>
      </c>
      <c r="P25" s="21">
        <f ca="1"/>
        <v>0</v>
      </c>
      <c r="Q25" s="21">
        <f ca="1"/>
        <v>0</v>
      </c>
      <c r="R25" s="21">
        <f ca="1"/>
        <v>0</v>
      </c>
      <c r="S25" s="21">
        <f ca="1"/>
        <v>0</v>
      </c>
      <c r="T25" s="21">
        <f ca="1"/>
        <v>0</v>
      </c>
      <c r="U25" s="21">
        <f ca="1"/>
        <v>0</v>
      </c>
      <c r="V25" s="21">
        <f ca="1"/>
        <v>0</v>
      </c>
      <c r="W25" s="21">
        <f ca="1"/>
        <v>0</v>
      </c>
      <c r="X25" s="21">
        <f ca="1"/>
        <v>0</v>
      </c>
      <c r="Y25" s="21">
        <f ca="1"/>
        <v>0</v>
      </c>
      <c r="Z25" s="21">
        <f ca="1"/>
        <v>0</v>
      </c>
      <c r="AA25" s="21">
        <f ca="1"/>
        <v>0</v>
      </c>
      <c r="AB25" s="21">
        <f ca="1"/>
        <v>0</v>
      </c>
      <c r="AC25" s="21">
        <f ca="1"/>
        <v>0</v>
      </c>
      <c r="AD25" s="21">
        <f ca="1"/>
        <v>0</v>
      </c>
      <c r="AE25" s="21">
        <f ca="1"/>
        <v>0</v>
      </c>
      <c r="AF25" s="21">
        <f ca="1"/>
        <v>0</v>
      </c>
      <c r="AG25" s="21">
        <f ca="1"/>
        <v>0</v>
      </c>
      <c r="AH25" s="21">
        <f ca="1"/>
        <v>0</v>
      </c>
      <c r="AI25" s="21">
        <f ca="1"/>
        <v>0</v>
      </c>
      <c r="AJ25" s="21">
        <f ca="1"/>
        <v>0</v>
      </c>
      <c r="AK25" s="21">
        <f ca="1"/>
        <v>0</v>
      </c>
      <c r="AL25" s="21">
        <f ca="1"/>
        <v>0</v>
      </c>
      <c r="AM25" s="21">
        <f ca="1"/>
        <v>0</v>
      </c>
      <c r="AN25" s="21">
        <f ca="1"/>
        <v>0</v>
      </c>
      <c r="AO25" s="21">
        <f ca="1"/>
        <v>0</v>
      </c>
      <c r="AP25" s="21">
        <f ca="1"/>
        <v>0</v>
      </c>
      <c r="AQ25" s="21">
        <f ca="1"/>
        <v>0</v>
      </c>
      <c r="AR25" s="21">
        <f ca="1"/>
        <v>0</v>
      </c>
      <c r="AS25" s="21">
        <f ca="1"/>
        <v>0</v>
      </c>
      <c r="AT25" s="21">
        <f ca="1"/>
        <v>0</v>
      </c>
      <c r="AU25" s="21">
        <f ca="1"/>
        <v>0</v>
      </c>
      <c r="AV25" s="21">
        <f ca="1"/>
        <v>0</v>
      </c>
      <c r="AW25" s="21">
        <f ca="1"/>
        <v>0</v>
      </c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</row>
    <row r="26" spans="2:79" x14ac:dyDescent="0.25">
      <c r="B26" s="19">
        <f ca="1"/>
        <v>0</v>
      </c>
      <c r="C26" s="21" t="str">
        <f ca="1"/>
        <v>25</v>
      </c>
      <c r="D26" s="21" t="str">
        <f ca="1"/>
        <v>SUN07755</v>
      </c>
      <c r="E26" s="21" t="str">
        <f ca="1"/>
        <v>AP KUSUMA KISHORI AGENCY</v>
      </c>
      <c r="F26" s="21">
        <f ca="1"/>
        <v>0</v>
      </c>
      <c r="G26" s="21">
        <f ca="1"/>
        <v>0</v>
      </c>
      <c r="H26" s="21">
        <f ca="1"/>
        <v>0</v>
      </c>
      <c r="I26" s="21">
        <f ca="1"/>
        <v>0</v>
      </c>
      <c r="J26" s="21">
        <f ca="1"/>
        <v>0</v>
      </c>
      <c r="K26" s="21">
        <f ca="1"/>
        <v>0</v>
      </c>
      <c r="L26" s="21">
        <f ca="1"/>
        <v>0</v>
      </c>
      <c r="M26" s="21">
        <f ca="1"/>
        <v>0</v>
      </c>
      <c r="N26" s="21">
        <f ca="1"/>
        <v>0</v>
      </c>
      <c r="O26" s="21">
        <f ca="1"/>
        <v>0</v>
      </c>
      <c r="P26" s="21">
        <f ca="1"/>
        <v>0</v>
      </c>
      <c r="Q26" s="21">
        <f ca="1"/>
        <v>0</v>
      </c>
      <c r="R26" s="21">
        <f ca="1"/>
        <v>0</v>
      </c>
      <c r="S26" s="21">
        <f ca="1"/>
        <v>0</v>
      </c>
      <c r="T26" s="21">
        <f ca="1"/>
        <v>0</v>
      </c>
      <c r="U26" s="21">
        <f ca="1"/>
        <v>0</v>
      </c>
      <c r="V26" s="21">
        <f ca="1"/>
        <v>0</v>
      </c>
      <c r="W26" s="21">
        <f ca="1"/>
        <v>0</v>
      </c>
      <c r="X26" s="21">
        <f ca="1"/>
        <v>0</v>
      </c>
      <c r="Y26" s="21">
        <f ca="1"/>
        <v>0</v>
      </c>
      <c r="Z26" s="21">
        <f ca="1"/>
        <v>0</v>
      </c>
      <c r="AA26" s="21">
        <f ca="1"/>
        <v>0</v>
      </c>
      <c r="AB26" s="21">
        <f ca="1"/>
        <v>0</v>
      </c>
      <c r="AC26" s="21">
        <f ca="1"/>
        <v>0</v>
      </c>
      <c r="AD26" s="21">
        <f ca="1"/>
        <v>0</v>
      </c>
      <c r="AE26" s="21">
        <f ca="1"/>
        <v>0</v>
      </c>
      <c r="AF26" s="21">
        <f ca="1"/>
        <v>0</v>
      </c>
      <c r="AG26" s="21">
        <f ca="1"/>
        <v>0</v>
      </c>
      <c r="AH26" s="21">
        <f ca="1"/>
        <v>0</v>
      </c>
      <c r="AI26" s="21">
        <f ca="1"/>
        <v>0</v>
      </c>
      <c r="AJ26" s="21">
        <f ca="1"/>
        <v>0</v>
      </c>
      <c r="AK26" s="21">
        <f ca="1"/>
        <v>0</v>
      </c>
      <c r="AL26" s="21">
        <f ca="1"/>
        <v>0</v>
      </c>
      <c r="AM26" s="21">
        <f ca="1"/>
        <v>0</v>
      </c>
      <c r="AN26" s="21">
        <f ca="1"/>
        <v>0</v>
      </c>
      <c r="AO26" s="21">
        <f ca="1"/>
        <v>0</v>
      </c>
      <c r="AP26" s="21">
        <f ca="1"/>
        <v>0</v>
      </c>
      <c r="AQ26" s="21">
        <f ca="1"/>
        <v>0</v>
      </c>
      <c r="AR26" s="21">
        <f ca="1"/>
        <v>0</v>
      </c>
      <c r="AS26" s="21">
        <f ca="1"/>
        <v>0</v>
      </c>
      <c r="AT26" s="21">
        <f ca="1"/>
        <v>0</v>
      </c>
      <c r="AU26" s="21">
        <f ca="1"/>
        <v>0</v>
      </c>
      <c r="AV26" s="21">
        <f ca="1"/>
        <v>0</v>
      </c>
      <c r="AW26" s="21">
        <f ca="1"/>
        <v>0</v>
      </c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</row>
    <row r="27" spans="2:79" x14ac:dyDescent="0.25">
      <c r="B27" s="19">
        <f ca="1"/>
        <v>0</v>
      </c>
      <c r="C27" s="21" t="str">
        <f ca="1"/>
        <v>26</v>
      </c>
      <c r="D27" s="21" t="str">
        <f ca="1"/>
        <v>SUN07110</v>
      </c>
      <c r="E27" s="21" t="str">
        <f ca="1"/>
        <v>AP-CHITTHIRALA EDIBLE OILS AND FOODS</v>
      </c>
      <c r="F27" s="21">
        <f ca="1"/>
        <v>0</v>
      </c>
      <c r="G27" s="21">
        <f ca="1"/>
        <v>0</v>
      </c>
      <c r="H27" s="21">
        <f ca="1"/>
        <v>0</v>
      </c>
      <c r="I27" s="21">
        <f ca="1"/>
        <v>0</v>
      </c>
      <c r="J27" s="21">
        <f ca="1"/>
        <v>0</v>
      </c>
      <c r="K27" s="21">
        <f ca="1"/>
        <v>0</v>
      </c>
      <c r="L27" s="21">
        <f ca="1"/>
        <v>0</v>
      </c>
      <c r="M27" s="21">
        <f ca="1"/>
        <v>0</v>
      </c>
      <c r="N27" s="21">
        <f ca="1"/>
        <v>0</v>
      </c>
      <c r="O27" s="21">
        <f ca="1"/>
        <v>0</v>
      </c>
      <c r="P27" s="21">
        <f ca="1"/>
        <v>0</v>
      </c>
      <c r="Q27" s="21">
        <f ca="1"/>
        <v>0</v>
      </c>
      <c r="R27" s="21">
        <f ca="1"/>
        <v>0</v>
      </c>
      <c r="S27" s="21">
        <f ca="1"/>
        <v>0</v>
      </c>
      <c r="T27" s="21">
        <f ca="1"/>
        <v>0</v>
      </c>
      <c r="U27" s="21">
        <f ca="1"/>
        <v>0</v>
      </c>
      <c r="V27" s="21">
        <f ca="1"/>
        <v>0</v>
      </c>
      <c r="W27" s="21">
        <f ca="1"/>
        <v>0</v>
      </c>
      <c r="X27" s="21">
        <f ca="1"/>
        <v>0</v>
      </c>
      <c r="Y27" s="21">
        <f ca="1"/>
        <v>0</v>
      </c>
      <c r="Z27" s="21">
        <f ca="1"/>
        <v>0</v>
      </c>
      <c r="AA27" s="21">
        <f ca="1"/>
        <v>0</v>
      </c>
      <c r="AB27" s="21">
        <f ca="1"/>
        <v>0</v>
      </c>
      <c r="AC27" s="21">
        <f ca="1"/>
        <v>0</v>
      </c>
      <c r="AD27" s="21">
        <f ca="1"/>
        <v>0</v>
      </c>
      <c r="AE27" s="21">
        <f ca="1"/>
        <v>0</v>
      </c>
      <c r="AF27" s="21">
        <f ca="1"/>
        <v>0</v>
      </c>
      <c r="AG27" s="21">
        <f ca="1"/>
        <v>0</v>
      </c>
      <c r="AH27" s="21">
        <f ca="1"/>
        <v>0</v>
      </c>
      <c r="AI27" s="21">
        <f ca="1"/>
        <v>0</v>
      </c>
      <c r="AJ27" s="21">
        <f ca="1"/>
        <v>0</v>
      </c>
      <c r="AK27" s="21">
        <f ca="1"/>
        <v>0</v>
      </c>
      <c r="AL27" s="21">
        <f ca="1"/>
        <v>0</v>
      </c>
      <c r="AM27" s="21">
        <f ca="1"/>
        <v>0</v>
      </c>
      <c r="AN27" s="21">
        <f ca="1"/>
        <v>0</v>
      </c>
      <c r="AO27" s="21">
        <f ca="1"/>
        <v>0</v>
      </c>
      <c r="AP27" s="21">
        <f ca="1"/>
        <v>0</v>
      </c>
      <c r="AQ27" s="21">
        <f ca="1"/>
        <v>0</v>
      </c>
      <c r="AR27" s="21">
        <f ca="1"/>
        <v>0</v>
      </c>
      <c r="AS27" s="21">
        <f ca="1"/>
        <v>0</v>
      </c>
      <c r="AT27" s="21">
        <f ca="1"/>
        <v>0</v>
      </c>
      <c r="AU27" s="21">
        <f ca="1"/>
        <v>0</v>
      </c>
      <c r="AV27" s="21">
        <f ca="1"/>
        <v>0</v>
      </c>
      <c r="AW27" s="21">
        <f ca="1"/>
        <v>0</v>
      </c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</row>
    <row r="28" spans="2:79" x14ac:dyDescent="0.25">
      <c r="B28" s="19">
        <f ca="1"/>
        <v>0</v>
      </c>
      <c r="C28" s="21" t="str">
        <f ca="1"/>
        <v>27</v>
      </c>
      <c r="D28" s="21" t="str">
        <f ca="1"/>
        <v>SUN04946</v>
      </c>
      <c r="E28" s="21" t="str">
        <f ca="1"/>
        <v>ED P V P REFINERIES PVT LTD</v>
      </c>
      <c r="F28" s="21">
        <f ca="1"/>
        <v>0</v>
      </c>
      <c r="G28" s="21">
        <f ca="1"/>
        <v>0</v>
      </c>
      <c r="H28" s="21">
        <f ca="1"/>
        <v>0</v>
      </c>
      <c r="I28" s="21">
        <f ca="1"/>
        <v>0</v>
      </c>
      <c r="J28" s="21">
        <f ca="1"/>
        <v>0</v>
      </c>
      <c r="K28" s="21">
        <f ca="1"/>
        <v>0</v>
      </c>
      <c r="L28" s="21">
        <f ca="1"/>
        <v>0</v>
      </c>
      <c r="M28" s="21">
        <f ca="1"/>
        <v>0</v>
      </c>
      <c r="N28" s="21">
        <f ca="1"/>
        <v>0</v>
      </c>
      <c r="O28" s="21">
        <f ca="1"/>
        <v>0</v>
      </c>
      <c r="P28" s="21">
        <f ca="1"/>
        <v>0</v>
      </c>
      <c r="Q28" s="21">
        <f ca="1"/>
        <v>0</v>
      </c>
      <c r="R28" s="21">
        <f ca="1"/>
        <v>0</v>
      </c>
      <c r="S28" s="21">
        <f ca="1"/>
        <v>0</v>
      </c>
      <c r="T28" s="21">
        <f ca="1"/>
        <v>0</v>
      </c>
      <c r="U28" s="21">
        <f ca="1"/>
        <v>0</v>
      </c>
      <c r="V28" s="21">
        <f ca="1"/>
        <v>0</v>
      </c>
      <c r="W28" s="21">
        <f ca="1"/>
        <v>0</v>
      </c>
      <c r="X28" s="21">
        <f ca="1"/>
        <v>0</v>
      </c>
      <c r="Y28" s="21">
        <f ca="1"/>
        <v>0</v>
      </c>
      <c r="Z28" s="21">
        <f ca="1"/>
        <v>0</v>
      </c>
      <c r="AA28" s="21">
        <f ca="1"/>
        <v>0</v>
      </c>
      <c r="AB28" s="21">
        <f ca="1"/>
        <v>0</v>
      </c>
      <c r="AC28" s="21">
        <f ca="1"/>
        <v>0</v>
      </c>
      <c r="AD28" s="21">
        <f ca="1"/>
        <v>0</v>
      </c>
      <c r="AE28" s="21">
        <f ca="1"/>
        <v>0</v>
      </c>
      <c r="AF28" s="21">
        <f ca="1"/>
        <v>0</v>
      </c>
      <c r="AG28" s="21">
        <f ca="1"/>
        <v>0</v>
      </c>
      <c r="AH28" s="21">
        <f ca="1"/>
        <v>0</v>
      </c>
      <c r="AI28" s="21">
        <f ca="1"/>
        <v>0</v>
      </c>
      <c r="AJ28" s="21">
        <f ca="1"/>
        <v>0</v>
      </c>
      <c r="AK28" s="21">
        <f ca="1"/>
        <v>0</v>
      </c>
      <c r="AL28" s="21">
        <f ca="1"/>
        <v>0</v>
      </c>
      <c r="AM28" s="21">
        <f ca="1"/>
        <v>0</v>
      </c>
      <c r="AN28" s="21">
        <f ca="1"/>
        <v>0</v>
      </c>
      <c r="AO28" s="21">
        <f ca="1"/>
        <v>0</v>
      </c>
      <c r="AP28" s="21">
        <f ca="1"/>
        <v>0</v>
      </c>
      <c r="AQ28" s="21">
        <f ca="1"/>
        <v>0</v>
      </c>
      <c r="AR28" s="21">
        <f ca="1"/>
        <v>0</v>
      </c>
      <c r="AS28" s="21">
        <f ca="1"/>
        <v>0</v>
      </c>
      <c r="AT28" s="21">
        <f ca="1"/>
        <v>0</v>
      </c>
      <c r="AU28" s="21">
        <f ca="1"/>
        <v>0</v>
      </c>
      <c r="AV28" s="21">
        <f ca="1"/>
        <v>0</v>
      </c>
      <c r="AW28" s="21">
        <f ca="1"/>
        <v>0</v>
      </c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</row>
    <row r="29" spans="2:79" x14ac:dyDescent="0.25">
      <c r="B29" s="19">
        <f ca="1"/>
        <v>0</v>
      </c>
      <c r="C29" s="21" t="str">
        <f ca="1"/>
        <v>28</v>
      </c>
      <c r="D29" s="21" t="str">
        <f ca="1"/>
        <v>SUN06221</v>
      </c>
      <c r="E29" s="21" t="str">
        <f ca="1"/>
        <v>ED - SRI SESHADRI AAGRO FOODS (SALES) RAMESH</v>
      </c>
      <c r="F29" s="21">
        <f ca="1"/>
        <v>0</v>
      </c>
      <c r="G29" s="21">
        <f ca="1"/>
        <v>0</v>
      </c>
      <c r="H29" s="21">
        <f ca="1"/>
        <v>0</v>
      </c>
      <c r="I29" s="21">
        <f ca="1"/>
        <v>0</v>
      </c>
      <c r="J29" s="21">
        <f ca="1"/>
        <v>0</v>
      </c>
      <c r="K29" s="21">
        <f ca="1"/>
        <v>0</v>
      </c>
      <c r="L29" s="21">
        <f ca="1"/>
        <v>0</v>
      </c>
      <c r="M29" s="21">
        <f ca="1"/>
        <v>0</v>
      </c>
      <c r="N29" s="21">
        <f ca="1"/>
        <v>0</v>
      </c>
      <c r="O29" s="21">
        <f ca="1"/>
        <v>0</v>
      </c>
      <c r="P29" s="21">
        <f ca="1"/>
        <v>0</v>
      </c>
      <c r="Q29" s="21">
        <f ca="1"/>
        <v>0</v>
      </c>
      <c r="R29" s="21">
        <f ca="1"/>
        <v>0</v>
      </c>
      <c r="S29" s="21">
        <f ca="1"/>
        <v>0</v>
      </c>
      <c r="T29" s="21">
        <f ca="1"/>
        <v>0</v>
      </c>
      <c r="U29" s="21">
        <f ca="1"/>
        <v>0</v>
      </c>
      <c r="V29" s="21">
        <f ca="1"/>
        <v>0</v>
      </c>
      <c r="W29" s="21">
        <f ca="1"/>
        <v>0</v>
      </c>
      <c r="X29" s="21">
        <f ca="1"/>
        <v>0</v>
      </c>
      <c r="Y29" s="21">
        <f ca="1"/>
        <v>0</v>
      </c>
      <c r="Z29" s="21">
        <f ca="1"/>
        <v>0</v>
      </c>
      <c r="AA29" s="21">
        <f ca="1"/>
        <v>0</v>
      </c>
      <c r="AB29" s="21">
        <f ca="1"/>
        <v>0</v>
      </c>
      <c r="AC29" s="21">
        <f ca="1"/>
        <v>0</v>
      </c>
      <c r="AD29" s="21">
        <f ca="1"/>
        <v>0</v>
      </c>
      <c r="AE29" s="21">
        <f ca="1"/>
        <v>0</v>
      </c>
      <c r="AF29" s="21">
        <f ca="1"/>
        <v>0</v>
      </c>
      <c r="AG29" s="21">
        <f ca="1"/>
        <v>0</v>
      </c>
      <c r="AH29" s="21">
        <f ca="1"/>
        <v>0</v>
      </c>
      <c r="AI29" s="21">
        <f ca="1"/>
        <v>0</v>
      </c>
      <c r="AJ29" s="21">
        <f ca="1"/>
        <v>0</v>
      </c>
      <c r="AK29" s="21">
        <f ca="1"/>
        <v>0</v>
      </c>
      <c r="AL29" s="21">
        <f ca="1"/>
        <v>0</v>
      </c>
      <c r="AM29" s="21">
        <f ca="1"/>
        <v>0</v>
      </c>
      <c r="AN29" s="21">
        <f ca="1"/>
        <v>0</v>
      </c>
      <c r="AO29" s="21">
        <f ca="1"/>
        <v>0</v>
      </c>
      <c r="AP29" s="21">
        <f ca="1"/>
        <v>0</v>
      </c>
      <c r="AQ29" s="21">
        <f ca="1"/>
        <v>0</v>
      </c>
      <c r="AR29" s="21">
        <f ca="1"/>
        <v>0</v>
      </c>
      <c r="AS29" s="21">
        <f ca="1"/>
        <v>0</v>
      </c>
      <c r="AT29" s="21">
        <f ca="1"/>
        <v>0</v>
      </c>
      <c r="AU29" s="21">
        <f ca="1"/>
        <v>0</v>
      </c>
      <c r="AV29" s="21">
        <f ca="1"/>
        <v>0</v>
      </c>
      <c r="AW29" s="21">
        <f ca="1"/>
        <v>0</v>
      </c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</row>
    <row r="30" spans="2:79" x14ac:dyDescent="0.25">
      <c r="B30" s="19">
        <f ca="1"/>
        <v>0</v>
      </c>
      <c r="C30" s="21" t="str">
        <f ca="1"/>
        <v>29</v>
      </c>
      <c r="D30" s="21" t="str">
        <f ca="1"/>
        <v>SUN01051</v>
      </c>
      <c r="E30" s="21" t="str">
        <f ca="1"/>
        <v>SLM BEE YES CEE AGENCY</v>
      </c>
      <c r="F30" s="21">
        <f ca="1"/>
        <v>18.73</v>
      </c>
      <c r="G30" s="21">
        <f ca="1"/>
        <v>0</v>
      </c>
      <c r="H30" s="21">
        <f ca="1"/>
        <v>0</v>
      </c>
      <c r="I30" s="21">
        <f ca="1"/>
        <v>0</v>
      </c>
      <c r="J30" s="21">
        <f ca="1"/>
        <v>0</v>
      </c>
      <c r="K30" s="21">
        <f ca="1"/>
        <v>0</v>
      </c>
      <c r="L30" s="21">
        <f ca="1"/>
        <v>0</v>
      </c>
      <c r="M30" s="21">
        <f ca="1"/>
        <v>0</v>
      </c>
      <c r="N30" s="21">
        <f ca="1"/>
        <v>0</v>
      </c>
      <c r="O30" s="21">
        <f ca="1"/>
        <v>0</v>
      </c>
      <c r="P30" s="21">
        <f ca="1"/>
        <v>0</v>
      </c>
      <c r="Q30" s="21">
        <f ca="1"/>
        <v>0</v>
      </c>
      <c r="R30" s="21">
        <f ca="1"/>
        <v>0</v>
      </c>
      <c r="S30" s="21">
        <f ca="1"/>
        <v>0</v>
      </c>
      <c r="T30" s="21">
        <f ca="1"/>
        <v>0</v>
      </c>
      <c r="U30" s="21">
        <f ca="1"/>
        <v>0</v>
      </c>
      <c r="V30" s="21">
        <f ca="1"/>
        <v>0</v>
      </c>
      <c r="W30" s="21">
        <f ca="1"/>
        <v>0</v>
      </c>
      <c r="X30" s="21">
        <f ca="1"/>
        <v>0</v>
      </c>
      <c r="Y30" s="21">
        <f ca="1"/>
        <v>0</v>
      </c>
      <c r="Z30" s="21">
        <f ca="1"/>
        <v>0</v>
      </c>
      <c r="AA30" s="21">
        <f ca="1"/>
        <v>0</v>
      </c>
      <c r="AB30" s="21">
        <f ca="1"/>
        <v>0</v>
      </c>
      <c r="AC30" s="21">
        <f ca="1"/>
        <v>0</v>
      </c>
      <c r="AD30" s="21">
        <f ca="1"/>
        <v>0</v>
      </c>
      <c r="AE30" s="21">
        <f ca="1"/>
        <v>0</v>
      </c>
      <c r="AF30" s="21">
        <f ca="1"/>
        <v>0</v>
      </c>
      <c r="AG30" s="21">
        <f ca="1"/>
        <v>0</v>
      </c>
      <c r="AH30" s="21">
        <f ca="1"/>
        <v>0</v>
      </c>
      <c r="AI30" s="21">
        <f ca="1"/>
        <v>0</v>
      </c>
      <c r="AJ30" s="21">
        <f ca="1"/>
        <v>0</v>
      </c>
      <c r="AK30" s="21">
        <f ca="1"/>
        <v>0</v>
      </c>
      <c r="AL30" s="21">
        <f ca="1"/>
        <v>0</v>
      </c>
      <c r="AM30" s="21">
        <f ca="1"/>
        <v>0</v>
      </c>
      <c r="AN30" s="21">
        <f ca="1"/>
        <v>0</v>
      </c>
      <c r="AO30" s="21">
        <f ca="1"/>
        <v>0</v>
      </c>
      <c r="AP30" s="21">
        <f ca="1"/>
        <v>0</v>
      </c>
      <c r="AQ30" s="21">
        <f ca="1"/>
        <v>0</v>
      </c>
      <c r="AR30" s="21">
        <f ca="1"/>
        <v>0</v>
      </c>
      <c r="AS30" s="21">
        <f ca="1"/>
        <v>0</v>
      </c>
      <c r="AT30" s="21">
        <f ca="1"/>
        <v>0</v>
      </c>
      <c r="AU30" s="21">
        <f ca="1"/>
        <v>0</v>
      </c>
      <c r="AV30" s="21">
        <f ca="1"/>
        <v>0</v>
      </c>
      <c r="AW30" s="21">
        <f ca="1"/>
        <v>0</v>
      </c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</row>
    <row r="31" spans="2:79" x14ac:dyDescent="0.25">
      <c r="B31" s="19">
        <f ca="1"/>
        <v>0</v>
      </c>
      <c r="C31" s="21" t="str">
        <f ca="1"/>
        <v>30</v>
      </c>
      <c r="D31" s="21" t="str">
        <f ca="1"/>
        <v>SUN03613</v>
      </c>
      <c r="E31" s="21" t="str">
        <f ca="1"/>
        <v>KUTHAMBAKKAM-SUPER MARKET (BIG BASKET)</v>
      </c>
      <c r="F31" s="21">
        <f ca="1"/>
        <v>0</v>
      </c>
      <c r="G31" s="21">
        <f ca="1"/>
        <v>0</v>
      </c>
      <c r="H31" s="21">
        <f ca="1"/>
        <v>0</v>
      </c>
      <c r="I31" s="21">
        <f ca="1"/>
        <v>0</v>
      </c>
      <c r="J31" s="21">
        <f ca="1"/>
        <v>0</v>
      </c>
      <c r="K31" s="21">
        <f ca="1"/>
        <v>0</v>
      </c>
      <c r="L31" s="21">
        <f ca="1"/>
        <v>0</v>
      </c>
      <c r="M31" s="21">
        <f ca="1"/>
        <v>0</v>
      </c>
      <c r="N31" s="21">
        <f ca="1"/>
        <v>0</v>
      </c>
      <c r="O31" s="21">
        <f ca="1"/>
        <v>0</v>
      </c>
      <c r="P31" s="21">
        <f ca="1"/>
        <v>0</v>
      </c>
      <c r="Q31" s="21">
        <f ca="1"/>
        <v>0</v>
      </c>
      <c r="R31" s="21">
        <f ca="1"/>
        <v>0</v>
      </c>
      <c r="S31" s="21">
        <f ca="1"/>
        <v>0</v>
      </c>
      <c r="T31" s="21">
        <f ca="1"/>
        <v>0</v>
      </c>
      <c r="U31" s="21">
        <f ca="1"/>
        <v>0</v>
      </c>
      <c r="V31" s="21">
        <f ca="1"/>
        <v>0</v>
      </c>
      <c r="W31" s="21">
        <f ca="1"/>
        <v>0</v>
      </c>
      <c r="X31" s="21">
        <f ca="1"/>
        <v>0</v>
      </c>
      <c r="Y31" s="21">
        <f ca="1"/>
        <v>0</v>
      </c>
      <c r="Z31" s="21">
        <f ca="1"/>
        <v>0</v>
      </c>
      <c r="AA31" s="21">
        <f ca="1"/>
        <v>0</v>
      </c>
      <c r="AB31" s="21">
        <f ca="1"/>
        <v>0</v>
      </c>
      <c r="AC31" s="21">
        <f ca="1"/>
        <v>0</v>
      </c>
      <c r="AD31" s="21">
        <f ca="1"/>
        <v>0</v>
      </c>
      <c r="AE31" s="21">
        <f ca="1"/>
        <v>0</v>
      </c>
      <c r="AF31" s="21">
        <f ca="1"/>
        <v>0</v>
      </c>
      <c r="AG31" s="21">
        <f ca="1"/>
        <v>0</v>
      </c>
      <c r="AH31" s="21">
        <f ca="1"/>
        <v>0</v>
      </c>
      <c r="AI31" s="21">
        <f ca="1"/>
        <v>0</v>
      </c>
      <c r="AJ31" s="21">
        <f ca="1"/>
        <v>0</v>
      </c>
      <c r="AK31" s="21">
        <f ca="1"/>
        <v>0</v>
      </c>
      <c r="AL31" s="21">
        <f ca="1"/>
        <v>0</v>
      </c>
      <c r="AM31" s="21">
        <f ca="1"/>
        <v>0</v>
      </c>
      <c r="AN31" s="21">
        <f ca="1"/>
        <v>0</v>
      </c>
      <c r="AO31" s="21">
        <f ca="1"/>
        <v>0</v>
      </c>
      <c r="AP31" s="21">
        <f ca="1"/>
        <v>0</v>
      </c>
      <c r="AQ31" s="21">
        <f ca="1"/>
        <v>0</v>
      </c>
      <c r="AR31" s="21">
        <f ca="1"/>
        <v>0</v>
      </c>
      <c r="AS31" s="21">
        <f ca="1"/>
        <v>0</v>
      </c>
      <c r="AT31" s="21">
        <f ca="1"/>
        <v>0</v>
      </c>
      <c r="AU31" s="21">
        <f ca="1"/>
        <v>0</v>
      </c>
      <c r="AV31" s="21">
        <f ca="1"/>
        <v>0</v>
      </c>
      <c r="AW31" s="21">
        <f ca="1"/>
        <v>0</v>
      </c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</row>
    <row r="32" spans="2:79" x14ac:dyDescent="0.25">
      <c r="B32" s="19">
        <f ca="1"/>
        <v>0</v>
      </c>
      <c r="C32" s="21" t="str">
        <f ca="1"/>
        <v>31</v>
      </c>
      <c r="D32" s="21" t="str">
        <f ca="1"/>
        <v>SUN04206</v>
      </c>
      <c r="E32" s="21" t="str">
        <f ca="1"/>
        <v>PRI SRI VENKATESHWARA FOOD PROCESSING</v>
      </c>
      <c r="F32" s="21">
        <f ca="1"/>
        <v>0</v>
      </c>
      <c r="G32" s="21">
        <f ca="1"/>
        <v>0</v>
      </c>
      <c r="H32" s="21">
        <f ca="1"/>
        <v>0</v>
      </c>
      <c r="I32" s="21">
        <f ca="1"/>
        <v>0</v>
      </c>
      <c r="J32" s="21">
        <f ca="1"/>
        <v>0</v>
      </c>
      <c r="K32" s="21">
        <f ca="1"/>
        <v>0</v>
      </c>
      <c r="L32" s="21">
        <f ca="1"/>
        <v>0</v>
      </c>
      <c r="M32" s="21">
        <f ca="1"/>
        <v>0</v>
      </c>
      <c r="N32" s="21">
        <f ca="1"/>
        <v>0</v>
      </c>
      <c r="O32" s="21">
        <f ca="1"/>
        <v>0</v>
      </c>
      <c r="P32" s="21">
        <f ca="1"/>
        <v>0</v>
      </c>
      <c r="Q32" s="21">
        <f ca="1"/>
        <v>0</v>
      </c>
      <c r="R32" s="21">
        <f ca="1"/>
        <v>0</v>
      </c>
      <c r="S32" s="21">
        <f ca="1"/>
        <v>0</v>
      </c>
      <c r="T32" s="21">
        <f ca="1"/>
        <v>0</v>
      </c>
      <c r="U32" s="21">
        <f ca="1"/>
        <v>0</v>
      </c>
      <c r="V32" s="21">
        <f ca="1"/>
        <v>0</v>
      </c>
      <c r="W32" s="21">
        <f ca="1"/>
        <v>0</v>
      </c>
      <c r="X32" s="21">
        <f ca="1"/>
        <v>0</v>
      </c>
      <c r="Y32" s="21">
        <f ca="1"/>
        <v>0</v>
      </c>
      <c r="Z32" s="21">
        <f ca="1"/>
        <v>0</v>
      </c>
      <c r="AA32" s="21">
        <f ca="1"/>
        <v>0</v>
      </c>
      <c r="AB32" s="21">
        <f ca="1"/>
        <v>0</v>
      </c>
      <c r="AC32" s="21">
        <f ca="1"/>
        <v>0</v>
      </c>
      <c r="AD32" s="21">
        <f ca="1"/>
        <v>0</v>
      </c>
      <c r="AE32" s="21">
        <f ca="1"/>
        <v>0</v>
      </c>
      <c r="AF32" s="21">
        <f ca="1"/>
        <v>0</v>
      </c>
      <c r="AG32" s="21">
        <f ca="1"/>
        <v>0</v>
      </c>
      <c r="AH32" s="21">
        <f ca="1"/>
        <v>0</v>
      </c>
      <c r="AI32" s="21">
        <f ca="1"/>
        <v>0</v>
      </c>
      <c r="AJ32" s="21">
        <f ca="1"/>
        <v>0</v>
      </c>
      <c r="AK32" s="21">
        <f ca="1"/>
        <v>0</v>
      </c>
      <c r="AL32" s="21">
        <f ca="1"/>
        <v>0</v>
      </c>
      <c r="AM32" s="21">
        <f ca="1"/>
        <v>0</v>
      </c>
      <c r="AN32" s="21">
        <f ca="1"/>
        <v>0</v>
      </c>
      <c r="AO32" s="21">
        <f ca="1"/>
        <v>0</v>
      </c>
      <c r="AP32" s="21">
        <f ca="1"/>
        <v>0</v>
      </c>
      <c r="AQ32" s="21">
        <f ca="1"/>
        <v>0</v>
      </c>
      <c r="AR32" s="21">
        <f ca="1"/>
        <v>0</v>
      </c>
      <c r="AS32" s="21">
        <f ca="1"/>
        <v>0</v>
      </c>
      <c r="AT32" s="21">
        <f ca="1"/>
        <v>0</v>
      </c>
      <c r="AU32" s="21">
        <f ca="1"/>
        <v>0</v>
      </c>
      <c r="AV32" s="21">
        <f ca="1"/>
        <v>0</v>
      </c>
      <c r="AW32" s="21">
        <f ca="1"/>
        <v>0</v>
      </c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</row>
    <row r="33" spans="2:79" x14ac:dyDescent="0.25">
      <c r="B33" s="19">
        <f ca="1"/>
        <v>0</v>
      </c>
      <c r="C33" s="21" t="str">
        <f ca="1"/>
        <v>32</v>
      </c>
      <c r="D33" s="21" t="str">
        <f ca="1"/>
        <v>SUN06311</v>
      </c>
      <c r="E33" s="21" t="str">
        <f ca="1"/>
        <v>CNI-PERIYAPALAYAM-SCOOTSY LOGISTICS PVT LTD</v>
      </c>
      <c r="F33" s="21">
        <f ca="1"/>
        <v>18.646000000000001</v>
      </c>
      <c r="G33" s="21">
        <f ca="1"/>
        <v>0</v>
      </c>
      <c r="H33" s="21">
        <f ca="1"/>
        <v>0</v>
      </c>
      <c r="I33" s="21">
        <f ca="1"/>
        <v>96</v>
      </c>
      <c r="J33" s="21">
        <f ca="1"/>
        <v>39</v>
      </c>
      <c r="K33" s="21">
        <f ca="1"/>
        <v>0</v>
      </c>
      <c r="L33" s="21">
        <f ca="1"/>
        <v>57</v>
      </c>
      <c r="M33" s="21">
        <f ca="1"/>
        <v>0</v>
      </c>
      <c r="N33" s="21">
        <f ca="1"/>
        <v>0</v>
      </c>
      <c r="O33" s="21">
        <f ca="1"/>
        <v>0</v>
      </c>
      <c r="P33" s="21">
        <f ca="1"/>
        <v>0</v>
      </c>
      <c r="Q33" s="21">
        <f ca="1"/>
        <v>0</v>
      </c>
      <c r="R33" s="21">
        <f ca="1"/>
        <v>0</v>
      </c>
      <c r="S33" s="21">
        <f ca="1"/>
        <v>0</v>
      </c>
      <c r="T33" s="21">
        <f ca="1"/>
        <v>0</v>
      </c>
      <c r="U33" s="21">
        <f ca="1"/>
        <v>0</v>
      </c>
      <c r="V33" s="21">
        <f ca="1"/>
        <v>0</v>
      </c>
      <c r="W33" s="21">
        <f ca="1"/>
        <v>0</v>
      </c>
      <c r="X33" s="21">
        <f ca="1"/>
        <v>0</v>
      </c>
      <c r="Y33" s="21">
        <f ca="1"/>
        <v>0</v>
      </c>
      <c r="Z33" s="21">
        <f ca="1"/>
        <v>0</v>
      </c>
      <c r="AA33" s="21">
        <f ca="1"/>
        <v>0</v>
      </c>
      <c r="AB33" s="21">
        <f ca="1"/>
        <v>0</v>
      </c>
      <c r="AC33" s="21">
        <f ca="1"/>
        <v>0</v>
      </c>
      <c r="AD33" s="21">
        <f ca="1"/>
        <v>0</v>
      </c>
      <c r="AE33" s="21">
        <f ca="1"/>
        <v>0</v>
      </c>
      <c r="AF33" s="21">
        <f ca="1"/>
        <v>0</v>
      </c>
      <c r="AG33" s="21">
        <f ca="1"/>
        <v>0</v>
      </c>
      <c r="AH33" s="21">
        <f ca="1"/>
        <v>0</v>
      </c>
      <c r="AI33" s="21">
        <f ca="1"/>
        <v>0</v>
      </c>
      <c r="AJ33" s="21">
        <f ca="1"/>
        <v>0</v>
      </c>
      <c r="AK33" s="21">
        <f ca="1"/>
        <v>0</v>
      </c>
      <c r="AL33" s="21">
        <f ca="1"/>
        <v>0</v>
      </c>
      <c r="AM33" s="21">
        <f ca="1"/>
        <v>0</v>
      </c>
      <c r="AN33" s="21">
        <f ca="1"/>
        <v>0</v>
      </c>
      <c r="AO33" s="21">
        <f ca="1"/>
        <v>0</v>
      </c>
      <c r="AP33" s="21">
        <f ca="1"/>
        <v>0</v>
      </c>
      <c r="AQ33" s="21">
        <f ca="1"/>
        <v>0</v>
      </c>
      <c r="AR33" s="21">
        <f ca="1"/>
        <v>0</v>
      </c>
      <c r="AS33" s="21">
        <f ca="1"/>
        <v>0</v>
      </c>
      <c r="AT33" s="21">
        <f ca="1"/>
        <v>0</v>
      </c>
      <c r="AU33" s="21">
        <f ca="1"/>
        <v>0</v>
      </c>
      <c r="AV33" s="21">
        <f ca="1"/>
        <v>0</v>
      </c>
      <c r="AW33" s="21">
        <f ca="1"/>
        <v>0</v>
      </c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</row>
    <row r="34" spans="2:79" x14ac:dyDescent="0.25">
      <c r="B34" s="19">
        <f ca="1"/>
        <v>0</v>
      </c>
      <c r="C34" s="21" t="str">
        <f ca="1"/>
        <v>33</v>
      </c>
      <c r="D34" s="21" t="str">
        <f ca="1"/>
        <v>SUN01422</v>
      </c>
      <c r="E34" s="21" t="str">
        <f ca="1"/>
        <v>TCY- RAJANGAM STORES</v>
      </c>
      <c r="F34" s="21">
        <f ca="1"/>
        <v>10.92</v>
      </c>
      <c r="G34" s="21">
        <f ca="1"/>
        <v>0</v>
      </c>
      <c r="H34" s="21">
        <f ca="1"/>
        <v>0</v>
      </c>
      <c r="I34" s="21">
        <f ca="1"/>
        <v>0</v>
      </c>
      <c r="J34" s="21">
        <f ca="1"/>
        <v>0</v>
      </c>
      <c r="K34" s="21">
        <f ca="1"/>
        <v>0</v>
      </c>
      <c r="L34" s="21">
        <f ca="1"/>
        <v>0</v>
      </c>
      <c r="M34" s="21">
        <f ca="1"/>
        <v>0</v>
      </c>
      <c r="N34" s="21">
        <f ca="1"/>
        <v>0</v>
      </c>
      <c r="O34" s="21">
        <f ca="1"/>
        <v>0</v>
      </c>
      <c r="P34" s="21">
        <f ca="1"/>
        <v>0</v>
      </c>
      <c r="Q34" s="21">
        <f ca="1"/>
        <v>0</v>
      </c>
      <c r="R34" s="21">
        <f ca="1"/>
        <v>0</v>
      </c>
      <c r="S34" s="21">
        <f ca="1"/>
        <v>0</v>
      </c>
      <c r="T34" s="21">
        <f ca="1"/>
        <v>0</v>
      </c>
      <c r="U34" s="21">
        <f ca="1"/>
        <v>0</v>
      </c>
      <c r="V34" s="21">
        <f ca="1"/>
        <v>0</v>
      </c>
      <c r="W34" s="21">
        <f ca="1"/>
        <v>0</v>
      </c>
      <c r="X34" s="21">
        <f ca="1"/>
        <v>0</v>
      </c>
      <c r="Y34" s="21">
        <f ca="1"/>
        <v>0</v>
      </c>
      <c r="Z34" s="21">
        <f ca="1"/>
        <v>0</v>
      </c>
      <c r="AA34" s="21">
        <f ca="1"/>
        <v>0</v>
      </c>
      <c r="AB34" s="21">
        <f ca="1"/>
        <v>0</v>
      </c>
      <c r="AC34" s="21">
        <f ca="1"/>
        <v>0</v>
      </c>
      <c r="AD34" s="21">
        <f ca="1"/>
        <v>0</v>
      </c>
      <c r="AE34" s="21">
        <f ca="1"/>
        <v>0</v>
      </c>
      <c r="AF34" s="21">
        <f ca="1"/>
        <v>0</v>
      </c>
      <c r="AG34" s="21">
        <f ca="1"/>
        <v>0</v>
      </c>
      <c r="AH34" s="21">
        <f ca="1"/>
        <v>0</v>
      </c>
      <c r="AI34" s="21">
        <f ca="1"/>
        <v>0</v>
      </c>
      <c r="AJ34" s="21">
        <f ca="1"/>
        <v>0</v>
      </c>
      <c r="AK34" s="21">
        <f ca="1"/>
        <v>0</v>
      </c>
      <c r="AL34" s="21">
        <f ca="1"/>
        <v>0</v>
      </c>
      <c r="AM34" s="21">
        <f ca="1"/>
        <v>0</v>
      </c>
      <c r="AN34" s="21">
        <f ca="1"/>
        <v>0</v>
      </c>
      <c r="AO34" s="21">
        <f ca="1"/>
        <v>0</v>
      </c>
      <c r="AP34" s="21">
        <f ca="1"/>
        <v>0</v>
      </c>
      <c r="AQ34" s="21">
        <f ca="1"/>
        <v>0</v>
      </c>
      <c r="AR34" s="21">
        <f ca="1"/>
        <v>0</v>
      </c>
      <c r="AS34" s="21">
        <f ca="1"/>
        <v>0</v>
      </c>
      <c r="AT34" s="21">
        <f ca="1"/>
        <v>0</v>
      </c>
      <c r="AU34" s="21">
        <f ca="1"/>
        <v>0</v>
      </c>
      <c r="AV34" s="21">
        <f ca="1"/>
        <v>0</v>
      </c>
      <c r="AW34" s="21">
        <f ca="1"/>
        <v>0</v>
      </c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</row>
    <row r="35" spans="2:79" x14ac:dyDescent="0.25">
      <c r="B35" s="19">
        <f ca="1"/>
        <v>0</v>
      </c>
      <c r="C35" s="21" t="str">
        <f ca="1"/>
        <v>34</v>
      </c>
      <c r="D35" s="21" t="str">
        <f ca="1"/>
        <v>SUN04028</v>
      </c>
      <c r="E35" s="21" t="str">
        <f ca="1"/>
        <v>TCY KONAR GHEE STORE</v>
      </c>
      <c r="F35" s="21">
        <f ca="1"/>
        <v>0.91</v>
      </c>
      <c r="G35" s="21">
        <f ca="1"/>
        <v>0</v>
      </c>
      <c r="H35" s="21">
        <f ca="1"/>
        <v>0</v>
      </c>
      <c r="I35" s="21">
        <f ca="1"/>
        <v>0</v>
      </c>
      <c r="J35" s="21">
        <f ca="1"/>
        <v>0</v>
      </c>
      <c r="K35" s="21">
        <f ca="1"/>
        <v>0</v>
      </c>
      <c r="L35" s="21">
        <f ca="1"/>
        <v>0</v>
      </c>
      <c r="M35" s="21">
        <f ca="1"/>
        <v>0</v>
      </c>
      <c r="N35" s="21">
        <f ca="1"/>
        <v>0</v>
      </c>
      <c r="O35" s="21">
        <f ca="1"/>
        <v>0</v>
      </c>
      <c r="P35" s="21">
        <f ca="1"/>
        <v>0</v>
      </c>
      <c r="Q35" s="21">
        <f ca="1"/>
        <v>0</v>
      </c>
      <c r="R35" s="21">
        <f ca="1"/>
        <v>0</v>
      </c>
      <c r="S35" s="21">
        <f ca="1"/>
        <v>0</v>
      </c>
      <c r="T35" s="21">
        <f ca="1"/>
        <v>0</v>
      </c>
      <c r="U35" s="21">
        <f ca="1"/>
        <v>0</v>
      </c>
      <c r="V35" s="21">
        <f ca="1"/>
        <v>0</v>
      </c>
      <c r="W35" s="21">
        <f ca="1"/>
        <v>0</v>
      </c>
      <c r="X35" s="21">
        <f ca="1"/>
        <v>0</v>
      </c>
      <c r="Y35" s="21">
        <f ca="1"/>
        <v>0</v>
      </c>
      <c r="Z35" s="21">
        <f ca="1"/>
        <v>0</v>
      </c>
      <c r="AA35" s="21">
        <f ca="1"/>
        <v>0</v>
      </c>
      <c r="AB35" s="21">
        <f ca="1"/>
        <v>0</v>
      </c>
      <c r="AC35" s="21">
        <f ca="1"/>
        <v>0</v>
      </c>
      <c r="AD35" s="21">
        <f ca="1"/>
        <v>0</v>
      </c>
      <c r="AE35" s="21">
        <f ca="1"/>
        <v>0</v>
      </c>
      <c r="AF35" s="21">
        <f ca="1"/>
        <v>0</v>
      </c>
      <c r="AG35" s="21">
        <f ca="1"/>
        <v>0</v>
      </c>
      <c r="AH35" s="21">
        <f ca="1"/>
        <v>0</v>
      </c>
      <c r="AI35" s="21">
        <f ca="1"/>
        <v>0</v>
      </c>
      <c r="AJ35" s="21">
        <f ca="1"/>
        <v>0</v>
      </c>
      <c r="AK35" s="21">
        <f ca="1"/>
        <v>0</v>
      </c>
      <c r="AL35" s="21">
        <f ca="1"/>
        <v>0</v>
      </c>
      <c r="AM35" s="21">
        <f ca="1"/>
        <v>0</v>
      </c>
      <c r="AN35" s="21">
        <f ca="1"/>
        <v>0</v>
      </c>
      <c r="AO35" s="21">
        <f ca="1"/>
        <v>0</v>
      </c>
      <c r="AP35" s="21">
        <f ca="1"/>
        <v>0</v>
      </c>
      <c r="AQ35" s="21">
        <f ca="1"/>
        <v>0</v>
      </c>
      <c r="AR35" s="21">
        <f ca="1"/>
        <v>0</v>
      </c>
      <c r="AS35" s="21">
        <f ca="1"/>
        <v>0</v>
      </c>
      <c r="AT35" s="21">
        <f ca="1"/>
        <v>0</v>
      </c>
      <c r="AU35" s="21">
        <f ca="1"/>
        <v>0</v>
      </c>
      <c r="AV35" s="21">
        <f ca="1"/>
        <v>0</v>
      </c>
      <c r="AW35" s="21">
        <f ca="1"/>
        <v>0</v>
      </c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</row>
    <row r="36" spans="2:79" x14ac:dyDescent="0.25">
      <c r="B36" s="19">
        <f ca="1"/>
        <v>0</v>
      </c>
      <c r="C36" s="21" t="str">
        <f ca="1"/>
        <v>35</v>
      </c>
      <c r="D36" s="21" t="str">
        <f ca="1"/>
        <v>SUN04540</v>
      </c>
      <c r="E36" s="21" t="str">
        <f ca="1"/>
        <v>PUDUKKOTTAI-SURYA OIL STORES</v>
      </c>
      <c r="F36" s="21">
        <f ca="1"/>
        <v>0.91</v>
      </c>
      <c r="G36" s="21">
        <f ca="1"/>
        <v>0</v>
      </c>
      <c r="H36" s="21">
        <f ca="1"/>
        <v>0</v>
      </c>
      <c r="I36" s="21">
        <f ca="1"/>
        <v>0</v>
      </c>
      <c r="J36" s="21">
        <f ca="1"/>
        <v>0</v>
      </c>
      <c r="K36" s="21">
        <f ca="1"/>
        <v>0</v>
      </c>
      <c r="L36" s="21">
        <f ca="1"/>
        <v>0</v>
      </c>
      <c r="M36" s="21">
        <f ca="1"/>
        <v>0</v>
      </c>
      <c r="N36" s="21">
        <f ca="1"/>
        <v>0</v>
      </c>
      <c r="O36" s="21">
        <f ca="1"/>
        <v>0</v>
      </c>
      <c r="P36" s="21">
        <f ca="1"/>
        <v>0</v>
      </c>
      <c r="Q36" s="21">
        <f ca="1"/>
        <v>0</v>
      </c>
      <c r="R36" s="21">
        <f ca="1"/>
        <v>0</v>
      </c>
      <c r="S36" s="21">
        <f ca="1"/>
        <v>0</v>
      </c>
      <c r="T36" s="21">
        <f ca="1"/>
        <v>0</v>
      </c>
      <c r="U36" s="21">
        <f ca="1"/>
        <v>0</v>
      </c>
      <c r="V36" s="21">
        <f ca="1"/>
        <v>0</v>
      </c>
      <c r="W36" s="21">
        <f ca="1"/>
        <v>0</v>
      </c>
      <c r="X36" s="21">
        <f ca="1"/>
        <v>0</v>
      </c>
      <c r="Y36" s="21">
        <f ca="1"/>
        <v>0</v>
      </c>
      <c r="Z36" s="21">
        <f ca="1"/>
        <v>0</v>
      </c>
      <c r="AA36" s="21">
        <f ca="1"/>
        <v>0</v>
      </c>
      <c r="AB36" s="21">
        <f ca="1"/>
        <v>0</v>
      </c>
      <c r="AC36" s="21">
        <f ca="1"/>
        <v>0</v>
      </c>
      <c r="AD36" s="21">
        <f ca="1"/>
        <v>0</v>
      </c>
      <c r="AE36" s="21">
        <f ca="1"/>
        <v>0</v>
      </c>
      <c r="AF36" s="21">
        <f ca="1"/>
        <v>0</v>
      </c>
      <c r="AG36" s="21">
        <f ca="1"/>
        <v>0</v>
      </c>
      <c r="AH36" s="21">
        <f ca="1"/>
        <v>0</v>
      </c>
      <c r="AI36" s="21">
        <f ca="1"/>
        <v>0</v>
      </c>
      <c r="AJ36" s="21">
        <f ca="1"/>
        <v>0</v>
      </c>
      <c r="AK36" s="21">
        <f ca="1"/>
        <v>0</v>
      </c>
      <c r="AL36" s="21">
        <f ca="1"/>
        <v>0</v>
      </c>
      <c r="AM36" s="21">
        <f ca="1"/>
        <v>0</v>
      </c>
      <c r="AN36" s="21">
        <f ca="1"/>
        <v>0</v>
      </c>
      <c r="AO36" s="21">
        <f ca="1"/>
        <v>0</v>
      </c>
      <c r="AP36" s="21">
        <f ca="1"/>
        <v>0</v>
      </c>
      <c r="AQ36" s="21">
        <f ca="1"/>
        <v>0</v>
      </c>
      <c r="AR36" s="21">
        <f ca="1"/>
        <v>0</v>
      </c>
      <c r="AS36" s="21">
        <f ca="1"/>
        <v>0</v>
      </c>
      <c r="AT36" s="21">
        <f ca="1"/>
        <v>0</v>
      </c>
      <c r="AU36" s="21">
        <f ca="1"/>
        <v>0</v>
      </c>
      <c r="AV36" s="21">
        <f ca="1"/>
        <v>0</v>
      </c>
      <c r="AW36" s="21">
        <f ca="1"/>
        <v>0</v>
      </c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</row>
    <row r="37" spans="2:79" x14ac:dyDescent="0.25">
      <c r="B37" s="19">
        <f ca="1"/>
        <v>0</v>
      </c>
      <c r="C37" s="21" t="str">
        <f ca="1"/>
        <v>36</v>
      </c>
      <c r="D37" s="21" t="str">
        <f ca="1"/>
        <v>SUN03828</v>
      </c>
      <c r="E37" s="21" t="str">
        <f ca="1"/>
        <v>ANNUR, GEM EDIBLE OIL (PRIVATE) LTD</v>
      </c>
      <c r="F37" s="21">
        <f ca="1"/>
        <v>0</v>
      </c>
      <c r="G37" s="21">
        <f ca="1"/>
        <v>0</v>
      </c>
      <c r="H37" s="21">
        <f ca="1"/>
        <v>0</v>
      </c>
      <c r="I37" s="21">
        <f ca="1"/>
        <v>0</v>
      </c>
      <c r="J37" s="21">
        <f ca="1"/>
        <v>0</v>
      </c>
      <c r="K37" s="21">
        <f ca="1"/>
        <v>0</v>
      </c>
      <c r="L37" s="21">
        <f ca="1"/>
        <v>0</v>
      </c>
      <c r="M37" s="21">
        <f ca="1"/>
        <v>0</v>
      </c>
      <c r="N37" s="21">
        <f ca="1"/>
        <v>0</v>
      </c>
      <c r="O37" s="21">
        <f ca="1"/>
        <v>0</v>
      </c>
      <c r="P37" s="21">
        <f ca="1"/>
        <v>0</v>
      </c>
      <c r="Q37" s="21">
        <f ca="1"/>
        <v>0</v>
      </c>
      <c r="R37" s="21">
        <f ca="1"/>
        <v>0</v>
      </c>
      <c r="S37" s="21">
        <f ca="1"/>
        <v>0</v>
      </c>
      <c r="T37" s="21">
        <f ca="1"/>
        <v>0</v>
      </c>
      <c r="U37" s="21">
        <f ca="1"/>
        <v>0</v>
      </c>
      <c r="V37" s="21">
        <f ca="1"/>
        <v>0</v>
      </c>
      <c r="W37" s="21">
        <f ca="1"/>
        <v>0</v>
      </c>
      <c r="X37" s="21">
        <f ca="1"/>
        <v>0</v>
      </c>
      <c r="Y37" s="21">
        <f ca="1"/>
        <v>0</v>
      </c>
      <c r="Z37" s="21">
        <f ca="1"/>
        <v>0</v>
      </c>
      <c r="AA37" s="21">
        <f ca="1"/>
        <v>0</v>
      </c>
      <c r="AB37" s="21">
        <f ca="1"/>
        <v>0</v>
      </c>
      <c r="AC37" s="21">
        <f ca="1"/>
        <v>0</v>
      </c>
      <c r="AD37" s="21">
        <f ca="1"/>
        <v>0</v>
      </c>
      <c r="AE37" s="21">
        <f ca="1"/>
        <v>0</v>
      </c>
      <c r="AF37" s="21">
        <f ca="1"/>
        <v>0</v>
      </c>
      <c r="AG37" s="21">
        <f ca="1"/>
        <v>0</v>
      </c>
      <c r="AH37" s="21">
        <f ca="1"/>
        <v>0</v>
      </c>
      <c r="AI37" s="21">
        <f ca="1"/>
        <v>0</v>
      </c>
      <c r="AJ37" s="21">
        <f ca="1"/>
        <v>0</v>
      </c>
      <c r="AK37" s="21">
        <f ca="1"/>
        <v>0</v>
      </c>
      <c r="AL37" s="21">
        <f ca="1"/>
        <v>0</v>
      </c>
      <c r="AM37" s="21">
        <f ca="1"/>
        <v>0</v>
      </c>
      <c r="AN37" s="21">
        <f ca="1"/>
        <v>0</v>
      </c>
      <c r="AO37" s="21">
        <f ca="1"/>
        <v>0</v>
      </c>
      <c r="AP37" s="21">
        <f ca="1"/>
        <v>0</v>
      </c>
      <c r="AQ37" s="21">
        <f ca="1"/>
        <v>0</v>
      </c>
      <c r="AR37" s="21">
        <f ca="1"/>
        <v>0</v>
      </c>
      <c r="AS37" s="21">
        <f ca="1"/>
        <v>0</v>
      </c>
      <c r="AT37" s="21">
        <f ca="1"/>
        <v>0</v>
      </c>
      <c r="AU37" s="21">
        <f ca="1"/>
        <v>0</v>
      </c>
      <c r="AV37" s="21">
        <f ca="1"/>
        <v>0</v>
      </c>
      <c r="AW37" s="21">
        <f ca="1"/>
        <v>0</v>
      </c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</row>
    <row r="38" spans="2:79" x14ac:dyDescent="0.25">
      <c r="B38" s="19">
        <f ca="1"/>
        <v>0</v>
      </c>
      <c r="C38" s="21" t="str">
        <f ca="1"/>
        <v>37</v>
      </c>
      <c r="D38" s="21" t="str">
        <f ca="1"/>
        <v>SUN07301</v>
      </c>
      <c r="E38" s="21" t="str">
        <f ca="1"/>
        <v>MP-WELCOME INDUSTRIES</v>
      </c>
      <c r="F38" s="21">
        <f ca="1"/>
        <v>0</v>
      </c>
      <c r="G38" s="21">
        <f ca="1"/>
        <v>0</v>
      </c>
      <c r="H38" s="21">
        <f ca="1"/>
        <v>0</v>
      </c>
      <c r="I38" s="21">
        <f ca="1"/>
        <v>0</v>
      </c>
      <c r="J38" s="21">
        <f ca="1"/>
        <v>0</v>
      </c>
      <c r="K38" s="21">
        <f ca="1"/>
        <v>0</v>
      </c>
      <c r="L38" s="21">
        <f ca="1"/>
        <v>0</v>
      </c>
      <c r="M38" s="21">
        <f ca="1"/>
        <v>0</v>
      </c>
      <c r="N38" s="21">
        <f ca="1"/>
        <v>0</v>
      </c>
      <c r="O38" s="21">
        <f ca="1"/>
        <v>0</v>
      </c>
      <c r="P38" s="21">
        <f ca="1"/>
        <v>0</v>
      </c>
      <c r="Q38" s="21">
        <f ca="1"/>
        <v>0</v>
      </c>
      <c r="R38" s="21">
        <f ca="1"/>
        <v>0</v>
      </c>
      <c r="S38" s="21">
        <f ca="1"/>
        <v>0</v>
      </c>
      <c r="T38" s="21">
        <f ca="1"/>
        <v>0</v>
      </c>
      <c r="U38" s="21">
        <f ca="1"/>
        <v>0</v>
      </c>
      <c r="V38" s="21">
        <f ca="1"/>
        <v>0</v>
      </c>
      <c r="W38" s="21">
        <f ca="1"/>
        <v>0</v>
      </c>
      <c r="X38" s="21">
        <f ca="1"/>
        <v>0</v>
      </c>
      <c r="Y38" s="21">
        <f ca="1"/>
        <v>0</v>
      </c>
      <c r="Z38" s="21">
        <f ca="1"/>
        <v>0</v>
      </c>
      <c r="AA38" s="21">
        <f ca="1"/>
        <v>0</v>
      </c>
      <c r="AB38" s="21">
        <f ca="1"/>
        <v>0</v>
      </c>
      <c r="AC38" s="21">
        <f ca="1"/>
        <v>0</v>
      </c>
      <c r="AD38" s="21">
        <f ca="1"/>
        <v>0</v>
      </c>
      <c r="AE38" s="21">
        <f ca="1"/>
        <v>0</v>
      </c>
      <c r="AF38" s="21">
        <f ca="1"/>
        <v>0</v>
      </c>
      <c r="AG38" s="21">
        <f ca="1"/>
        <v>0</v>
      </c>
      <c r="AH38" s="21">
        <f ca="1"/>
        <v>0</v>
      </c>
      <c r="AI38" s="21">
        <f ca="1"/>
        <v>0</v>
      </c>
      <c r="AJ38" s="21">
        <f ca="1"/>
        <v>0</v>
      </c>
      <c r="AK38" s="21">
        <f ca="1"/>
        <v>0</v>
      </c>
      <c r="AL38" s="21">
        <f ca="1"/>
        <v>0</v>
      </c>
      <c r="AM38" s="21">
        <f ca="1"/>
        <v>0</v>
      </c>
      <c r="AN38" s="21">
        <f ca="1"/>
        <v>0</v>
      </c>
      <c r="AO38" s="21">
        <f ca="1"/>
        <v>0</v>
      </c>
      <c r="AP38" s="21">
        <f ca="1"/>
        <v>0</v>
      </c>
      <c r="AQ38" s="21">
        <f ca="1"/>
        <v>0</v>
      </c>
      <c r="AR38" s="21">
        <f ca="1"/>
        <v>0</v>
      </c>
      <c r="AS38" s="21">
        <f ca="1"/>
        <v>0</v>
      </c>
      <c r="AT38" s="21">
        <f ca="1"/>
        <v>0</v>
      </c>
      <c r="AU38" s="21">
        <f ca="1"/>
        <v>0</v>
      </c>
      <c r="AV38" s="21">
        <f ca="1"/>
        <v>0</v>
      </c>
      <c r="AW38" s="21">
        <f ca="1"/>
        <v>0</v>
      </c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</row>
    <row r="39" spans="2:79" x14ac:dyDescent="0.25">
      <c r="B39" s="19">
        <f ca="1"/>
        <v>0</v>
      </c>
      <c r="C39" s="21" t="str">
        <f ca="1"/>
        <v>38</v>
      </c>
      <c r="D39" s="21" t="str">
        <f ca="1"/>
        <v>SUN06511</v>
      </c>
      <c r="E39" s="21" t="str">
        <f ca="1"/>
        <v>PEDDUR-SRI VASAVI AGENCY</v>
      </c>
      <c r="F39" s="21">
        <f ca="1"/>
        <v>0.92400000000000004</v>
      </c>
      <c r="G39" s="21">
        <f ca="1"/>
        <v>0</v>
      </c>
      <c r="H39" s="21">
        <f ca="1"/>
        <v>0</v>
      </c>
      <c r="I39" s="21">
        <f ca="1"/>
        <v>0</v>
      </c>
      <c r="J39" s="21">
        <f ca="1"/>
        <v>0</v>
      </c>
      <c r="K39" s="21">
        <f ca="1"/>
        <v>0</v>
      </c>
      <c r="L39" s="21">
        <f ca="1"/>
        <v>0</v>
      </c>
      <c r="M39" s="21">
        <f ca="1"/>
        <v>0</v>
      </c>
      <c r="N39" s="21">
        <f ca="1"/>
        <v>0</v>
      </c>
      <c r="O39" s="21">
        <f ca="1"/>
        <v>0</v>
      </c>
      <c r="P39" s="21">
        <f ca="1"/>
        <v>0</v>
      </c>
      <c r="Q39" s="21">
        <f ca="1"/>
        <v>0</v>
      </c>
      <c r="R39" s="21">
        <f ca="1"/>
        <v>0</v>
      </c>
      <c r="S39" s="21">
        <f ca="1"/>
        <v>0</v>
      </c>
      <c r="T39" s="21">
        <f ca="1"/>
        <v>0</v>
      </c>
      <c r="U39" s="21">
        <f ca="1"/>
        <v>0</v>
      </c>
      <c r="V39" s="21">
        <f ca="1"/>
        <v>0</v>
      </c>
      <c r="W39" s="21">
        <f ca="1"/>
        <v>0</v>
      </c>
      <c r="X39" s="21">
        <f ca="1"/>
        <v>0</v>
      </c>
      <c r="Y39" s="21">
        <f ca="1"/>
        <v>0</v>
      </c>
      <c r="Z39" s="21">
        <f ca="1"/>
        <v>0</v>
      </c>
      <c r="AA39" s="21">
        <f ca="1"/>
        <v>0</v>
      </c>
      <c r="AB39" s="21">
        <f ca="1"/>
        <v>0</v>
      </c>
      <c r="AC39" s="21">
        <f ca="1"/>
        <v>0</v>
      </c>
      <c r="AD39" s="21">
        <f ca="1"/>
        <v>0</v>
      </c>
      <c r="AE39" s="21">
        <f ca="1"/>
        <v>0</v>
      </c>
      <c r="AF39" s="21">
        <f ca="1"/>
        <v>0</v>
      </c>
      <c r="AG39" s="21">
        <f ca="1"/>
        <v>0</v>
      </c>
      <c r="AH39" s="21">
        <f ca="1"/>
        <v>0</v>
      </c>
      <c r="AI39" s="21">
        <f ca="1"/>
        <v>0</v>
      </c>
      <c r="AJ39" s="21">
        <f ca="1"/>
        <v>0</v>
      </c>
      <c r="AK39" s="21">
        <f ca="1"/>
        <v>0</v>
      </c>
      <c r="AL39" s="21">
        <f ca="1"/>
        <v>0</v>
      </c>
      <c r="AM39" s="21">
        <f ca="1"/>
        <v>0</v>
      </c>
      <c r="AN39" s="21">
        <f ca="1"/>
        <v>0</v>
      </c>
      <c r="AO39" s="21">
        <f ca="1"/>
        <v>0</v>
      </c>
      <c r="AP39" s="21">
        <f ca="1"/>
        <v>0</v>
      </c>
      <c r="AQ39" s="21">
        <f ca="1"/>
        <v>0</v>
      </c>
      <c r="AR39" s="21">
        <f ca="1"/>
        <v>0</v>
      </c>
      <c r="AS39" s="21">
        <f ca="1"/>
        <v>0</v>
      </c>
      <c r="AT39" s="21">
        <f ca="1"/>
        <v>0</v>
      </c>
      <c r="AU39" s="21">
        <f ca="1"/>
        <v>0</v>
      </c>
      <c r="AV39" s="21">
        <f ca="1"/>
        <v>0</v>
      </c>
      <c r="AW39" s="21">
        <f ca="1"/>
        <v>0</v>
      </c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</row>
    <row r="40" spans="2:79" x14ac:dyDescent="0.25">
      <c r="B40" s="19">
        <f ca="1"/>
        <v>0</v>
      </c>
      <c r="C40" s="21" t="str">
        <f ca="1"/>
        <v>39</v>
      </c>
      <c r="D40" s="21" t="str">
        <f ca="1"/>
        <v>SUN07786</v>
      </c>
      <c r="E40" s="21" t="str">
        <f ca="1"/>
        <v>KANCHIPURAM-TVL.AMUDHAM TRADERS</v>
      </c>
      <c r="F40" s="21">
        <f ca="1"/>
        <v>0</v>
      </c>
      <c r="G40" s="21">
        <f ca="1"/>
        <v>0</v>
      </c>
      <c r="H40" s="21">
        <f ca="1"/>
        <v>0</v>
      </c>
      <c r="I40" s="21">
        <f ca="1"/>
        <v>0</v>
      </c>
      <c r="J40" s="21">
        <f ca="1"/>
        <v>0</v>
      </c>
      <c r="K40" s="21">
        <f ca="1"/>
        <v>0</v>
      </c>
      <c r="L40" s="21">
        <f ca="1"/>
        <v>0</v>
      </c>
      <c r="M40" s="21">
        <f ca="1"/>
        <v>0</v>
      </c>
      <c r="N40" s="21">
        <f ca="1"/>
        <v>0</v>
      </c>
      <c r="O40" s="21">
        <f ca="1"/>
        <v>0</v>
      </c>
      <c r="P40" s="21">
        <f ca="1"/>
        <v>0</v>
      </c>
      <c r="Q40" s="21">
        <f ca="1"/>
        <v>0</v>
      </c>
      <c r="R40" s="21">
        <f ca="1"/>
        <v>0</v>
      </c>
      <c r="S40" s="21">
        <f ca="1"/>
        <v>0</v>
      </c>
      <c r="T40" s="21">
        <f ca="1"/>
        <v>0</v>
      </c>
      <c r="U40" s="21">
        <f ca="1"/>
        <v>0</v>
      </c>
      <c r="V40" s="21">
        <f ca="1"/>
        <v>0</v>
      </c>
      <c r="W40" s="21">
        <f ca="1"/>
        <v>0</v>
      </c>
      <c r="X40" s="21">
        <f ca="1"/>
        <v>0</v>
      </c>
      <c r="Y40" s="21">
        <f ca="1"/>
        <v>0</v>
      </c>
      <c r="Z40" s="21">
        <f ca="1"/>
        <v>0</v>
      </c>
      <c r="AA40" s="21">
        <f ca="1"/>
        <v>0</v>
      </c>
      <c r="AB40" s="21">
        <f ca="1"/>
        <v>0</v>
      </c>
      <c r="AC40" s="21">
        <f ca="1"/>
        <v>0</v>
      </c>
      <c r="AD40" s="21">
        <f ca="1"/>
        <v>0</v>
      </c>
      <c r="AE40" s="21">
        <f ca="1"/>
        <v>0</v>
      </c>
      <c r="AF40" s="21">
        <f ca="1"/>
        <v>0</v>
      </c>
      <c r="AG40" s="21">
        <f ca="1"/>
        <v>0</v>
      </c>
      <c r="AH40" s="21">
        <f ca="1"/>
        <v>0</v>
      </c>
      <c r="AI40" s="21">
        <f ca="1"/>
        <v>0</v>
      </c>
      <c r="AJ40" s="21">
        <f ca="1"/>
        <v>0</v>
      </c>
      <c r="AK40" s="21">
        <f ca="1"/>
        <v>0</v>
      </c>
      <c r="AL40" s="21">
        <f ca="1"/>
        <v>0</v>
      </c>
      <c r="AM40" s="21">
        <f ca="1"/>
        <v>0</v>
      </c>
      <c r="AN40" s="21">
        <f ca="1"/>
        <v>0</v>
      </c>
      <c r="AO40" s="21">
        <f ca="1"/>
        <v>0</v>
      </c>
      <c r="AP40" s="21">
        <f ca="1"/>
        <v>0</v>
      </c>
      <c r="AQ40" s="21">
        <f ca="1"/>
        <v>0</v>
      </c>
      <c r="AR40" s="21">
        <f ca="1"/>
        <v>0</v>
      </c>
      <c r="AS40" s="21">
        <f ca="1"/>
        <v>0</v>
      </c>
      <c r="AT40" s="21">
        <f ca="1"/>
        <v>0</v>
      </c>
      <c r="AU40" s="21">
        <f ca="1"/>
        <v>0</v>
      </c>
      <c r="AV40" s="21">
        <f ca="1"/>
        <v>0</v>
      </c>
      <c r="AW40" s="21">
        <f ca="1"/>
        <v>0</v>
      </c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</row>
    <row r="41" spans="2:79" x14ac:dyDescent="0.25">
      <c r="B41" s="19">
        <f ca="1"/>
        <v>0</v>
      </c>
      <c r="C41" s="21" t="str">
        <f ca="1"/>
        <v>40</v>
      </c>
      <c r="D41" s="21" t="str">
        <f ca="1"/>
        <v>SUN01158</v>
      </c>
      <c r="E41" s="21" t="str">
        <f ca="1"/>
        <v>KANCHEEPURAM SRI HARI AGENCIES</v>
      </c>
      <c r="F41" s="21">
        <f ca="1"/>
        <v>2.37</v>
      </c>
      <c r="G41" s="21">
        <f ca="1"/>
        <v>0</v>
      </c>
      <c r="H41" s="21">
        <f ca="1"/>
        <v>0</v>
      </c>
      <c r="I41" s="21">
        <f ca="1"/>
        <v>0</v>
      </c>
      <c r="J41" s="21">
        <f ca="1"/>
        <v>0</v>
      </c>
      <c r="K41" s="21">
        <f ca="1"/>
        <v>0</v>
      </c>
      <c r="L41" s="21">
        <f ca="1"/>
        <v>0</v>
      </c>
      <c r="M41" s="21">
        <f ca="1"/>
        <v>0</v>
      </c>
      <c r="N41" s="21">
        <f ca="1"/>
        <v>0</v>
      </c>
      <c r="O41" s="21">
        <f ca="1"/>
        <v>0</v>
      </c>
      <c r="P41" s="21">
        <f ca="1"/>
        <v>0</v>
      </c>
      <c r="Q41" s="21">
        <f ca="1"/>
        <v>0</v>
      </c>
      <c r="R41" s="21">
        <f ca="1"/>
        <v>0</v>
      </c>
      <c r="S41" s="21">
        <f ca="1"/>
        <v>0</v>
      </c>
      <c r="T41" s="21">
        <f ca="1"/>
        <v>0</v>
      </c>
      <c r="U41" s="21">
        <f ca="1"/>
        <v>0</v>
      </c>
      <c r="V41" s="21">
        <f ca="1"/>
        <v>0</v>
      </c>
      <c r="W41" s="21">
        <f ca="1"/>
        <v>0</v>
      </c>
      <c r="X41" s="21">
        <f ca="1"/>
        <v>0</v>
      </c>
      <c r="Y41" s="21">
        <f ca="1"/>
        <v>0</v>
      </c>
      <c r="Z41" s="21">
        <f ca="1"/>
        <v>0</v>
      </c>
      <c r="AA41" s="21">
        <f ca="1"/>
        <v>0</v>
      </c>
      <c r="AB41" s="21">
        <f ca="1"/>
        <v>0</v>
      </c>
      <c r="AC41" s="21">
        <f ca="1"/>
        <v>0</v>
      </c>
      <c r="AD41" s="21">
        <f ca="1"/>
        <v>0</v>
      </c>
      <c r="AE41" s="21">
        <f ca="1"/>
        <v>0</v>
      </c>
      <c r="AF41" s="21">
        <f ca="1"/>
        <v>0</v>
      </c>
      <c r="AG41" s="21">
        <f ca="1"/>
        <v>0</v>
      </c>
      <c r="AH41" s="21">
        <f ca="1"/>
        <v>0</v>
      </c>
      <c r="AI41" s="21">
        <f ca="1"/>
        <v>0</v>
      </c>
      <c r="AJ41" s="21">
        <f ca="1"/>
        <v>0</v>
      </c>
      <c r="AK41" s="21">
        <f ca="1"/>
        <v>0</v>
      </c>
      <c r="AL41" s="21">
        <f ca="1"/>
        <v>0</v>
      </c>
      <c r="AM41" s="21">
        <f ca="1"/>
        <v>0</v>
      </c>
      <c r="AN41" s="21">
        <f ca="1"/>
        <v>0</v>
      </c>
      <c r="AO41" s="21">
        <f ca="1"/>
        <v>0</v>
      </c>
      <c r="AP41" s="21">
        <f ca="1"/>
        <v>0</v>
      </c>
      <c r="AQ41" s="21">
        <f ca="1"/>
        <v>0</v>
      </c>
      <c r="AR41" s="21">
        <f ca="1"/>
        <v>0</v>
      </c>
      <c r="AS41" s="21">
        <f ca="1"/>
        <v>0</v>
      </c>
      <c r="AT41" s="21">
        <f ca="1"/>
        <v>0</v>
      </c>
      <c r="AU41" s="21">
        <f ca="1"/>
        <v>0</v>
      </c>
      <c r="AV41" s="21">
        <f ca="1"/>
        <v>0</v>
      </c>
      <c r="AW41" s="21">
        <f ca="1"/>
        <v>0</v>
      </c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</row>
    <row r="42" spans="2:79" x14ac:dyDescent="0.25">
      <c r="B42" s="19">
        <f ca="1"/>
        <v>0</v>
      </c>
      <c r="C42" s="21" t="str">
        <f ca="1"/>
        <v>41</v>
      </c>
      <c r="D42" s="21" t="str">
        <f ca="1"/>
        <v>SUN04769</v>
      </c>
      <c r="E42" s="21" t="str">
        <f ca="1"/>
        <v>VELLORE AVENUE SUPERMARTS LTD</v>
      </c>
      <c r="F42" s="21">
        <f ca="1"/>
        <v>4.33</v>
      </c>
      <c r="G42" s="21">
        <f ca="1"/>
        <v>0</v>
      </c>
      <c r="H42" s="21">
        <f ca="1"/>
        <v>0</v>
      </c>
      <c r="I42" s="21">
        <f ca="1"/>
        <v>60</v>
      </c>
      <c r="J42" s="21">
        <f ca="1"/>
        <v>60</v>
      </c>
      <c r="K42" s="21">
        <f ca="1"/>
        <v>0</v>
      </c>
      <c r="L42" s="21">
        <f ca="1"/>
        <v>0</v>
      </c>
      <c r="M42" s="21">
        <f ca="1"/>
        <v>0</v>
      </c>
      <c r="N42" s="21">
        <f ca="1"/>
        <v>0</v>
      </c>
      <c r="O42" s="21">
        <f ca="1"/>
        <v>0</v>
      </c>
      <c r="P42" s="21">
        <f ca="1"/>
        <v>0</v>
      </c>
      <c r="Q42" s="21">
        <f ca="1"/>
        <v>0</v>
      </c>
      <c r="R42" s="21">
        <f ca="1"/>
        <v>0</v>
      </c>
      <c r="S42" s="21">
        <f ca="1"/>
        <v>0</v>
      </c>
      <c r="T42" s="21">
        <f ca="1"/>
        <v>0</v>
      </c>
      <c r="U42" s="21">
        <f ca="1"/>
        <v>0</v>
      </c>
      <c r="V42" s="21">
        <f ca="1"/>
        <v>0</v>
      </c>
      <c r="W42" s="21">
        <f ca="1"/>
        <v>0</v>
      </c>
      <c r="X42" s="21">
        <f ca="1"/>
        <v>0</v>
      </c>
      <c r="Y42" s="21">
        <f ca="1"/>
        <v>0</v>
      </c>
      <c r="Z42" s="21">
        <f ca="1"/>
        <v>0</v>
      </c>
      <c r="AA42" s="21">
        <f ca="1"/>
        <v>0</v>
      </c>
      <c r="AB42" s="21">
        <f ca="1"/>
        <v>0</v>
      </c>
      <c r="AC42" s="21">
        <f ca="1"/>
        <v>0</v>
      </c>
      <c r="AD42" s="21">
        <f ca="1"/>
        <v>0</v>
      </c>
      <c r="AE42" s="21">
        <f ca="1"/>
        <v>0</v>
      </c>
      <c r="AF42" s="21">
        <f ca="1"/>
        <v>0</v>
      </c>
      <c r="AG42" s="21">
        <f ca="1"/>
        <v>0</v>
      </c>
      <c r="AH42" s="21">
        <f ca="1"/>
        <v>0</v>
      </c>
      <c r="AI42" s="21">
        <f ca="1"/>
        <v>0</v>
      </c>
      <c r="AJ42" s="21">
        <f ca="1"/>
        <v>0</v>
      </c>
      <c r="AK42" s="21">
        <f ca="1"/>
        <v>0</v>
      </c>
      <c r="AL42" s="21">
        <f ca="1"/>
        <v>0</v>
      </c>
      <c r="AM42" s="21">
        <f ca="1"/>
        <v>0</v>
      </c>
      <c r="AN42" s="21">
        <f ca="1"/>
        <v>0</v>
      </c>
      <c r="AO42" s="21">
        <f ca="1"/>
        <v>0</v>
      </c>
      <c r="AP42" s="21">
        <f ca="1"/>
        <v>0</v>
      </c>
      <c r="AQ42" s="21">
        <f ca="1"/>
        <v>0</v>
      </c>
      <c r="AR42" s="21">
        <f ca="1"/>
        <v>0</v>
      </c>
      <c r="AS42" s="21">
        <f ca="1"/>
        <v>0</v>
      </c>
      <c r="AT42" s="21">
        <f ca="1"/>
        <v>0</v>
      </c>
      <c r="AU42" s="21">
        <f ca="1"/>
        <v>0</v>
      </c>
      <c r="AV42" s="21">
        <f ca="1"/>
        <v>0</v>
      </c>
      <c r="AW42" s="21">
        <f ca="1"/>
        <v>0</v>
      </c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</row>
    <row r="43" spans="2:79" x14ac:dyDescent="0.25">
      <c r="B43" s="19">
        <f ca="1"/>
        <v>0</v>
      </c>
      <c r="C43" s="21" t="str">
        <f ca="1"/>
        <v>42</v>
      </c>
      <c r="D43" s="21" t="str">
        <f ca="1"/>
        <v>SUN07404</v>
      </c>
      <c r="E43" s="21" t="str">
        <f ca="1"/>
        <v>TIRUPATTUR-KIRUBA AGENCIES</v>
      </c>
      <c r="F43" s="21">
        <f ca="1"/>
        <v>1.996</v>
      </c>
      <c r="G43" s="21">
        <f ca="1"/>
        <v>0</v>
      </c>
      <c r="H43" s="21">
        <f ca="1"/>
        <v>0</v>
      </c>
      <c r="I43" s="21">
        <f ca="1"/>
        <v>0</v>
      </c>
      <c r="J43" s="21">
        <f ca="1"/>
        <v>0</v>
      </c>
      <c r="K43" s="21">
        <f ca="1"/>
        <v>0</v>
      </c>
      <c r="L43" s="21">
        <f ca="1"/>
        <v>0</v>
      </c>
      <c r="M43" s="21">
        <f ca="1"/>
        <v>0</v>
      </c>
      <c r="N43" s="21">
        <f ca="1"/>
        <v>0</v>
      </c>
      <c r="O43" s="21">
        <f ca="1"/>
        <v>0</v>
      </c>
      <c r="P43" s="21">
        <f ca="1"/>
        <v>0</v>
      </c>
      <c r="Q43" s="21">
        <f ca="1"/>
        <v>0</v>
      </c>
      <c r="R43" s="21">
        <f ca="1"/>
        <v>0</v>
      </c>
      <c r="S43" s="21">
        <f ca="1"/>
        <v>0</v>
      </c>
      <c r="T43" s="21">
        <f ca="1"/>
        <v>0</v>
      </c>
      <c r="U43" s="21">
        <f ca="1"/>
        <v>0</v>
      </c>
      <c r="V43" s="21">
        <f ca="1"/>
        <v>0</v>
      </c>
      <c r="W43" s="21">
        <f ca="1"/>
        <v>0</v>
      </c>
      <c r="X43" s="21">
        <f ca="1"/>
        <v>0</v>
      </c>
      <c r="Y43" s="21">
        <f ca="1"/>
        <v>0</v>
      </c>
      <c r="Z43" s="21">
        <f ca="1"/>
        <v>0</v>
      </c>
      <c r="AA43" s="21">
        <f ca="1"/>
        <v>0</v>
      </c>
      <c r="AB43" s="21">
        <f ca="1"/>
        <v>0</v>
      </c>
      <c r="AC43" s="21">
        <f ca="1"/>
        <v>0</v>
      </c>
      <c r="AD43" s="21">
        <f ca="1"/>
        <v>0</v>
      </c>
      <c r="AE43" s="21">
        <f ca="1"/>
        <v>0</v>
      </c>
      <c r="AF43" s="21">
        <f ca="1"/>
        <v>0</v>
      </c>
      <c r="AG43" s="21">
        <f ca="1"/>
        <v>0</v>
      </c>
      <c r="AH43" s="21">
        <f ca="1"/>
        <v>0</v>
      </c>
      <c r="AI43" s="21">
        <f ca="1"/>
        <v>0</v>
      </c>
      <c r="AJ43" s="21">
        <f ca="1"/>
        <v>0</v>
      </c>
      <c r="AK43" s="21">
        <f ca="1"/>
        <v>0</v>
      </c>
      <c r="AL43" s="21">
        <f ca="1"/>
        <v>0</v>
      </c>
      <c r="AM43" s="21">
        <f ca="1"/>
        <v>0</v>
      </c>
      <c r="AN43" s="21">
        <f ca="1"/>
        <v>19</v>
      </c>
      <c r="AO43" s="21">
        <f ca="1"/>
        <v>0</v>
      </c>
      <c r="AP43" s="21">
        <f ca="1"/>
        <v>2</v>
      </c>
      <c r="AQ43" s="21">
        <f ca="1"/>
        <v>0</v>
      </c>
      <c r="AR43" s="21">
        <f ca="1"/>
        <v>0</v>
      </c>
      <c r="AS43" s="21">
        <f ca="1"/>
        <v>0</v>
      </c>
      <c r="AT43" s="21">
        <f ca="1"/>
        <v>0</v>
      </c>
      <c r="AU43" s="21">
        <f ca="1"/>
        <v>0</v>
      </c>
      <c r="AV43" s="21">
        <f ca="1"/>
        <v>0</v>
      </c>
      <c r="AW43" s="21">
        <f ca="1"/>
        <v>0</v>
      </c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</row>
    <row r="44" spans="2:79" x14ac:dyDescent="0.25">
      <c r="B44" s="19">
        <f ca="1"/>
        <v>0</v>
      </c>
      <c r="C44" s="21" t="str">
        <f ca="1"/>
        <v>43</v>
      </c>
      <c r="D44" s="21" t="str">
        <f ca="1"/>
        <v>SUN01871</v>
      </c>
      <c r="E44" s="21" t="str">
        <f ca="1"/>
        <v>ARCOT M.K.TRADERS</v>
      </c>
      <c r="F44" s="21">
        <f ca="1"/>
        <v>0.88200000000000001</v>
      </c>
      <c r="G44" s="21">
        <f ca="1"/>
        <v>0</v>
      </c>
      <c r="H44" s="21">
        <f ca="1"/>
        <v>0</v>
      </c>
      <c r="I44" s="21">
        <f ca="1"/>
        <v>0</v>
      </c>
      <c r="J44" s="21">
        <f ca="1"/>
        <v>0</v>
      </c>
      <c r="K44" s="21">
        <f ca="1"/>
        <v>0</v>
      </c>
      <c r="L44" s="21">
        <f ca="1"/>
        <v>0</v>
      </c>
      <c r="M44" s="21">
        <f ca="1"/>
        <v>0</v>
      </c>
      <c r="N44" s="21">
        <f ca="1"/>
        <v>0</v>
      </c>
      <c r="O44" s="21">
        <f ca="1"/>
        <v>0</v>
      </c>
      <c r="P44" s="21">
        <f ca="1"/>
        <v>0</v>
      </c>
      <c r="Q44" s="21">
        <f ca="1"/>
        <v>0</v>
      </c>
      <c r="R44" s="21">
        <f ca="1"/>
        <v>0</v>
      </c>
      <c r="S44" s="21">
        <f ca="1"/>
        <v>0</v>
      </c>
      <c r="T44" s="21">
        <f ca="1"/>
        <v>0</v>
      </c>
      <c r="U44" s="21">
        <f ca="1"/>
        <v>0</v>
      </c>
      <c r="V44" s="21">
        <f ca="1"/>
        <v>0</v>
      </c>
      <c r="W44" s="21">
        <f ca="1"/>
        <v>0</v>
      </c>
      <c r="X44" s="21">
        <f ca="1"/>
        <v>0</v>
      </c>
      <c r="Y44" s="21">
        <f ca="1"/>
        <v>0</v>
      </c>
      <c r="Z44" s="21">
        <f ca="1"/>
        <v>0</v>
      </c>
      <c r="AA44" s="21">
        <f ca="1"/>
        <v>0</v>
      </c>
      <c r="AB44" s="21">
        <f ca="1"/>
        <v>0</v>
      </c>
      <c r="AC44" s="21">
        <f ca="1"/>
        <v>0</v>
      </c>
      <c r="AD44" s="21">
        <f ca="1"/>
        <v>0</v>
      </c>
      <c r="AE44" s="21">
        <f ca="1"/>
        <v>0</v>
      </c>
      <c r="AF44" s="21">
        <f ca="1"/>
        <v>0</v>
      </c>
      <c r="AG44" s="21">
        <f ca="1"/>
        <v>0</v>
      </c>
      <c r="AH44" s="21">
        <f ca="1"/>
        <v>0</v>
      </c>
      <c r="AI44" s="21">
        <f ca="1"/>
        <v>0</v>
      </c>
      <c r="AJ44" s="21">
        <f ca="1"/>
        <v>0</v>
      </c>
      <c r="AK44" s="21">
        <f ca="1"/>
        <v>0</v>
      </c>
      <c r="AL44" s="21">
        <f ca="1"/>
        <v>0</v>
      </c>
      <c r="AM44" s="21">
        <f ca="1"/>
        <v>0</v>
      </c>
      <c r="AN44" s="21">
        <f ca="1"/>
        <v>11</v>
      </c>
      <c r="AO44" s="21">
        <f ca="1"/>
        <v>0</v>
      </c>
      <c r="AP44" s="21">
        <f ca="1"/>
        <v>1</v>
      </c>
      <c r="AQ44" s="21">
        <f ca="1"/>
        <v>0</v>
      </c>
      <c r="AR44" s="21">
        <f ca="1"/>
        <v>0</v>
      </c>
      <c r="AS44" s="21">
        <f ca="1"/>
        <v>0</v>
      </c>
      <c r="AT44" s="21">
        <f ca="1"/>
        <v>0</v>
      </c>
      <c r="AU44" s="21">
        <f ca="1"/>
        <v>0</v>
      </c>
      <c r="AV44" s="21">
        <f ca="1"/>
        <v>0</v>
      </c>
      <c r="AW44" s="21">
        <f ca="1"/>
        <v>0</v>
      </c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</row>
    <row r="45" spans="2:79" x14ac:dyDescent="0.25">
      <c r="B45" s="19">
        <f ca="1"/>
        <v>0</v>
      </c>
      <c r="C45" s="21" t="str">
        <f ca="1"/>
        <v>44</v>
      </c>
      <c r="D45" s="21" t="str">
        <f ca="1"/>
        <v>SUN02861</v>
      </c>
      <c r="E45" s="21" t="str">
        <f ca="1"/>
        <v>VANIYAMBADI SREE RAGAVENDRA AGENCIES</v>
      </c>
      <c r="F45" s="21">
        <f ca="1"/>
        <v>1.379</v>
      </c>
      <c r="G45" s="21">
        <f ca="1"/>
        <v>0</v>
      </c>
      <c r="H45" s="21">
        <f ca="1"/>
        <v>0</v>
      </c>
      <c r="I45" s="21">
        <f ca="1"/>
        <v>0</v>
      </c>
      <c r="J45" s="21">
        <f ca="1"/>
        <v>0</v>
      </c>
      <c r="K45" s="21">
        <f ca="1"/>
        <v>0</v>
      </c>
      <c r="L45" s="21">
        <f ca="1"/>
        <v>0</v>
      </c>
      <c r="M45" s="21">
        <f ca="1"/>
        <v>0</v>
      </c>
      <c r="N45" s="21">
        <f ca="1"/>
        <v>0</v>
      </c>
      <c r="O45" s="21">
        <f ca="1"/>
        <v>0</v>
      </c>
      <c r="P45" s="21">
        <f ca="1"/>
        <v>0</v>
      </c>
      <c r="Q45" s="21">
        <f ca="1"/>
        <v>0</v>
      </c>
      <c r="R45" s="21">
        <f ca="1"/>
        <v>0</v>
      </c>
      <c r="S45" s="21">
        <f ca="1"/>
        <v>0</v>
      </c>
      <c r="T45" s="21">
        <f ca="1"/>
        <v>0</v>
      </c>
      <c r="U45" s="21">
        <f ca="1"/>
        <v>0</v>
      </c>
      <c r="V45" s="21">
        <f ca="1"/>
        <v>0</v>
      </c>
      <c r="W45" s="21">
        <f ca="1"/>
        <v>0</v>
      </c>
      <c r="X45" s="21">
        <f ca="1"/>
        <v>0</v>
      </c>
      <c r="Y45" s="21">
        <f ca="1"/>
        <v>0</v>
      </c>
      <c r="Z45" s="21">
        <f ca="1"/>
        <v>0</v>
      </c>
      <c r="AA45" s="21">
        <f ca="1"/>
        <v>0</v>
      </c>
      <c r="AB45" s="21">
        <f ca="1"/>
        <v>0</v>
      </c>
      <c r="AC45" s="21">
        <f ca="1"/>
        <v>0</v>
      </c>
      <c r="AD45" s="21">
        <f ca="1"/>
        <v>0</v>
      </c>
      <c r="AE45" s="21">
        <f ca="1"/>
        <v>0</v>
      </c>
      <c r="AF45" s="21">
        <f ca="1"/>
        <v>0</v>
      </c>
      <c r="AG45" s="21">
        <f ca="1"/>
        <v>0</v>
      </c>
      <c r="AH45" s="21">
        <f ca="1"/>
        <v>0</v>
      </c>
      <c r="AI45" s="21">
        <f ca="1"/>
        <v>0</v>
      </c>
      <c r="AJ45" s="21">
        <f ca="1"/>
        <v>0</v>
      </c>
      <c r="AK45" s="21">
        <f ca="1"/>
        <v>0</v>
      </c>
      <c r="AL45" s="21">
        <f ca="1"/>
        <v>0</v>
      </c>
      <c r="AM45" s="21">
        <f ca="1"/>
        <v>0</v>
      </c>
      <c r="AN45" s="21">
        <f ca="1"/>
        <v>3</v>
      </c>
      <c r="AO45" s="21">
        <f ca="1"/>
        <v>0</v>
      </c>
      <c r="AP45" s="21">
        <f ca="1"/>
        <v>2</v>
      </c>
      <c r="AQ45" s="21">
        <f ca="1"/>
        <v>0</v>
      </c>
      <c r="AR45" s="21">
        <f ca="1"/>
        <v>0</v>
      </c>
      <c r="AS45" s="21">
        <f ca="1"/>
        <v>0</v>
      </c>
      <c r="AT45" s="21">
        <f ca="1"/>
        <v>0</v>
      </c>
      <c r="AU45" s="21">
        <f ca="1"/>
        <v>0</v>
      </c>
      <c r="AV45" s="21">
        <f ca="1"/>
        <v>0</v>
      </c>
      <c r="AW45" s="21">
        <f ca="1"/>
        <v>0</v>
      </c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</row>
    <row r="46" spans="2:79" x14ac:dyDescent="0.25">
      <c r="B46" s="19">
        <f ca="1"/>
        <v>0</v>
      </c>
      <c r="C46" s="21" t="str">
        <f ca="1"/>
        <v>45</v>
      </c>
      <c r="D46" s="21" t="str">
        <f ca="1"/>
        <v>SUN03874</v>
      </c>
      <c r="E46" s="21" t="str">
        <f ca="1"/>
        <v>BLR - GOWRI PRIYA AGENCIES</v>
      </c>
      <c r="F46" s="21">
        <f ca="1"/>
        <v>0</v>
      </c>
      <c r="G46" s="21">
        <f ca="1"/>
        <v>0</v>
      </c>
      <c r="H46" s="21">
        <f ca="1"/>
        <v>0</v>
      </c>
      <c r="I46" s="21">
        <f ca="1"/>
        <v>0</v>
      </c>
      <c r="J46" s="21">
        <f ca="1"/>
        <v>0</v>
      </c>
      <c r="K46" s="21">
        <f ca="1"/>
        <v>0</v>
      </c>
      <c r="L46" s="21">
        <f ca="1"/>
        <v>0</v>
      </c>
      <c r="M46" s="21">
        <f ca="1"/>
        <v>0</v>
      </c>
      <c r="N46" s="21">
        <f ca="1"/>
        <v>0</v>
      </c>
      <c r="O46" s="21">
        <f ca="1"/>
        <v>0</v>
      </c>
      <c r="P46" s="21">
        <f ca="1"/>
        <v>0</v>
      </c>
      <c r="Q46" s="21">
        <f ca="1"/>
        <v>0</v>
      </c>
      <c r="R46" s="21">
        <f ca="1"/>
        <v>0</v>
      </c>
      <c r="S46" s="21">
        <f ca="1"/>
        <v>0</v>
      </c>
      <c r="T46" s="21">
        <f ca="1"/>
        <v>0</v>
      </c>
      <c r="U46" s="21">
        <f ca="1"/>
        <v>0</v>
      </c>
      <c r="V46" s="21">
        <f ca="1"/>
        <v>0</v>
      </c>
      <c r="W46" s="21">
        <f ca="1"/>
        <v>0</v>
      </c>
      <c r="X46" s="21">
        <f ca="1"/>
        <v>0</v>
      </c>
      <c r="Y46" s="21">
        <f ca="1"/>
        <v>0</v>
      </c>
      <c r="Z46" s="21">
        <f ca="1"/>
        <v>0</v>
      </c>
      <c r="AA46" s="21">
        <f ca="1"/>
        <v>0</v>
      </c>
      <c r="AB46" s="21">
        <f ca="1"/>
        <v>0</v>
      </c>
      <c r="AC46" s="21">
        <f ca="1"/>
        <v>0</v>
      </c>
      <c r="AD46" s="21">
        <f ca="1"/>
        <v>0</v>
      </c>
      <c r="AE46" s="21">
        <f ca="1"/>
        <v>0</v>
      </c>
      <c r="AF46" s="21">
        <f ca="1"/>
        <v>0</v>
      </c>
      <c r="AG46" s="21">
        <f ca="1"/>
        <v>0</v>
      </c>
      <c r="AH46" s="21">
        <f ca="1"/>
        <v>0</v>
      </c>
      <c r="AI46" s="21">
        <f ca="1"/>
        <v>0</v>
      </c>
      <c r="AJ46" s="21">
        <f ca="1"/>
        <v>0</v>
      </c>
      <c r="AK46" s="21">
        <f ca="1"/>
        <v>0</v>
      </c>
      <c r="AL46" s="21">
        <f ca="1"/>
        <v>0</v>
      </c>
      <c r="AM46" s="21">
        <f ca="1"/>
        <v>0</v>
      </c>
      <c r="AN46" s="21">
        <f ca="1"/>
        <v>0</v>
      </c>
      <c r="AO46" s="21">
        <f ca="1"/>
        <v>0</v>
      </c>
      <c r="AP46" s="21">
        <f ca="1"/>
        <v>0</v>
      </c>
      <c r="AQ46" s="21">
        <f ca="1"/>
        <v>0</v>
      </c>
      <c r="AR46" s="21">
        <f ca="1"/>
        <v>0</v>
      </c>
      <c r="AS46" s="21">
        <f ca="1"/>
        <v>0</v>
      </c>
      <c r="AT46" s="21">
        <f ca="1"/>
        <v>0</v>
      </c>
      <c r="AU46" s="21">
        <f ca="1"/>
        <v>0</v>
      </c>
      <c r="AV46" s="21">
        <f ca="1"/>
        <v>0</v>
      </c>
      <c r="AW46" s="21">
        <f ca="1"/>
        <v>0</v>
      </c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</row>
    <row r="47" spans="2:79" x14ac:dyDescent="0.25">
      <c r="B47" s="19">
        <f ca="1"/>
        <v>0</v>
      </c>
      <c r="C47" s="21" t="str">
        <f ca="1"/>
        <v>46</v>
      </c>
      <c r="D47" s="21" t="str">
        <f ca="1"/>
        <v>SUN06764</v>
      </c>
      <c r="E47" s="21" t="str">
        <f ca="1"/>
        <v>AP-SHABARI OILS</v>
      </c>
      <c r="F47" s="21">
        <f ca="1"/>
        <v>0</v>
      </c>
      <c r="G47" s="21">
        <f ca="1"/>
        <v>0</v>
      </c>
      <c r="H47" s="21">
        <f ca="1"/>
        <v>0</v>
      </c>
      <c r="I47" s="21">
        <f ca="1"/>
        <v>0</v>
      </c>
      <c r="J47" s="21">
        <f ca="1"/>
        <v>0</v>
      </c>
      <c r="K47" s="21">
        <f ca="1"/>
        <v>0</v>
      </c>
      <c r="L47" s="21">
        <f ca="1"/>
        <v>0</v>
      </c>
      <c r="M47" s="21">
        <f ca="1"/>
        <v>0</v>
      </c>
      <c r="N47" s="21">
        <f ca="1"/>
        <v>0</v>
      </c>
      <c r="O47" s="21">
        <f ca="1"/>
        <v>0</v>
      </c>
      <c r="P47" s="21">
        <f ca="1"/>
        <v>0</v>
      </c>
      <c r="Q47" s="21">
        <f ca="1"/>
        <v>0</v>
      </c>
      <c r="R47" s="21">
        <f ca="1"/>
        <v>0</v>
      </c>
      <c r="S47" s="21">
        <f ca="1"/>
        <v>0</v>
      </c>
      <c r="T47" s="21">
        <f ca="1"/>
        <v>0</v>
      </c>
      <c r="U47" s="21">
        <f ca="1"/>
        <v>0</v>
      </c>
      <c r="V47" s="21">
        <f ca="1"/>
        <v>0</v>
      </c>
      <c r="W47" s="21">
        <f ca="1"/>
        <v>0</v>
      </c>
      <c r="X47" s="21">
        <f ca="1"/>
        <v>0</v>
      </c>
      <c r="Y47" s="21">
        <f ca="1"/>
        <v>0</v>
      </c>
      <c r="Z47" s="21">
        <f ca="1"/>
        <v>0</v>
      </c>
      <c r="AA47" s="21">
        <f ca="1"/>
        <v>0</v>
      </c>
      <c r="AB47" s="21">
        <f ca="1"/>
        <v>0</v>
      </c>
      <c r="AC47" s="21">
        <f ca="1"/>
        <v>0</v>
      </c>
      <c r="AD47" s="21">
        <f ca="1"/>
        <v>0</v>
      </c>
      <c r="AE47" s="21">
        <f ca="1"/>
        <v>0</v>
      </c>
      <c r="AF47" s="21">
        <f ca="1"/>
        <v>0</v>
      </c>
      <c r="AG47" s="21">
        <f ca="1"/>
        <v>0</v>
      </c>
      <c r="AH47" s="21">
        <f ca="1"/>
        <v>0</v>
      </c>
      <c r="AI47" s="21">
        <f ca="1"/>
        <v>0</v>
      </c>
      <c r="AJ47" s="21">
        <f ca="1"/>
        <v>0</v>
      </c>
      <c r="AK47" s="21">
        <f ca="1"/>
        <v>0</v>
      </c>
      <c r="AL47" s="21">
        <f ca="1"/>
        <v>0</v>
      </c>
      <c r="AM47" s="21">
        <f ca="1"/>
        <v>0</v>
      </c>
      <c r="AN47" s="21">
        <f ca="1"/>
        <v>0</v>
      </c>
      <c r="AO47" s="21">
        <f ca="1"/>
        <v>0</v>
      </c>
      <c r="AP47" s="21">
        <f ca="1"/>
        <v>0</v>
      </c>
      <c r="AQ47" s="21">
        <f ca="1"/>
        <v>0</v>
      </c>
      <c r="AR47" s="21">
        <f ca="1"/>
        <v>0</v>
      </c>
      <c r="AS47" s="21">
        <f ca="1"/>
        <v>0</v>
      </c>
      <c r="AT47" s="21">
        <f ca="1"/>
        <v>0</v>
      </c>
      <c r="AU47" s="21">
        <f ca="1"/>
        <v>0</v>
      </c>
      <c r="AV47" s="21">
        <f ca="1"/>
        <v>0</v>
      </c>
      <c r="AW47" s="21">
        <f ca="1"/>
        <v>0</v>
      </c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</row>
    <row r="48" spans="2:79" x14ac:dyDescent="0.25">
      <c r="B48" s="19">
        <f ca="1"/>
        <v>0</v>
      </c>
      <c r="C48" s="21" t="str">
        <f ca="1"/>
        <v>47</v>
      </c>
      <c r="D48" s="21" t="str">
        <f ca="1"/>
        <v>SUN06759</v>
      </c>
      <c r="E48" s="21" t="str">
        <f ca="1"/>
        <v>AP-RAZIYA BABY OIL MILL (KADAPPA)</v>
      </c>
      <c r="F48" s="21">
        <f ca="1"/>
        <v>0</v>
      </c>
      <c r="G48" s="21">
        <f ca="1"/>
        <v>0</v>
      </c>
      <c r="H48" s="21">
        <f ca="1"/>
        <v>0</v>
      </c>
      <c r="I48" s="21">
        <f ca="1"/>
        <v>0</v>
      </c>
      <c r="J48" s="21">
        <f ca="1"/>
        <v>0</v>
      </c>
      <c r="K48" s="21">
        <f ca="1"/>
        <v>0</v>
      </c>
      <c r="L48" s="21">
        <f ca="1"/>
        <v>0</v>
      </c>
      <c r="M48" s="21">
        <f ca="1"/>
        <v>0</v>
      </c>
      <c r="N48" s="21">
        <f ca="1"/>
        <v>0</v>
      </c>
      <c r="O48" s="21">
        <f ca="1"/>
        <v>0</v>
      </c>
      <c r="P48" s="21">
        <f ca="1"/>
        <v>0</v>
      </c>
      <c r="Q48" s="21">
        <f ca="1"/>
        <v>0</v>
      </c>
      <c r="R48" s="21">
        <f ca="1"/>
        <v>0</v>
      </c>
      <c r="S48" s="21">
        <f ca="1"/>
        <v>0</v>
      </c>
      <c r="T48" s="21">
        <f ca="1"/>
        <v>0</v>
      </c>
      <c r="U48" s="21">
        <f ca="1"/>
        <v>0</v>
      </c>
      <c r="V48" s="21">
        <f ca="1"/>
        <v>0</v>
      </c>
      <c r="W48" s="21">
        <f ca="1"/>
        <v>0</v>
      </c>
      <c r="X48" s="21">
        <f ca="1"/>
        <v>0</v>
      </c>
      <c r="Y48" s="21">
        <f ca="1"/>
        <v>0</v>
      </c>
      <c r="Z48" s="21">
        <f ca="1"/>
        <v>0</v>
      </c>
      <c r="AA48" s="21">
        <f ca="1"/>
        <v>0</v>
      </c>
      <c r="AB48" s="21">
        <f ca="1"/>
        <v>0</v>
      </c>
      <c r="AC48" s="21">
        <f ca="1"/>
        <v>0</v>
      </c>
      <c r="AD48" s="21">
        <f ca="1"/>
        <v>0</v>
      </c>
      <c r="AE48" s="21">
        <f ca="1"/>
        <v>0</v>
      </c>
      <c r="AF48" s="21">
        <f ca="1"/>
        <v>0</v>
      </c>
      <c r="AG48" s="21">
        <f ca="1"/>
        <v>0</v>
      </c>
      <c r="AH48" s="21">
        <f ca="1"/>
        <v>0</v>
      </c>
      <c r="AI48" s="21">
        <f ca="1"/>
        <v>0</v>
      </c>
      <c r="AJ48" s="21">
        <f ca="1"/>
        <v>0</v>
      </c>
      <c r="AK48" s="21">
        <f ca="1"/>
        <v>0</v>
      </c>
      <c r="AL48" s="21">
        <f ca="1"/>
        <v>0</v>
      </c>
      <c r="AM48" s="21">
        <f ca="1"/>
        <v>0</v>
      </c>
      <c r="AN48" s="21">
        <f ca="1"/>
        <v>0</v>
      </c>
      <c r="AO48" s="21">
        <f ca="1"/>
        <v>0</v>
      </c>
      <c r="AP48" s="21">
        <f ca="1"/>
        <v>0</v>
      </c>
      <c r="AQ48" s="21">
        <f ca="1"/>
        <v>0</v>
      </c>
      <c r="AR48" s="21">
        <f ca="1"/>
        <v>0</v>
      </c>
      <c r="AS48" s="21">
        <f ca="1"/>
        <v>0</v>
      </c>
      <c r="AT48" s="21">
        <f ca="1"/>
        <v>0</v>
      </c>
      <c r="AU48" s="21">
        <f ca="1"/>
        <v>0</v>
      </c>
      <c r="AV48" s="21">
        <f ca="1"/>
        <v>0</v>
      </c>
      <c r="AW48" s="21">
        <f ca="1"/>
        <v>0</v>
      </c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</row>
    <row r="49" spans="2:79" x14ac:dyDescent="0.25">
      <c r="B49" s="19">
        <f ca="1"/>
        <v>0</v>
      </c>
      <c r="C49" s="21" t="str">
        <f ca="1"/>
        <v>48</v>
      </c>
      <c r="D49" s="21" t="str">
        <f ca="1"/>
        <v>SUN02038</v>
      </c>
      <c r="E49" s="21" t="str">
        <f ca="1"/>
        <v>CBE.LIYA OIL TRADERS</v>
      </c>
      <c r="F49" s="21">
        <f ca="1"/>
        <v>0.91</v>
      </c>
      <c r="G49" s="21">
        <f ca="1"/>
        <v>0</v>
      </c>
      <c r="H49" s="21">
        <f ca="1"/>
        <v>0</v>
      </c>
      <c r="I49" s="21">
        <f ca="1"/>
        <v>0</v>
      </c>
      <c r="J49" s="21">
        <f ca="1"/>
        <v>0</v>
      </c>
      <c r="K49" s="21">
        <f ca="1"/>
        <v>0</v>
      </c>
      <c r="L49" s="21">
        <f ca="1"/>
        <v>0</v>
      </c>
      <c r="M49" s="21">
        <f ca="1"/>
        <v>0</v>
      </c>
      <c r="N49" s="21">
        <f ca="1"/>
        <v>0</v>
      </c>
      <c r="O49" s="21">
        <f ca="1"/>
        <v>0</v>
      </c>
      <c r="P49" s="21">
        <f ca="1"/>
        <v>0</v>
      </c>
      <c r="Q49" s="21">
        <f ca="1"/>
        <v>0</v>
      </c>
      <c r="R49" s="21">
        <f ca="1"/>
        <v>0</v>
      </c>
      <c r="S49" s="21">
        <f ca="1"/>
        <v>0</v>
      </c>
      <c r="T49" s="21">
        <f ca="1"/>
        <v>0</v>
      </c>
      <c r="U49" s="21">
        <f ca="1"/>
        <v>0</v>
      </c>
      <c r="V49" s="21">
        <f ca="1"/>
        <v>0</v>
      </c>
      <c r="W49" s="21">
        <f ca="1"/>
        <v>0</v>
      </c>
      <c r="X49" s="21">
        <f ca="1"/>
        <v>0</v>
      </c>
      <c r="Y49" s="21">
        <f ca="1"/>
        <v>0</v>
      </c>
      <c r="Z49" s="21">
        <f ca="1"/>
        <v>0</v>
      </c>
      <c r="AA49" s="21">
        <f ca="1"/>
        <v>0</v>
      </c>
      <c r="AB49" s="21">
        <f ca="1"/>
        <v>0</v>
      </c>
      <c r="AC49" s="21">
        <f ca="1"/>
        <v>0</v>
      </c>
      <c r="AD49" s="21">
        <f ca="1"/>
        <v>0</v>
      </c>
      <c r="AE49" s="21">
        <f ca="1"/>
        <v>0</v>
      </c>
      <c r="AF49" s="21">
        <f ca="1"/>
        <v>0</v>
      </c>
      <c r="AG49" s="21">
        <f ca="1"/>
        <v>0</v>
      </c>
      <c r="AH49" s="21">
        <f ca="1"/>
        <v>0</v>
      </c>
      <c r="AI49" s="21">
        <f ca="1"/>
        <v>0</v>
      </c>
      <c r="AJ49" s="21">
        <f ca="1"/>
        <v>0</v>
      </c>
      <c r="AK49" s="21">
        <f ca="1"/>
        <v>0</v>
      </c>
      <c r="AL49" s="21">
        <f ca="1"/>
        <v>0</v>
      </c>
      <c r="AM49" s="21">
        <f ca="1"/>
        <v>0</v>
      </c>
      <c r="AN49" s="21">
        <f ca="1"/>
        <v>0</v>
      </c>
      <c r="AO49" s="21">
        <f ca="1"/>
        <v>0</v>
      </c>
      <c r="AP49" s="21">
        <f ca="1"/>
        <v>0</v>
      </c>
      <c r="AQ49" s="21">
        <f ca="1"/>
        <v>0</v>
      </c>
      <c r="AR49" s="21">
        <f ca="1"/>
        <v>0</v>
      </c>
      <c r="AS49" s="21">
        <f ca="1"/>
        <v>0</v>
      </c>
      <c r="AT49" s="21">
        <f ca="1"/>
        <v>0</v>
      </c>
      <c r="AU49" s="21">
        <f ca="1"/>
        <v>0</v>
      </c>
      <c r="AV49" s="21">
        <f ca="1"/>
        <v>0</v>
      </c>
      <c r="AW49" s="21">
        <f ca="1"/>
        <v>0</v>
      </c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</row>
    <row r="50" spans="2:79" x14ac:dyDescent="0.25">
      <c r="B50" s="19">
        <f ca="1"/>
        <v>0</v>
      </c>
      <c r="C50" s="21" t="str">
        <f ca="1"/>
        <v>49</v>
      </c>
      <c r="D50" s="21" t="str">
        <f ca="1"/>
        <v>SUN07563</v>
      </c>
      <c r="E50" s="21" t="str">
        <f ca="1"/>
        <v>CBE-ALANKAR SUPER MARKET PRIVATE LIMITED</v>
      </c>
      <c r="F50" s="21">
        <f ca="1"/>
        <v>1.82</v>
      </c>
      <c r="G50" s="21">
        <f ca="1"/>
        <v>0</v>
      </c>
      <c r="H50" s="21">
        <f ca="1"/>
        <v>0</v>
      </c>
      <c r="I50" s="21">
        <f ca="1"/>
        <v>0</v>
      </c>
      <c r="J50" s="21">
        <f ca="1"/>
        <v>0</v>
      </c>
      <c r="K50" s="21">
        <f ca="1"/>
        <v>0</v>
      </c>
      <c r="L50" s="21">
        <f ca="1"/>
        <v>0</v>
      </c>
      <c r="M50" s="21">
        <f ca="1"/>
        <v>0</v>
      </c>
      <c r="N50" s="21">
        <f ca="1"/>
        <v>0</v>
      </c>
      <c r="O50" s="21">
        <f ca="1"/>
        <v>0</v>
      </c>
      <c r="P50" s="21">
        <f ca="1"/>
        <v>0</v>
      </c>
      <c r="Q50" s="21">
        <f ca="1"/>
        <v>0</v>
      </c>
      <c r="R50" s="21">
        <f ca="1"/>
        <v>0</v>
      </c>
      <c r="S50" s="21">
        <f ca="1"/>
        <v>0</v>
      </c>
      <c r="T50" s="21">
        <f ca="1"/>
        <v>0</v>
      </c>
      <c r="U50" s="21">
        <f ca="1"/>
        <v>0</v>
      </c>
      <c r="V50" s="21">
        <f ca="1"/>
        <v>0</v>
      </c>
      <c r="W50" s="21">
        <f ca="1"/>
        <v>0</v>
      </c>
      <c r="X50" s="21">
        <f ca="1"/>
        <v>0</v>
      </c>
      <c r="Y50" s="21">
        <f ca="1"/>
        <v>0</v>
      </c>
      <c r="Z50" s="21">
        <f ca="1"/>
        <v>0</v>
      </c>
      <c r="AA50" s="21">
        <f ca="1"/>
        <v>0</v>
      </c>
      <c r="AB50" s="21">
        <f ca="1"/>
        <v>0</v>
      </c>
      <c r="AC50" s="21">
        <f ca="1"/>
        <v>0</v>
      </c>
      <c r="AD50" s="21">
        <f ca="1"/>
        <v>0</v>
      </c>
      <c r="AE50" s="21">
        <f ca="1"/>
        <v>0</v>
      </c>
      <c r="AF50" s="21">
        <f ca="1"/>
        <v>0</v>
      </c>
      <c r="AG50" s="21">
        <f ca="1"/>
        <v>0</v>
      </c>
      <c r="AH50" s="21">
        <f ca="1"/>
        <v>0</v>
      </c>
      <c r="AI50" s="21">
        <f ca="1"/>
        <v>0</v>
      </c>
      <c r="AJ50" s="21">
        <f ca="1"/>
        <v>0</v>
      </c>
      <c r="AK50" s="21">
        <f ca="1"/>
        <v>0</v>
      </c>
      <c r="AL50" s="21">
        <f ca="1"/>
        <v>0</v>
      </c>
      <c r="AM50" s="21">
        <f ca="1"/>
        <v>0</v>
      </c>
      <c r="AN50" s="21">
        <f ca="1"/>
        <v>0</v>
      </c>
      <c r="AO50" s="21">
        <f ca="1"/>
        <v>0</v>
      </c>
      <c r="AP50" s="21">
        <f ca="1"/>
        <v>0</v>
      </c>
      <c r="AQ50" s="21">
        <f ca="1"/>
        <v>0</v>
      </c>
      <c r="AR50" s="21">
        <f ca="1"/>
        <v>0</v>
      </c>
      <c r="AS50" s="21">
        <f ca="1"/>
        <v>0</v>
      </c>
      <c r="AT50" s="21">
        <f ca="1"/>
        <v>0</v>
      </c>
      <c r="AU50" s="21">
        <f ca="1"/>
        <v>0</v>
      </c>
      <c r="AV50" s="21">
        <f ca="1"/>
        <v>0</v>
      </c>
      <c r="AW50" s="21">
        <f ca="1"/>
        <v>0</v>
      </c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</row>
    <row r="51" spans="2:79" x14ac:dyDescent="0.25">
      <c r="B51" s="19">
        <f ca="1"/>
        <v>0</v>
      </c>
      <c r="C51" s="21" t="str">
        <f ca="1"/>
        <v>50</v>
      </c>
      <c r="D51" s="21" t="str">
        <f ca="1"/>
        <v>SUN07710</v>
      </c>
      <c r="E51" s="21" t="str">
        <f ca="1"/>
        <v>COIMBATORE-GEETHA CANTEEN</v>
      </c>
      <c r="F51" s="21">
        <f ca="1"/>
        <v>0</v>
      </c>
      <c r="G51" s="21">
        <f ca="1"/>
        <v>0</v>
      </c>
      <c r="H51" s="21">
        <f ca="1"/>
        <v>0</v>
      </c>
      <c r="I51" s="21">
        <f ca="1"/>
        <v>0</v>
      </c>
      <c r="J51" s="21">
        <f ca="1"/>
        <v>0</v>
      </c>
      <c r="K51" s="21">
        <f ca="1"/>
        <v>0</v>
      </c>
      <c r="L51" s="21">
        <f ca="1"/>
        <v>0</v>
      </c>
      <c r="M51" s="21">
        <f ca="1"/>
        <v>0</v>
      </c>
      <c r="N51" s="21">
        <f ca="1"/>
        <v>0</v>
      </c>
      <c r="O51" s="21">
        <f ca="1"/>
        <v>0</v>
      </c>
      <c r="P51" s="21">
        <f ca="1"/>
        <v>0</v>
      </c>
      <c r="Q51" s="21">
        <f ca="1"/>
        <v>0</v>
      </c>
      <c r="R51" s="21">
        <f ca="1"/>
        <v>0</v>
      </c>
      <c r="S51" s="21">
        <f ca="1"/>
        <v>0</v>
      </c>
      <c r="T51" s="21">
        <f ca="1"/>
        <v>0</v>
      </c>
      <c r="U51" s="21">
        <f ca="1"/>
        <v>0</v>
      </c>
      <c r="V51" s="21">
        <f ca="1"/>
        <v>0</v>
      </c>
      <c r="W51" s="21">
        <f ca="1"/>
        <v>0</v>
      </c>
      <c r="X51" s="21">
        <f ca="1"/>
        <v>0</v>
      </c>
      <c r="Y51" s="21">
        <f ca="1"/>
        <v>0</v>
      </c>
      <c r="Z51" s="21">
        <f ca="1"/>
        <v>0</v>
      </c>
      <c r="AA51" s="21">
        <f ca="1"/>
        <v>0</v>
      </c>
      <c r="AB51" s="21">
        <f ca="1"/>
        <v>0</v>
      </c>
      <c r="AC51" s="21">
        <f ca="1"/>
        <v>0</v>
      </c>
      <c r="AD51" s="21">
        <f ca="1"/>
        <v>0</v>
      </c>
      <c r="AE51" s="21">
        <f ca="1"/>
        <v>0</v>
      </c>
      <c r="AF51" s="21">
        <f ca="1"/>
        <v>0</v>
      </c>
      <c r="AG51" s="21">
        <f ca="1"/>
        <v>0</v>
      </c>
      <c r="AH51" s="21">
        <f ca="1"/>
        <v>0</v>
      </c>
      <c r="AI51" s="21">
        <f ca="1"/>
        <v>0</v>
      </c>
      <c r="AJ51" s="21">
        <f ca="1"/>
        <v>0</v>
      </c>
      <c r="AK51" s="21">
        <f ca="1"/>
        <v>0</v>
      </c>
      <c r="AL51" s="21">
        <f ca="1"/>
        <v>0</v>
      </c>
      <c r="AM51" s="21">
        <f ca="1"/>
        <v>0</v>
      </c>
      <c r="AN51" s="21">
        <f ca="1"/>
        <v>0</v>
      </c>
      <c r="AO51" s="21">
        <f ca="1"/>
        <v>0</v>
      </c>
      <c r="AP51" s="21">
        <f ca="1"/>
        <v>0</v>
      </c>
      <c r="AQ51" s="21">
        <f ca="1"/>
        <v>0</v>
      </c>
      <c r="AR51" s="21">
        <f ca="1"/>
        <v>0</v>
      </c>
      <c r="AS51" s="21">
        <f ca="1"/>
        <v>0</v>
      </c>
      <c r="AT51" s="21">
        <f ca="1"/>
        <v>0</v>
      </c>
      <c r="AU51" s="21">
        <f ca="1"/>
        <v>0</v>
      </c>
      <c r="AV51" s="21">
        <f ca="1"/>
        <v>0</v>
      </c>
      <c r="AW51" s="21">
        <f ca="1"/>
        <v>0</v>
      </c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</row>
    <row r="52" spans="2:79" x14ac:dyDescent="0.25">
      <c r="B52" s="19">
        <f ca="1"/>
        <v>0</v>
      </c>
      <c r="C52" s="21" t="str">
        <f ca="1"/>
        <v>51</v>
      </c>
      <c r="D52" s="21" t="str">
        <f ca="1"/>
        <v>SUN07713</v>
      </c>
      <c r="E52" s="21" t="str">
        <f ca="1"/>
        <v>COIMBATORE-GEETHA RESTAURANT</v>
      </c>
      <c r="F52" s="21">
        <f ca="1"/>
        <v>0</v>
      </c>
      <c r="G52" s="21">
        <f ca="1"/>
        <v>0</v>
      </c>
      <c r="H52" s="21">
        <f ca="1"/>
        <v>0</v>
      </c>
      <c r="I52" s="21">
        <f ca="1"/>
        <v>0</v>
      </c>
      <c r="J52" s="21">
        <f ca="1"/>
        <v>0</v>
      </c>
      <c r="K52" s="21">
        <f ca="1"/>
        <v>0</v>
      </c>
      <c r="L52" s="21">
        <f ca="1"/>
        <v>0</v>
      </c>
      <c r="M52" s="21">
        <f ca="1"/>
        <v>0</v>
      </c>
      <c r="N52" s="21">
        <f ca="1"/>
        <v>0</v>
      </c>
      <c r="O52" s="21">
        <f ca="1"/>
        <v>0</v>
      </c>
      <c r="P52" s="21">
        <f ca="1"/>
        <v>0</v>
      </c>
      <c r="Q52" s="21">
        <f ca="1"/>
        <v>0</v>
      </c>
      <c r="R52" s="21">
        <f ca="1"/>
        <v>0</v>
      </c>
      <c r="S52" s="21">
        <f ca="1"/>
        <v>0</v>
      </c>
      <c r="T52" s="21">
        <f ca="1"/>
        <v>0</v>
      </c>
      <c r="U52" s="21">
        <f ca="1"/>
        <v>0</v>
      </c>
      <c r="V52" s="21">
        <f ca="1"/>
        <v>0</v>
      </c>
      <c r="W52" s="21">
        <f ca="1"/>
        <v>0</v>
      </c>
      <c r="X52" s="21">
        <f ca="1"/>
        <v>0</v>
      </c>
      <c r="Y52" s="21">
        <f ca="1"/>
        <v>0</v>
      </c>
      <c r="Z52" s="21">
        <f ca="1"/>
        <v>0</v>
      </c>
      <c r="AA52" s="21">
        <f ca="1"/>
        <v>0</v>
      </c>
      <c r="AB52" s="21">
        <f ca="1"/>
        <v>0</v>
      </c>
      <c r="AC52" s="21">
        <f ca="1"/>
        <v>0</v>
      </c>
      <c r="AD52" s="21">
        <f ca="1"/>
        <v>0</v>
      </c>
      <c r="AE52" s="21">
        <f ca="1"/>
        <v>0</v>
      </c>
      <c r="AF52" s="21">
        <f ca="1"/>
        <v>0</v>
      </c>
      <c r="AG52" s="21">
        <f ca="1"/>
        <v>0</v>
      </c>
      <c r="AH52" s="21">
        <f ca="1"/>
        <v>0</v>
      </c>
      <c r="AI52" s="21">
        <f ca="1"/>
        <v>0</v>
      </c>
      <c r="AJ52" s="21">
        <f ca="1"/>
        <v>0</v>
      </c>
      <c r="AK52" s="21">
        <f ca="1"/>
        <v>0</v>
      </c>
      <c r="AL52" s="21">
        <f ca="1"/>
        <v>0</v>
      </c>
      <c r="AM52" s="21">
        <f ca="1"/>
        <v>0</v>
      </c>
      <c r="AN52" s="21">
        <f ca="1"/>
        <v>0</v>
      </c>
      <c r="AO52" s="21">
        <f ca="1"/>
        <v>0</v>
      </c>
      <c r="AP52" s="21">
        <f ca="1"/>
        <v>0</v>
      </c>
      <c r="AQ52" s="21">
        <f ca="1"/>
        <v>0</v>
      </c>
      <c r="AR52" s="21">
        <f ca="1"/>
        <v>0</v>
      </c>
      <c r="AS52" s="21">
        <f ca="1"/>
        <v>0</v>
      </c>
      <c r="AT52" s="21">
        <f ca="1"/>
        <v>0</v>
      </c>
      <c r="AU52" s="21">
        <f ca="1"/>
        <v>0</v>
      </c>
      <c r="AV52" s="21">
        <f ca="1"/>
        <v>0</v>
      </c>
      <c r="AW52" s="21">
        <f ca="1"/>
        <v>0</v>
      </c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</row>
    <row r="53" spans="2:79" x14ac:dyDescent="0.25">
      <c r="B53" s="19">
        <f ca="1"/>
        <v>0</v>
      </c>
      <c r="C53" s="21" t="str">
        <f ca="1"/>
        <v>52</v>
      </c>
      <c r="D53" s="21" t="str">
        <f ca="1"/>
        <v>SUN05493</v>
      </c>
      <c r="E53" s="21" t="str">
        <f ca="1"/>
        <v>CBE ZION TRADERS</v>
      </c>
      <c r="F53" s="21">
        <f ca="1"/>
        <v>0.06</v>
      </c>
      <c r="G53" s="21">
        <f ca="1"/>
        <v>0</v>
      </c>
      <c r="H53" s="21">
        <f ca="1"/>
        <v>0</v>
      </c>
      <c r="I53" s="21">
        <f ca="1"/>
        <v>0</v>
      </c>
      <c r="J53" s="21">
        <f ca="1"/>
        <v>0</v>
      </c>
      <c r="K53" s="21">
        <f ca="1"/>
        <v>0</v>
      </c>
      <c r="L53" s="21">
        <f ca="1"/>
        <v>0</v>
      </c>
      <c r="M53" s="21">
        <f ca="1"/>
        <v>0</v>
      </c>
      <c r="N53" s="21">
        <f ca="1"/>
        <v>0</v>
      </c>
      <c r="O53" s="21">
        <f ca="1"/>
        <v>0</v>
      </c>
      <c r="P53" s="21">
        <f ca="1"/>
        <v>0</v>
      </c>
      <c r="Q53" s="21">
        <f ca="1"/>
        <v>0</v>
      </c>
      <c r="R53" s="21">
        <f ca="1"/>
        <v>0</v>
      </c>
      <c r="S53" s="21">
        <f ca="1"/>
        <v>0</v>
      </c>
      <c r="T53" s="21">
        <f ca="1"/>
        <v>0</v>
      </c>
      <c r="U53" s="21">
        <f ca="1"/>
        <v>0</v>
      </c>
      <c r="V53" s="21">
        <f ca="1"/>
        <v>0</v>
      </c>
      <c r="W53" s="21">
        <f ca="1"/>
        <v>0</v>
      </c>
      <c r="X53" s="21">
        <f ca="1"/>
        <v>0</v>
      </c>
      <c r="Y53" s="21">
        <f ca="1"/>
        <v>0</v>
      </c>
      <c r="Z53" s="21">
        <f ca="1"/>
        <v>0</v>
      </c>
      <c r="AA53" s="21">
        <f ca="1"/>
        <v>0</v>
      </c>
      <c r="AB53" s="21">
        <f ca="1"/>
        <v>0</v>
      </c>
      <c r="AC53" s="21">
        <f ca="1"/>
        <v>0</v>
      </c>
      <c r="AD53" s="21">
        <f ca="1"/>
        <v>0</v>
      </c>
      <c r="AE53" s="21">
        <f ca="1"/>
        <v>0</v>
      </c>
      <c r="AF53" s="21">
        <f ca="1"/>
        <v>0</v>
      </c>
      <c r="AG53" s="21">
        <f ca="1"/>
        <v>0</v>
      </c>
      <c r="AH53" s="21">
        <f ca="1"/>
        <v>0</v>
      </c>
      <c r="AI53" s="21">
        <f ca="1"/>
        <v>0</v>
      </c>
      <c r="AJ53" s="21">
        <f ca="1"/>
        <v>0</v>
      </c>
      <c r="AK53" s="21">
        <f ca="1"/>
        <v>0</v>
      </c>
      <c r="AL53" s="21">
        <f ca="1"/>
        <v>0</v>
      </c>
      <c r="AM53" s="21">
        <f ca="1"/>
        <v>0</v>
      </c>
      <c r="AN53" s="21">
        <f ca="1"/>
        <v>1</v>
      </c>
      <c r="AO53" s="21">
        <f ca="1"/>
        <v>0</v>
      </c>
      <c r="AP53" s="21">
        <f ca="1"/>
        <v>0</v>
      </c>
      <c r="AQ53" s="21">
        <f ca="1"/>
        <v>0</v>
      </c>
      <c r="AR53" s="21">
        <f ca="1"/>
        <v>0</v>
      </c>
      <c r="AS53" s="21">
        <f ca="1"/>
        <v>0</v>
      </c>
      <c r="AT53" s="21">
        <f ca="1"/>
        <v>0</v>
      </c>
      <c r="AU53" s="21">
        <f ca="1"/>
        <v>0</v>
      </c>
      <c r="AV53" s="21">
        <f ca="1"/>
        <v>0</v>
      </c>
      <c r="AW53" s="21">
        <f ca="1"/>
        <v>0</v>
      </c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</row>
    <row r="54" spans="2:79" x14ac:dyDescent="0.25">
      <c r="B54" s="19">
        <f ca="1"/>
        <v>0</v>
      </c>
      <c r="C54" s="21" t="str">
        <f ca="1"/>
        <v>53</v>
      </c>
      <c r="D54" s="21" t="str">
        <f ca="1"/>
        <v>SUN03509</v>
      </c>
      <c r="E54" s="21" t="str">
        <f ca="1"/>
        <v>COONOOR G.V.AGENCIES</v>
      </c>
      <c r="F54" s="21">
        <f ca="1"/>
        <v>23.103999999999999</v>
      </c>
      <c r="G54" s="21">
        <f ca="1"/>
        <v>0</v>
      </c>
      <c r="H54" s="21">
        <f ca="1"/>
        <v>0</v>
      </c>
      <c r="I54" s="21">
        <f ca="1"/>
        <v>0</v>
      </c>
      <c r="J54" s="21">
        <f ca="1"/>
        <v>0</v>
      </c>
      <c r="K54" s="21">
        <f ca="1"/>
        <v>0</v>
      </c>
      <c r="L54" s="21">
        <f ca="1"/>
        <v>0</v>
      </c>
      <c r="M54" s="21">
        <f ca="1"/>
        <v>0</v>
      </c>
      <c r="N54" s="21">
        <f ca="1"/>
        <v>0</v>
      </c>
      <c r="O54" s="21">
        <f ca="1"/>
        <v>0</v>
      </c>
      <c r="P54" s="21">
        <f ca="1"/>
        <v>0</v>
      </c>
      <c r="Q54" s="21">
        <f ca="1"/>
        <v>0</v>
      </c>
      <c r="R54" s="21">
        <f ca="1"/>
        <v>0</v>
      </c>
      <c r="S54" s="21">
        <f ca="1"/>
        <v>0</v>
      </c>
      <c r="T54" s="21">
        <f ca="1"/>
        <v>0</v>
      </c>
      <c r="U54" s="21">
        <f ca="1"/>
        <v>0</v>
      </c>
      <c r="V54" s="21">
        <f ca="1"/>
        <v>0</v>
      </c>
      <c r="W54" s="21">
        <f ca="1"/>
        <v>0</v>
      </c>
      <c r="X54" s="21">
        <f ca="1"/>
        <v>0</v>
      </c>
      <c r="Y54" s="21">
        <f ca="1"/>
        <v>0</v>
      </c>
      <c r="Z54" s="21">
        <f ca="1"/>
        <v>0</v>
      </c>
      <c r="AA54" s="21">
        <f ca="1"/>
        <v>0</v>
      </c>
      <c r="AB54" s="21">
        <f ca="1"/>
        <v>0</v>
      </c>
      <c r="AC54" s="21">
        <f ca="1"/>
        <v>0</v>
      </c>
      <c r="AD54" s="21">
        <f ca="1"/>
        <v>0</v>
      </c>
      <c r="AE54" s="21">
        <f ca="1"/>
        <v>0</v>
      </c>
      <c r="AF54" s="21">
        <f ca="1"/>
        <v>0</v>
      </c>
      <c r="AG54" s="21">
        <f ca="1"/>
        <v>0</v>
      </c>
      <c r="AH54" s="21">
        <f ca="1"/>
        <v>0</v>
      </c>
      <c r="AI54" s="21">
        <f ca="1"/>
        <v>0</v>
      </c>
      <c r="AJ54" s="21">
        <f ca="1"/>
        <v>0</v>
      </c>
      <c r="AK54" s="21">
        <f ca="1"/>
        <v>0</v>
      </c>
      <c r="AL54" s="21">
        <f ca="1"/>
        <v>0</v>
      </c>
      <c r="AM54" s="21">
        <f ca="1"/>
        <v>0</v>
      </c>
      <c r="AN54" s="21">
        <f ca="1"/>
        <v>0</v>
      </c>
      <c r="AO54" s="21">
        <f ca="1"/>
        <v>0</v>
      </c>
      <c r="AP54" s="21">
        <f ca="1"/>
        <v>0</v>
      </c>
      <c r="AQ54" s="21">
        <f ca="1"/>
        <v>0</v>
      </c>
      <c r="AR54" s="21">
        <f ca="1"/>
        <v>0</v>
      </c>
      <c r="AS54" s="21">
        <f ca="1"/>
        <v>0</v>
      </c>
      <c r="AT54" s="21">
        <f ca="1"/>
        <v>0</v>
      </c>
      <c r="AU54" s="21">
        <f ca="1"/>
        <v>0</v>
      </c>
      <c r="AV54" s="21">
        <f ca="1"/>
        <v>0</v>
      </c>
      <c r="AW54" s="21">
        <f ca="1"/>
        <v>0</v>
      </c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</row>
    <row r="55" spans="2:79" x14ac:dyDescent="0.25">
      <c r="B55" s="19">
        <f ca="1"/>
        <v>0</v>
      </c>
      <c r="C55" s="21" t="str">
        <f ca="1"/>
        <v>54</v>
      </c>
      <c r="D55" s="21" t="str">
        <f ca="1"/>
        <v>SUN06997</v>
      </c>
      <c r="E55" s="21" t="str">
        <f ca="1"/>
        <v>AP-VAMSADHARA TRADERS</v>
      </c>
      <c r="F55" s="21">
        <f ca="1"/>
        <v>0</v>
      </c>
      <c r="G55" s="21">
        <f ca="1"/>
        <v>0</v>
      </c>
      <c r="H55" s="21">
        <f ca="1"/>
        <v>0</v>
      </c>
      <c r="I55" s="21">
        <f ca="1"/>
        <v>0</v>
      </c>
      <c r="J55" s="21">
        <f ca="1"/>
        <v>0</v>
      </c>
      <c r="K55" s="21">
        <f ca="1"/>
        <v>0</v>
      </c>
      <c r="L55" s="21">
        <f ca="1"/>
        <v>0</v>
      </c>
      <c r="M55" s="21">
        <f ca="1"/>
        <v>0</v>
      </c>
      <c r="N55" s="21">
        <f ca="1"/>
        <v>0</v>
      </c>
      <c r="O55" s="21">
        <f ca="1"/>
        <v>0</v>
      </c>
      <c r="P55" s="21">
        <f ca="1"/>
        <v>0</v>
      </c>
      <c r="Q55" s="21">
        <f ca="1"/>
        <v>0</v>
      </c>
      <c r="R55" s="21">
        <f ca="1"/>
        <v>0</v>
      </c>
      <c r="S55" s="21">
        <f ca="1"/>
        <v>0</v>
      </c>
      <c r="T55" s="21">
        <f ca="1"/>
        <v>0</v>
      </c>
      <c r="U55" s="21">
        <f ca="1"/>
        <v>0</v>
      </c>
      <c r="V55" s="21">
        <f ca="1"/>
        <v>0</v>
      </c>
      <c r="W55" s="21">
        <f ca="1"/>
        <v>0</v>
      </c>
      <c r="X55" s="21">
        <f ca="1"/>
        <v>0</v>
      </c>
      <c r="Y55" s="21">
        <f ca="1"/>
        <v>0</v>
      </c>
      <c r="Z55" s="21">
        <f ca="1"/>
        <v>0</v>
      </c>
      <c r="AA55" s="21">
        <f ca="1"/>
        <v>0</v>
      </c>
      <c r="AB55" s="21">
        <f ca="1"/>
        <v>0</v>
      </c>
      <c r="AC55" s="21">
        <f ca="1"/>
        <v>0</v>
      </c>
      <c r="AD55" s="21">
        <f ca="1"/>
        <v>0</v>
      </c>
      <c r="AE55" s="21">
        <f ca="1"/>
        <v>0</v>
      </c>
      <c r="AF55" s="21">
        <f ca="1"/>
        <v>0</v>
      </c>
      <c r="AG55" s="21">
        <f ca="1"/>
        <v>0</v>
      </c>
      <c r="AH55" s="21">
        <f ca="1"/>
        <v>0</v>
      </c>
      <c r="AI55" s="21">
        <f ca="1"/>
        <v>0</v>
      </c>
      <c r="AJ55" s="21">
        <f ca="1"/>
        <v>0</v>
      </c>
      <c r="AK55" s="21">
        <f ca="1"/>
        <v>0</v>
      </c>
      <c r="AL55" s="21">
        <f ca="1"/>
        <v>0</v>
      </c>
      <c r="AM55" s="21">
        <f ca="1"/>
        <v>0</v>
      </c>
      <c r="AN55" s="21">
        <f ca="1"/>
        <v>0</v>
      </c>
      <c r="AO55" s="21">
        <f ca="1"/>
        <v>0</v>
      </c>
      <c r="AP55" s="21">
        <f ca="1"/>
        <v>0</v>
      </c>
      <c r="AQ55" s="21">
        <f ca="1"/>
        <v>0</v>
      </c>
      <c r="AR55" s="21">
        <f ca="1"/>
        <v>0</v>
      </c>
      <c r="AS55" s="21">
        <f ca="1"/>
        <v>0</v>
      </c>
      <c r="AT55" s="21">
        <f ca="1"/>
        <v>0</v>
      </c>
      <c r="AU55" s="21">
        <f ca="1"/>
        <v>0</v>
      </c>
      <c r="AV55" s="21">
        <f ca="1"/>
        <v>0</v>
      </c>
      <c r="AW55" s="21">
        <f ca="1"/>
        <v>0</v>
      </c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</row>
    <row r="56" spans="2:79" x14ac:dyDescent="0.25">
      <c r="B56" s="19">
        <f ca="1"/>
        <v>0</v>
      </c>
      <c r="C56" s="21" t="str">
        <f ca="1"/>
        <v>55</v>
      </c>
      <c r="D56" s="21" t="str">
        <f ca="1"/>
        <v>SUN06214</v>
      </c>
      <c r="E56" s="21" t="str">
        <f ca="1"/>
        <v>CHENNAI -TVM EDIBLE OILS PVT LTD (NEW GST)</v>
      </c>
      <c r="F56" s="21">
        <f ca="1"/>
        <v>0</v>
      </c>
      <c r="G56" s="21">
        <f ca="1"/>
        <v>0</v>
      </c>
      <c r="H56" s="21">
        <f ca="1"/>
        <v>0</v>
      </c>
      <c r="I56" s="21">
        <f ca="1"/>
        <v>0</v>
      </c>
      <c r="J56" s="21">
        <f ca="1"/>
        <v>0</v>
      </c>
      <c r="K56" s="21">
        <f ca="1"/>
        <v>0</v>
      </c>
      <c r="L56" s="21">
        <f ca="1"/>
        <v>0</v>
      </c>
      <c r="M56" s="21">
        <f ca="1"/>
        <v>0</v>
      </c>
      <c r="N56" s="21">
        <f ca="1"/>
        <v>0</v>
      </c>
      <c r="O56" s="21">
        <f ca="1"/>
        <v>0</v>
      </c>
      <c r="P56" s="21">
        <f ca="1"/>
        <v>0</v>
      </c>
      <c r="Q56" s="21">
        <f ca="1"/>
        <v>0</v>
      </c>
      <c r="R56" s="21">
        <f ca="1"/>
        <v>0</v>
      </c>
      <c r="S56" s="21">
        <f ca="1"/>
        <v>0</v>
      </c>
      <c r="T56" s="21">
        <f ca="1"/>
        <v>0</v>
      </c>
      <c r="U56" s="21">
        <f ca="1"/>
        <v>0</v>
      </c>
      <c r="V56" s="21">
        <f ca="1"/>
        <v>0</v>
      </c>
      <c r="W56" s="21">
        <f ca="1"/>
        <v>0</v>
      </c>
      <c r="X56" s="21">
        <f ca="1"/>
        <v>0</v>
      </c>
      <c r="Y56" s="21">
        <f ca="1"/>
        <v>0</v>
      </c>
      <c r="Z56" s="21">
        <f ca="1"/>
        <v>0</v>
      </c>
      <c r="AA56" s="21">
        <f ca="1"/>
        <v>0</v>
      </c>
      <c r="AB56" s="21">
        <f ca="1"/>
        <v>0</v>
      </c>
      <c r="AC56" s="21">
        <f ca="1"/>
        <v>0</v>
      </c>
      <c r="AD56" s="21">
        <f ca="1"/>
        <v>0</v>
      </c>
      <c r="AE56" s="21">
        <f ca="1"/>
        <v>0</v>
      </c>
      <c r="AF56" s="21">
        <f ca="1"/>
        <v>0</v>
      </c>
      <c r="AG56" s="21">
        <f ca="1"/>
        <v>0</v>
      </c>
      <c r="AH56" s="21">
        <f ca="1"/>
        <v>0</v>
      </c>
      <c r="AI56" s="21">
        <f ca="1"/>
        <v>0</v>
      </c>
      <c r="AJ56" s="21">
        <f ca="1"/>
        <v>0</v>
      </c>
      <c r="AK56" s="21">
        <f ca="1"/>
        <v>0</v>
      </c>
      <c r="AL56" s="21">
        <f ca="1"/>
        <v>0</v>
      </c>
      <c r="AM56" s="21">
        <f ca="1"/>
        <v>0</v>
      </c>
      <c r="AN56" s="21">
        <f ca="1"/>
        <v>0</v>
      </c>
      <c r="AO56" s="21">
        <f ca="1"/>
        <v>0</v>
      </c>
      <c r="AP56" s="21">
        <f ca="1"/>
        <v>0</v>
      </c>
      <c r="AQ56" s="21">
        <f ca="1"/>
        <v>0</v>
      </c>
      <c r="AR56" s="21">
        <f ca="1"/>
        <v>0</v>
      </c>
      <c r="AS56" s="21">
        <f ca="1"/>
        <v>0</v>
      </c>
      <c r="AT56" s="21">
        <f ca="1"/>
        <v>0</v>
      </c>
      <c r="AU56" s="21">
        <f ca="1"/>
        <v>0</v>
      </c>
      <c r="AV56" s="21">
        <f ca="1"/>
        <v>0</v>
      </c>
      <c r="AW56" s="21">
        <f ca="1"/>
        <v>0</v>
      </c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</row>
    <row r="57" spans="2:79" x14ac:dyDescent="0.25">
      <c r="B57" s="19">
        <f ca="1"/>
        <v>0</v>
      </c>
      <c r="C57" s="21" t="str">
        <f ca="1"/>
        <v>56</v>
      </c>
      <c r="D57" s="21" t="str">
        <f ca="1"/>
        <v>SUN04144</v>
      </c>
      <c r="E57" s="21" t="str">
        <f ca="1"/>
        <v>NELLORE-SANTHOSHIMATHAA OILS &amp; FATS</v>
      </c>
      <c r="F57" s="21">
        <f ca="1"/>
        <v>0</v>
      </c>
      <c r="G57" s="21">
        <f ca="1"/>
        <v>0</v>
      </c>
      <c r="H57" s="21">
        <f ca="1"/>
        <v>0</v>
      </c>
      <c r="I57" s="21">
        <f ca="1"/>
        <v>0</v>
      </c>
      <c r="J57" s="21">
        <f ca="1"/>
        <v>0</v>
      </c>
      <c r="K57" s="21">
        <f ca="1"/>
        <v>0</v>
      </c>
      <c r="L57" s="21">
        <f ca="1"/>
        <v>0</v>
      </c>
      <c r="M57" s="21">
        <f ca="1"/>
        <v>0</v>
      </c>
      <c r="N57" s="21">
        <f ca="1"/>
        <v>0</v>
      </c>
      <c r="O57" s="21">
        <f ca="1"/>
        <v>0</v>
      </c>
      <c r="P57" s="21">
        <f ca="1"/>
        <v>0</v>
      </c>
      <c r="Q57" s="21">
        <f ca="1"/>
        <v>0</v>
      </c>
      <c r="R57" s="21">
        <f ca="1"/>
        <v>0</v>
      </c>
      <c r="S57" s="21">
        <f ca="1"/>
        <v>0</v>
      </c>
      <c r="T57" s="21">
        <f ca="1"/>
        <v>0</v>
      </c>
      <c r="U57" s="21">
        <f ca="1"/>
        <v>0</v>
      </c>
      <c r="V57" s="21">
        <f ca="1"/>
        <v>0</v>
      </c>
      <c r="W57" s="21">
        <f ca="1"/>
        <v>0</v>
      </c>
      <c r="X57" s="21">
        <f ca="1"/>
        <v>0</v>
      </c>
      <c r="Y57" s="21">
        <f ca="1"/>
        <v>0</v>
      </c>
      <c r="Z57" s="21">
        <f ca="1"/>
        <v>0</v>
      </c>
      <c r="AA57" s="21">
        <f ca="1"/>
        <v>0</v>
      </c>
      <c r="AB57" s="21">
        <f ca="1"/>
        <v>0</v>
      </c>
      <c r="AC57" s="21">
        <f ca="1"/>
        <v>0</v>
      </c>
      <c r="AD57" s="21">
        <f ca="1"/>
        <v>0</v>
      </c>
      <c r="AE57" s="21">
        <f ca="1"/>
        <v>0</v>
      </c>
      <c r="AF57" s="21">
        <f ca="1"/>
        <v>0</v>
      </c>
      <c r="AG57" s="21">
        <f ca="1"/>
        <v>0</v>
      </c>
      <c r="AH57" s="21">
        <f ca="1"/>
        <v>0</v>
      </c>
      <c r="AI57" s="21">
        <f ca="1"/>
        <v>0</v>
      </c>
      <c r="AJ57" s="21">
        <f ca="1"/>
        <v>0</v>
      </c>
      <c r="AK57" s="21">
        <f ca="1"/>
        <v>0</v>
      </c>
      <c r="AL57" s="21">
        <f ca="1"/>
        <v>0</v>
      </c>
      <c r="AM57" s="21">
        <f ca="1"/>
        <v>0</v>
      </c>
      <c r="AN57" s="21">
        <f ca="1"/>
        <v>0</v>
      </c>
      <c r="AO57" s="21">
        <f ca="1"/>
        <v>0</v>
      </c>
      <c r="AP57" s="21">
        <f ca="1"/>
        <v>0</v>
      </c>
      <c r="AQ57" s="21">
        <f ca="1"/>
        <v>0</v>
      </c>
      <c r="AR57" s="21">
        <f ca="1"/>
        <v>0</v>
      </c>
      <c r="AS57" s="21">
        <f ca="1"/>
        <v>0</v>
      </c>
      <c r="AT57" s="21">
        <f ca="1"/>
        <v>0</v>
      </c>
      <c r="AU57" s="21">
        <f ca="1"/>
        <v>0</v>
      </c>
      <c r="AV57" s="21">
        <f ca="1"/>
        <v>0</v>
      </c>
      <c r="AW57" s="21">
        <f ca="1"/>
        <v>0</v>
      </c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</row>
    <row r="58" spans="2:79" x14ac:dyDescent="0.25">
      <c r="B58" s="19">
        <f ca="1"/>
        <v>0</v>
      </c>
      <c r="C58" s="21" t="str">
        <f ca="1"/>
        <v>57</v>
      </c>
      <c r="D58" s="21" t="str">
        <f ca="1"/>
        <v>SUN06747</v>
      </c>
      <c r="E58" s="21" t="str">
        <f ca="1"/>
        <v>ERODE-AATHAVA AGENCE</v>
      </c>
      <c r="F58" s="21">
        <f ca="1"/>
        <v>5.8479999999999999</v>
      </c>
      <c r="G58" s="21">
        <f ca="1"/>
        <v>0</v>
      </c>
      <c r="H58" s="21">
        <f ca="1"/>
        <v>0</v>
      </c>
      <c r="I58" s="21">
        <f ca="1"/>
        <v>0</v>
      </c>
      <c r="J58" s="21">
        <f ca="1"/>
        <v>0</v>
      </c>
      <c r="K58" s="21">
        <f ca="1"/>
        <v>0</v>
      </c>
      <c r="L58" s="21">
        <f ca="1"/>
        <v>0</v>
      </c>
      <c r="M58" s="21">
        <f ca="1"/>
        <v>0</v>
      </c>
      <c r="N58" s="21">
        <f ca="1"/>
        <v>0</v>
      </c>
      <c r="O58" s="21">
        <f ca="1"/>
        <v>0</v>
      </c>
      <c r="P58" s="21">
        <f ca="1"/>
        <v>0</v>
      </c>
      <c r="Q58" s="21">
        <f ca="1"/>
        <v>0</v>
      </c>
      <c r="R58" s="21">
        <f ca="1"/>
        <v>0</v>
      </c>
      <c r="S58" s="21">
        <f ca="1"/>
        <v>0</v>
      </c>
      <c r="T58" s="21">
        <f ca="1"/>
        <v>0</v>
      </c>
      <c r="U58" s="21">
        <f ca="1"/>
        <v>0</v>
      </c>
      <c r="V58" s="21">
        <f ca="1"/>
        <v>0</v>
      </c>
      <c r="W58" s="21">
        <f ca="1"/>
        <v>0</v>
      </c>
      <c r="X58" s="21">
        <f ca="1"/>
        <v>0</v>
      </c>
      <c r="Y58" s="21">
        <f ca="1"/>
        <v>0</v>
      </c>
      <c r="Z58" s="21">
        <f ca="1"/>
        <v>0</v>
      </c>
      <c r="AA58" s="21">
        <f ca="1"/>
        <v>0</v>
      </c>
      <c r="AB58" s="21">
        <f ca="1"/>
        <v>0</v>
      </c>
      <c r="AC58" s="21">
        <f ca="1"/>
        <v>0</v>
      </c>
      <c r="AD58" s="21">
        <f ca="1"/>
        <v>0</v>
      </c>
      <c r="AE58" s="21">
        <f ca="1"/>
        <v>0</v>
      </c>
      <c r="AF58" s="21">
        <f ca="1"/>
        <v>0</v>
      </c>
      <c r="AG58" s="21">
        <f ca="1"/>
        <v>0</v>
      </c>
      <c r="AH58" s="21">
        <f ca="1"/>
        <v>0</v>
      </c>
      <c r="AI58" s="21">
        <f ca="1"/>
        <v>0</v>
      </c>
      <c r="AJ58" s="21">
        <f ca="1"/>
        <v>0</v>
      </c>
      <c r="AK58" s="21">
        <f ca="1"/>
        <v>0</v>
      </c>
      <c r="AL58" s="21">
        <f ca="1"/>
        <v>0</v>
      </c>
      <c r="AM58" s="21">
        <f ca="1"/>
        <v>0</v>
      </c>
      <c r="AN58" s="21">
        <f ca="1"/>
        <v>37</v>
      </c>
      <c r="AO58" s="21">
        <f ca="1"/>
        <v>0</v>
      </c>
      <c r="AP58" s="21">
        <f ca="1"/>
        <v>2</v>
      </c>
      <c r="AQ58" s="21">
        <f ca="1"/>
        <v>0</v>
      </c>
      <c r="AR58" s="21">
        <f ca="1"/>
        <v>0</v>
      </c>
      <c r="AS58" s="21">
        <f ca="1"/>
        <v>0</v>
      </c>
      <c r="AT58" s="21">
        <f ca="1"/>
        <v>0</v>
      </c>
      <c r="AU58" s="21">
        <f ca="1"/>
        <v>0</v>
      </c>
      <c r="AV58" s="21">
        <f ca="1"/>
        <v>0</v>
      </c>
      <c r="AW58" s="21">
        <f ca="1"/>
        <v>0</v>
      </c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</row>
    <row r="59" spans="2:79" x14ac:dyDescent="0.25">
      <c r="B59" s="19">
        <f ca="1"/>
        <v>0</v>
      </c>
      <c r="C59" s="21" t="str">
        <f ca="1"/>
        <v>58</v>
      </c>
      <c r="D59" s="21" t="str">
        <f ca="1"/>
        <v>SUN04510</v>
      </c>
      <c r="E59" s="21" t="str">
        <f ca="1"/>
        <v>TCY R.VASU OIL TRADERS  (EDA STREET)</v>
      </c>
      <c r="F59" s="21">
        <f ca="1"/>
        <v>11.492000000000001</v>
      </c>
      <c r="G59" s="21">
        <f ca="1"/>
        <v>0</v>
      </c>
      <c r="H59" s="21">
        <f ca="1"/>
        <v>0</v>
      </c>
      <c r="I59" s="21">
        <f ca="1"/>
        <v>0</v>
      </c>
      <c r="J59" s="21">
        <f ca="1"/>
        <v>0</v>
      </c>
      <c r="K59" s="21">
        <f ca="1"/>
        <v>0</v>
      </c>
      <c r="L59" s="21">
        <f ca="1"/>
        <v>0</v>
      </c>
      <c r="M59" s="21">
        <f ca="1"/>
        <v>0</v>
      </c>
      <c r="N59" s="21">
        <f ca="1"/>
        <v>0</v>
      </c>
      <c r="O59" s="21">
        <f ca="1"/>
        <v>0</v>
      </c>
      <c r="P59" s="21">
        <f ca="1"/>
        <v>0</v>
      </c>
      <c r="Q59" s="21">
        <f ca="1"/>
        <v>0</v>
      </c>
      <c r="R59" s="21">
        <f ca="1"/>
        <v>0</v>
      </c>
      <c r="S59" s="21">
        <f ca="1"/>
        <v>0</v>
      </c>
      <c r="T59" s="21">
        <f ca="1"/>
        <v>0</v>
      </c>
      <c r="U59" s="21">
        <f ca="1"/>
        <v>0</v>
      </c>
      <c r="V59" s="21">
        <f ca="1"/>
        <v>0</v>
      </c>
      <c r="W59" s="21">
        <f ca="1"/>
        <v>0</v>
      </c>
      <c r="X59" s="21">
        <f ca="1"/>
        <v>0</v>
      </c>
      <c r="Y59" s="21">
        <f ca="1"/>
        <v>0</v>
      </c>
      <c r="Z59" s="21">
        <f ca="1"/>
        <v>0</v>
      </c>
      <c r="AA59" s="21">
        <f ca="1"/>
        <v>0</v>
      </c>
      <c r="AB59" s="21">
        <f ca="1"/>
        <v>0</v>
      </c>
      <c r="AC59" s="21">
        <f ca="1"/>
        <v>0</v>
      </c>
      <c r="AD59" s="21">
        <f ca="1"/>
        <v>0</v>
      </c>
      <c r="AE59" s="21">
        <f ca="1"/>
        <v>0</v>
      </c>
      <c r="AF59" s="21">
        <f ca="1"/>
        <v>0</v>
      </c>
      <c r="AG59" s="21">
        <f ca="1"/>
        <v>0</v>
      </c>
      <c r="AH59" s="21">
        <f ca="1"/>
        <v>0</v>
      </c>
      <c r="AI59" s="21">
        <f ca="1"/>
        <v>0</v>
      </c>
      <c r="AJ59" s="21">
        <f ca="1"/>
        <v>0</v>
      </c>
      <c r="AK59" s="21">
        <f ca="1"/>
        <v>0</v>
      </c>
      <c r="AL59" s="21">
        <f ca="1"/>
        <v>0</v>
      </c>
      <c r="AM59" s="21">
        <f ca="1"/>
        <v>0</v>
      </c>
      <c r="AN59" s="21">
        <f ca="1"/>
        <v>0</v>
      </c>
      <c r="AO59" s="21">
        <f ca="1"/>
        <v>0</v>
      </c>
      <c r="AP59" s="21">
        <f ca="1"/>
        <v>0</v>
      </c>
      <c r="AQ59" s="21">
        <f ca="1"/>
        <v>0</v>
      </c>
      <c r="AR59" s="21">
        <f ca="1"/>
        <v>0</v>
      </c>
      <c r="AS59" s="21">
        <f ca="1"/>
        <v>0</v>
      </c>
      <c r="AT59" s="21">
        <f ca="1"/>
        <v>0</v>
      </c>
      <c r="AU59" s="21">
        <f ca="1"/>
        <v>0</v>
      </c>
      <c r="AV59" s="21">
        <f ca="1"/>
        <v>0</v>
      </c>
      <c r="AW59" s="21">
        <f ca="1"/>
        <v>0</v>
      </c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</row>
    <row r="60" spans="2:79" x14ac:dyDescent="0.25">
      <c r="B60" s="19">
        <f ca="1"/>
        <v>0</v>
      </c>
      <c r="C60" s="21" t="str">
        <f ca="1"/>
        <v>59</v>
      </c>
      <c r="D60" s="21" t="str">
        <f ca="1"/>
        <v>SUN07618</v>
      </c>
      <c r="E60" s="21" t="str">
        <f ca="1"/>
        <v>MUTHUR-SENTHUR VELAN TRADERS</v>
      </c>
      <c r="F60" s="21">
        <f ca="1"/>
        <v>0</v>
      </c>
      <c r="G60" s="21">
        <f ca="1"/>
        <v>0</v>
      </c>
      <c r="H60" s="21">
        <f ca="1"/>
        <v>0</v>
      </c>
      <c r="I60" s="21">
        <f ca="1"/>
        <v>0</v>
      </c>
      <c r="J60" s="21">
        <f ca="1"/>
        <v>0</v>
      </c>
      <c r="K60" s="21">
        <f ca="1"/>
        <v>0</v>
      </c>
      <c r="L60" s="21">
        <f ca="1"/>
        <v>0</v>
      </c>
      <c r="M60" s="21">
        <f ca="1"/>
        <v>0</v>
      </c>
      <c r="N60" s="21">
        <f ca="1"/>
        <v>0</v>
      </c>
      <c r="O60" s="21">
        <f ca="1"/>
        <v>0</v>
      </c>
      <c r="P60" s="21">
        <f ca="1"/>
        <v>0</v>
      </c>
      <c r="Q60" s="21">
        <f ca="1"/>
        <v>0</v>
      </c>
      <c r="R60" s="21">
        <f ca="1"/>
        <v>0</v>
      </c>
      <c r="S60" s="21">
        <f ca="1"/>
        <v>0</v>
      </c>
      <c r="T60" s="21">
        <f ca="1"/>
        <v>0</v>
      </c>
      <c r="U60" s="21">
        <f ca="1"/>
        <v>0</v>
      </c>
      <c r="V60" s="21">
        <f ca="1"/>
        <v>0</v>
      </c>
      <c r="W60" s="21">
        <f ca="1"/>
        <v>0</v>
      </c>
      <c r="X60" s="21">
        <f ca="1"/>
        <v>0</v>
      </c>
      <c r="Y60" s="21">
        <f ca="1"/>
        <v>0</v>
      </c>
      <c r="Z60" s="21">
        <f ca="1"/>
        <v>0</v>
      </c>
      <c r="AA60" s="21">
        <f ca="1"/>
        <v>0</v>
      </c>
      <c r="AB60" s="21">
        <f ca="1"/>
        <v>0</v>
      </c>
      <c r="AC60" s="21">
        <f ca="1"/>
        <v>0</v>
      </c>
      <c r="AD60" s="21">
        <f ca="1"/>
        <v>0</v>
      </c>
      <c r="AE60" s="21">
        <f ca="1"/>
        <v>0</v>
      </c>
      <c r="AF60" s="21">
        <f ca="1"/>
        <v>0</v>
      </c>
      <c r="AG60" s="21">
        <f ca="1"/>
        <v>0</v>
      </c>
      <c r="AH60" s="21">
        <f ca="1"/>
        <v>0</v>
      </c>
      <c r="AI60" s="21">
        <f ca="1"/>
        <v>0</v>
      </c>
      <c r="AJ60" s="21">
        <f ca="1"/>
        <v>0</v>
      </c>
      <c r="AK60" s="21">
        <f ca="1"/>
        <v>0</v>
      </c>
      <c r="AL60" s="21">
        <f ca="1"/>
        <v>0</v>
      </c>
      <c r="AM60" s="21">
        <f ca="1"/>
        <v>0</v>
      </c>
      <c r="AN60" s="21">
        <f ca="1"/>
        <v>0</v>
      </c>
      <c r="AO60" s="21">
        <f ca="1"/>
        <v>0</v>
      </c>
      <c r="AP60" s="21">
        <f ca="1"/>
        <v>0</v>
      </c>
      <c r="AQ60" s="21">
        <f ca="1"/>
        <v>0</v>
      </c>
      <c r="AR60" s="21">
        <f ca="1"/>
        <v>0</v>
      </c>
      <c r="AS60" s="21">
        <f ca="1"/>
        <v>0</v>
      </c>
      <c r="AT60" s="21">
        <f ca="1"/>
        <v>0</v>
      </c>
      <c r="AU60" s="21">
        <f ca="1"/>
        <v>0</v>
      </c>
      <c r="AV60" s="21">
        <f ca="1"/>
        <v>0</v>
      </c>
      <c r="AW60" s="21">
        <f ca="1"/>
        <v>0</v>
      </c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</row>
    <row r="61" spans="2:79" x14ac:dyDescent="0.25">
      <c r="B61" s="19">
        <f ca="1"/>
        <v>0</v>
      </c>
      <c r="C61" s="21" t="str">
        <f ca="1"/>
        <v>60</v>
      </c>
      <c r="D61" s="21" t="str">
        <f ca="1"/>
        <v>SUN06304</v>
      </c>
      <c r="E61" s="21" t="str">
        <f ca="1"/>
        <v>MUTHUR-SRI MAAN MALIGAI</v>
      </c>
      <c r="F61" s="21">
        <f ca="1"/>
        <v>0</v>
      </c>
      <c r="G61" s="21">
        <f ca="1"/>
        <v>0</v>
      </c>
      <c r="H61" s="21">
        <f ca="1"/>
        <v>0</v>
      </c>
      <c r="I61" s="21">
        <f ca="1"/>
        <v>0</v>
      </c>
      <c r="J61" s="21">
        <f ca="1"/>
        <v>0</v>
      </c>
      <c r="K61" s="21">
        <f ca="1"/>
        <v>0</v>
      </c>
      <c r="L61" s="21">
        <f ca="1"/>
        <v>0</v>
      </c>
      <c r="M61" s="21">
        <f ca="1"/>
        <v>0</v>
      </c>
      <c r="N61" s="21">
        <f ca="1"/>
        <v>0</v>
      </c>
      <c r="O61" s="21">
        <f ca="1"/>
        <v>0</v>
      </c>
      <c r="P61" s="21">
        <f ca="1"/>
        <v>0</v>
      </c>
      <c r="Q61" s="21">
        <f ca="1"/>
        <v>0</v>
      </c>
      <c r="R61" s="21">
        <f ca="1"/>
        <v>0</v>
      </c>
      <c r="S61" s="21">
        <f ca="1"/>
        <v>0</v>
      </c>
      <c r="T61" s="21">
        <f ca="1"/>
        <v>0</v>
      </c>
      <c r="U61" s="21">
        <f ca="1"/>
        <v>0</v>
      </c>
      <c r="V61" s="21">
        <f ca="1"/>
        <v>0</v>
      </c>
      <c r="W61" s="21">
        <f ca="1"/>
        <v>0</v>
      </c>
      <c r="X61" s="21">
        <f ca="1"/>
        <v>0</v>
      </c>
      <c r="Y61" s="21">
        <f ca="1"/>
        <v>0</v>
      </c>
      <c r="Z61" s="21">
        <f ca="1"/>
        <v>0</v>
      </c>
      <c r="AA61" s="21">
        <f ca="1"/>
        <v>0</v>
      </c>
      <c r="AB61" s="21">
        <f ca="1"/>
        <v>0</v>
      </c>
      <c r="AC61" s="21">
        <f ca="1"/>
        <v>0</v>
      </c>
      <c r="AD61" s="21">
        <f ca="1"/>
        <v>0</v>
      </c>
      <c r="AE61" s="21">
        <f ca="1"/>
        <v>0</v>
      </c>
      <c r="AF61" s="21">
        <f ca="1"/>
        <v>0</v>
      </c>
      <c r="AG61" s="21">
        <f ca="1"/>
        <v>0</v>
      </c>
      <c r="AH61" s="21">
        <f ca="1"/>
        <v>0</v>
      </c>
      <c r="AI61" s="21">
        <f ca="1"/>
        <v>0</v>
      </c>
      <c r="AJ61" s="21">
        <f ca="1"/>
        <v>0</v>
      </c>
      <c r="AK61" s="21">
        <f ca="1"/>
        <v>0</v>
      </c>
      <c r="AL61" s="21">
        <f ca="1"/>
        <v>0</v>
      </c>
      <c r="AM61" s="21">
        <f ca="1"/>
        <v>0</v>
      </c>
      <c r="AN61" s="21">
        <f ca="1"/>
        <v>0</v>
      </c>
      <c r="AO61" s="21">
        <f ca="1"/>
        <v>0</v>
      </c>
      <c r="AP61" s="21">
        <f ca="1"/>
        <v>0</v>
      </c>
      <c r="AQ61" s="21">
        <f ca="1"/>
        <v>0</v>
      </c>
      <c r="AR61" s="21">
        <f ca="1"/>
        <v>0</v>
      </c>
      <c r="AS61" s="21">
        <f ca="1"/>
        <v>0</v>
      </c>
      <c r="AT61" s="21">
        <f ca="1"/>
        <v>0</v>
      </c>
      <c r="AU61" s="21">
        <f ca="1"/>
        <v>0</v>
      </c>
      <c r="AV61" s="21">
        <f ca="1"/>
        <v>0</v>
      </c>
      <c r="AW61" s="21">
        <f ca="1"/>
        <v>0</v>
      </c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</row>
    <row r="62" spans="2:79" x14ac:dyDescent="0.25">
      <c r="B62" s="19">
        <f ca="1"/>
        <v>0</v>
      </c>
      <c r="C62" s="21" t="str">
        <f ca="1"/>
        <v>61</v>
      </c>
      <c r="D62" s="21" t="str">
        <f ca="1"/>
        <v>SUN03289</v>
      </c>
      <c r="E62" s="21" t="str">
        <f ca="1"/>
        <v>VELLAKOVIL MITHUN TRADERS</v>
      </c>
      <c r="F62" s="21">
        <f ca="1"/>
        <v>4.1859999999999999</v>
      </c>
      <c r="G62" s="21">
        <f ca="1"/>
        <v>0</v>
      </c>
      <c r="H62" s="21">
        <f ca="1"/>
        <v>0</v>
      </c>
      <c r="I62" s="21">
        <f ca="1"/>
        <v>0</v>
      </c>
      <c r="J62" s="21">
        <f ca="1"/>
        <v>0</v>
      </c>
      <c r="K62" s="21">
        <f ca="1"/>
        <v>0</v>
      </c>
      <c r="L62" s="21">
        <f ca="1"/>
        <v>0</v>
      </c>
      <c r="M62" s="21">
        <f ca="1"/>
        <v>0</v>
      </c>
      <c r="N62" s="21">
        <f ca="1"/>
        <v>0</v>
      </c>
      <c r="O62" s="21">
        <f ca="1"/>
        <v>0</v>
      </c>
      <c r="P62" s="21">
        <f ca="1"/>
        <v>0</v>
      </c>
      <c r="Q62" s="21">
        <f ca="1"/>
        <v>0</v>
      </c>
      <c r="R62" s="21">
        <f ca="1"/>
        <v>0</v>
      </c>
      <c r="S62" s="21">
        <f ca="1"/>
        <v>0</v>
      </c>
      <c r="T62" s="21">
        <f ca="1"/>
        <v>0</v>
      </c>
      <c r="U62" s="21">
        <f ca="1"/>
        <v>0</v>
      </c>
      <c r="V62" s="21">
        <f ca="1"/>
        <v>0</v>
      </c>
      <c r="W62" s="21">
        <f ca="1"/>
        <v>0</v>
      </c>
      <c r="X62" s="21">
        <f ca="1"/>
        <v>0</v>
      </c>
      <c r="Y62" s="21">
        <f ca="1"/>
        <v>0</v>
      </c>
      <c r="Z62" s="21">
        <f ca="1"/>
        <v>0</v>
      </c>
      <c r="AA62" s="21">
        <f ca="1"/>
        <v>0</v>
      </c>
      <c r="AB62" s="21">
        <f ca="1"/>
        <v>0</v>
      </c>
      <c r="AC62" s="21">
        <f ca="1"/>
        <v>0</v>
      </c>
      <c r="AD62" s="21">
        <f ca="1"/>
        <v>0</v>
      </c>
      <c r="AE62" s="21">
        <f ca="1"/>
        <v>0</v>
      </c>
      <c r="AF62" s="21">
        <f ca="1"/>
        <v>0</v>
      </c>
      <c r="AG62" s="21">
        <f ca="1"/>
        <v>0</v>
      </c>
      <c r="AH62" s="21">
        <f ca="1"/>
        <v>0</v>
      </c>
      <c r="AI62" s="21">
        <f ca="1"/>
        <v>0</v>
      </c>
      <c r="AJ62" s="21">
        <f ca="1"/>
        <v>0</v>
      </c>
      <c r="AK62" s="21">
        <f ca="1"/>
        <v>0</v>
      </c>
      <c r="AL62" s="21">
        <f ca="1"/>
        <v>0</v>
      </c>
      <c r="AM62" s="21">
        <f ca="1"/>
        <v>0</v>
      </c>
      <c r="AN62" s="21">
        <f ca="1"/>
        <v>0</v>
      </c>
      <c r="AO62" s="21">
        <f ca="1"/>
        <v>0</v>
      </c>
      <c r="AP62" s="21">
        <f ca="1"/>
        <v>0</v>
      </c>
      <c r="AQ62" s="21">
        <f ca="1"/>
        <v>0</v>
      </c>
      <c r="AR62" s="21">
        <f ca="1"/>
        <v>0</v>
      </c>
      <c r="AS62" s="21">
        <f ca="1"/>
        <v>0</v>
      </c>
      <c r="AT62" s="21">
        <f ca="1"/>
        <v>0</v>
      </c>
      <c r="AU62" s="21">
        <f ca="1"/>
        <v>0</v>
      </c>
      <c r="AV62" s="21">
        <f ca="1"/>
        <v>0</v>
      </c>
      <c r="AW62" s="21">
        <f ca="1"/>
        <v>0</v>
      </c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</row>
    <row r="63" spans="2:79" x14ac:dyDescent="0.25">
      <c r="B63" s="19">
        <f ca="1"/>
        <v>0</v>
      </c>
      <c r="C63" s="21" t="str">
        <f ca="1"/>
        <v>62</v>
      </c>
      <c r="D63" s="21" t="str">
        <f ca="1"/>
        <v>SUN04704</v>
      </c>
      <c r="E63" s="21" t="str">
        <f ca="1"/>
        <v>KANGAYAM SRI MURUGAN TRADERS</v>
      </c>
      <c r="F63" s="21">
        <f ca="1"/>
        <v>1.4470000000000001</v>
      </c>
      <c r="G63" s="21">
        <f ca="1"/>
        <v>0</v>
      </c>
      <c r="H63" s="21">
        <f ca="1"/>
        <v>0</v>
      </c>
      <c r="I63" s="21">
        <f ca="1"/>
        <v>0</v>
      </c>
      <c r="J63" s="21">
        <f ca="1"/>
        <v>0</v>
      </c>
      <c r="K63" s="21">
        <f ca="1"/>
        <v>0</v>
      </c>
      <c r="L63" s="21">
        <f ca="1"/>
        <v>0</v>
      </c>
      <c r="M63" s="21">
        <f ca="1"/>
        <v>0</v>
      </c>
      <c r="N63" s="21">
        <f ca="1"/>
        <v>0</v>
      </c>
      <c r="O63" s="21">
        <f ca="1"/>
        <v>0</v>
      </c>
      <c r="P63" s="21">
        <f ca="1"/>
        <v>0</v>
      </c>
      <c r="Q63" s="21">
        <f ca="1"/>
        <v>0</v>
      </c>
      <c r="R63" s="21">
        <f ca="1"/>
        <v>0</v>
      </c>
      <c r="S63" s="21">
        <f ca="1"/>
        <v>0</v>
      </c>
      <c r="T63" s="21">
        <f ca="1"/>
        <v>0</v>
      </c>
      <c r="U63" s="21">
        <f ca="1"/>
        <v>0</v>
      </c>
      <c r="V63" s="21">
        <f ca="1"/>
        <v>0</v>
      </c>
      <c r="W63" s="21">
        <f ca="1"/>
        <v>0</v>
      </c>
      <c r="X63" s="21">
        <f ca="1"/>
        <v>0</v>
      </c>
      <c r="Y63" s="21">
        <f ca="1"/>
        <v>0</v>
      </c>
      <c r="Z63" s="21">
        <f ca="1"/>
        <v>0</v>
      </c>
      <c r="AA63" s="21">
        <f ca="1"/>
        <v>0</v>
      </c>
      <c r="AB63" s="21">
        <f ca="1"/>
        <v>0</v>
      </c>
      <c r="AC63" s="21">
        <f ca="1"/>
        <v>0</v>
      </c>
      <c r="AD63" s="21">
        <f ca="1"/>
        <v>0</v>
      </c>
      <c r="AE63" s="21">
        <f ca="1"/>
        <v>0</v>
      </c>
      <c r="AF63" s="21">
        <f ca="1"/>
        <v>0</v>
      </c>
      <c r="AG63" s="21">
        <f ca="1"/>
        <v>0</v>
      </c>
      <c r="AH63" s="21">
        <f ca="1"/>
        <v>0</v>
      </c>
      <c r="AI63" s="21">
        <f ca="1"/>
        <v>0</v>
      </c>
      <c r="AJ63" s="21">
        <f ca="1"/>
        <v>0</v>
      </c>
      <c r="AK63" s="21">
        <f ca="1"/>
        <v>0</v>
      </c>
      <c r="AL63" s="21">
        <f ca="1"/>
        <v>0</v>
      </c>
      <c r="AM63" s="21">
        <f ca="1"/>
        <v>0</v>
      </c>
      <c r="AN63" s="21">
        <f ca="1"/>
        <v>35</v>
      </c>
      <c r="AO63" s="21">
        <f ca="1"/>
        <v>0</v>
      </c>
      <c r="AP63" s="21">
        <f ca="1"/>
        <v>1</v>
      </c>
      <c r="AQ63" s="21">
        <f ca="1"/>
        <v>0</v>
      </c>
      <c r="AR63" s="21">
        <f ca="1"/>
        <v>0</v>
      </c>
      <c r="AS63" s="21">
        <f ca="1"/>
        <v>0</v>
      </c>
      <c r="AT63" s="21">
        <f ca="1"/>
        <v>0</v>
      </c>
      <c r="AU63" s="21">
        <f ca="1"/>
        <v>0</v>
      </c>
      <c r="AV63" s="21">
        <f ca="1"/>
        <v>0</v>
      </c>
      <c r="AW63" s="21">
        <f ca="1"/>
        <v>0</v>
      </c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</row>
    <row r="64" spans="2:79" x14ac:dyDescent="0.25">
      <c r="B64" s="19">
        <f ca="1"/>
        <v>0</v>
      </c>
      <c r="C64" s="21" t="str">
        <f ca="1"/>
        <v>63</v>
      </c>
      <c r="D64" s="21" t="str">
        <f ca="1"/>
        <v>SUN05723</v>
      </c>
      <c r="E64" s="21" t="str">
        <f ca="1"/>
        <v>PALACODE-S. KANAGARAJ (MALIGAI)</v>
      </c>
      <c r="F64" s="21">
        <f ca="1"/>
        <v>0</v>
      </c>
      <c r="G64" s="21">
        <f ca="1"/>
        <v>0</v>
      </c>
      <c r="H64" s="21">
        <f ca="1"/>
        <v>0</v>
      </c>
      <c r="I64" s="21">
        <f ca="1"/>
        <v>0</v>
      </c>
      <c r="J64" s="21">
        <f ca="1"/>
        <v>0</v>
      </c>
      <c r="K64" s="21">
        <f ca="1"/>
        <v>0</v>
      </c>
      <c r="L64" s="21">
        <f ca="1"/>
        <v>0</v>
      </c>
      <c r="M64" s="21">
        <f ca="1"/>
        <v>0</v>
      </c>
      <c r="N64" s="21">
        <f ca="1"/>
        <v>0</v>
      </c>
      <c r="O64" s="21">
        <f ca="1"/>
        <v>0</v>
      </c>
      <c r="P64" s="21">
        <f ca="1"/>
        <v>0</v>
      </c>
      <c r="Q64" s="21">
        <f ca="1"/>
        <v>0</v>
      </c>
      <c r="R64" s="21">
        <f ca="1"/>
        <v>0</v>
      </c>
      <c r="S64" s="21">
        <f ca="1"/>
        <v>0</v>
      </c>
      <c r="T64" s="21">
        <f ca="1"/>
        <v>0</v>
      </c>
      <c r="U64" s="21">
        <f ca="1"/>
        <v>0</v>
      </c>
      <c r="V64" s="21">
        <f ca="1"/>
        <v>0</v>
      </c>
      <c r="W64" s="21">
        <f ca="1"/>
        <v>0</v>
      </c>
      <c r="X64" s="21">
        <f ca="1"/>
        <v>0</v>
      </c>
      <c r="Y64" s="21">
        <f ca="1"/>
        <v>0</v>
      </c>
      <c r="Z64" s="21">
        <f ca="1"/>
        <v>0</v>
      </c>
      <c r="AA64" s="21">
        <f ca="1"/>
        <v>0</v>
      </c>
      <c r="AB64" s="21">
        <f ca="1"/>
        <v>0</v>
      </c>
      <c r="AC64" s="21">
        <f ca="1"/>
        <v>0</v>
      </c>
      <c r="AD64" s="21">
        <f ca="1"/>
        <v>0</v>
      </c>
      <c r="AE64" s="21">
        <f ca="1"/>
        <v>0</v>
      </c>
      <c r="AF64" s="21">
        <f ca="1"/>
        <v>0</v>
      </c>
      <c r="AG64" s="21">
        <f ca="1"/>
        <v>0</v>
      </c>
      <c r="AH64" s="21">
        <f ca="1"/>
        <v>0</v>
      </c>
      <c r="AI64" s="21">
        <f ca="1"/>
        <v>0</v>
      </c>
      <c r="AJ64" s="21">
        <f ca="1"/>
        <v>0</v>
      </c>
      <c r="AK64" s="21">
        <f ca="1"/>
        <v>0</v>
      </c>
      <c r="AL64" s="21">
        <f ca="1"/>
        <v>0</v>
      </c>
      <c r="AM64" s="21">
        <f ca="1"/>
        <v>0</v>
      </c>
      <c r="AN64" s="21">
        <f ca="1"/>
        <v>0</v>
      </c>
      <c r="AO64" s="21">
        <f ca="1"/>
        <v>0</v>
      </c>
      <c r="AP64" s="21">
        <f ca="1"/>
        <v>0</v>
      </c>
      <c r="AQ64" s="21">
        <f ca="1"/>
        <v>0</v>
      </c>
      <c r="AR64" s="21">
        <f ca="1"/>
        <v>0</v>
      </c>
      <c r="AS64" s="21">
        <f ca="1"/>
        <v>0</v>
      </c>
      <c r="AT64" s="21">
        <f ca="1"/>
        <v>0</v>
      </c>
      <c r="AU64" s="21">
        <f ca="1"/>
        <v>0</v>
      </c>
      <c r="AV64" s="21">
        <f ca="1"/>
        <v>0</v>
      </c>
      <c r="AW64" s="21">
        <f ca="1"/>
        <v>0</v>
      </c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</row>
    <row r="65" spans="2:79" x14ac:dyDescent="0.25">
      <c r="B65" s="19">
        <f ca="1"/>
        <v>0</v>
      </c>
      <c r="C65" s="21" t="str">
        <f ca="1"/>
        <v>64</v>
      </c>
      <c r="D65" s="21" t="str">
        <f ca="1"/>
        <v>SUN03103</v>
      </c>
      <c r="E65" s="21" t="str">
        <f ca="1"/>
        <v>DHARMAPURI AYYANAR SWEETS</v>
      </c>
      <c r="F65" s="21">
        <f ca="1"/>
        <v>0</v>
      </c>
      <c r="G65" s="21">
        <f ca="1"/>
        <v>0</v>
      </c>
      <c r="H65" s="21">
        <f ca="1"/>
        <v>0</v>
      </c>
      <c r="I65" s="21">
        <f ca="1"/>
        <v>0</v>
      </c>
      <c r="J65" s="21">
        <f ca="1"/>
        <v>0</v>
      </c>
      <c r="K65" s="21">
        <f ca="1"/>
        <v>0</v>
      </c>
      <c r="L65" s="21">
        <f ca="1"/>
        <v>0</v>
      </c>
      <c r="M65" s="21">
        <f ca="1"/>
        <v>0</v>
      </c>
      <c r="N65" s="21">
        <f ca="1"/>
        <v>0</v>
      </c>
      <c r="O65" s="21">
        <f ca="1"/>
        <v>0</v>
      </c>
      <c r="P65" s="21">
        <f ca="1"/>
        <v>0</v>
      </c>
      <c r="Q65" s="21">
        <f ca="1"/>
        <v>0</v>
      </c>
      <c r="R65" s="21">
        <f ca="1"/>
        <v>0</v>
      </c>
      <c r="S65" s="21">
        <f ca="1"/>
        <v>0</v>
      </c>
      <c r="T65" s="21">
        <f ca="1"/>
        <v>0</v>
      </c>
      <c r="U65" s="21">
        <f ca="1"/>
        <v>0</v>
      </c>
      <c r="V65" s="21">
        <f ca="1"/>
        <v>0</v>
      </c>
      <c r="W65" s="21">
        <f ca="1"/>
        <v>0</v>
      </c>
      <c r="X65" s="21">
        <f ca="1"/>
        <v>0</v>
      </c>
      <c r="Y65" s="21">
        <f ca="1"/>
        <v>0</v>
      </c>
      <c r="Z65" s="21">
        <f ca="1"/>
        <v>0</v>
      </c>
      <c r="AA65" s="21">
        <f ca="1"/>
        <v>0</v>
      </c>
      <c r="AB65" s="21">
        <f ca="1"/>
        <v>0</v>
      </c>
      <c r="AC65" s="21">
        <f ca="1"/>
        <v>0</v>
      </c>
      <c r="AD65" s="21">
        <f ca="1"/>
        <v>0</v>
      </c>
      <c r="AE65" s="21">
        <f ca="1"/>
        <v>0</v>
      </c>
      <c r="AF65" s="21">
        <f ca="1"/>
        <v>0</v>
      </c>
      <c r="AG65" s="21">
        <f ca="1"/>
        <v>0</v>
      </c>
      <c r="AH65" s="21">
        <f ca="1"/>
        <v>0</v>
      </c>
      <c r="AI65" s="21">
        <f ca="1"/>
        <v>0</v>
      </c>
      <c r="AJ65" s="21">
        <f ca="1"/>
        <v>0</v>
      </c>
      <c r="AK65" s="21">
        <f ca="1"/>
        <v>0</v>
      </c>
      <c r="AL65" s="21">
        <f ca="1"/>
        <v>0</v>
      </c>
      <c r="AM65" s="21">
        <f ca="1"/>
        <v>0</v>
      </c>
      <c r="AN65" s="21">
        <f ca="1"/>
        <v>0</v>
      </c>
      <c r="AO65" s="21">
        <f ca="1"/>
        <v>0</v>
      </c>
      <c r="AP65" s="21">
        <f ca="1"/>
        <v>0</v>
      </c>
      <c r="AQ65" s="21">
        <f ca="1"/>
        <v>0</v>
      </c>
      <c r="AR65" s="21">
        <f ca="1"/>
        <v>0</v>
      </c>
      <c r="AS65" s="21">
        <f ca="1"/>
        <v>0</v>
      </c>
      <c r="AT65" s="21">
        <f ca="1"/>
        <v>0</v>
      </c>
      <c r="AU65" s="21">
        <f ca="1"/>
        <v>0</v>
      </c>
      <c r="AV65" s="21">
        <f ca="1"/>
        <v>0</v>
      </c>
      <c r="AW65" s="21">
        <f ca="1"/>
        <v>0</v>
      </c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</row>
    <row r="66" spans="2:79" x14ac:dyDescent="0.25">
      <c r="B66" s="19">
        <f ca="1"/>
        <v>0</v>
      </c>
      <c r="C66" s="21" t="str">
        <f ca="1"/>
        <v>65</v>
      </c>
      <c r="D66" s="21" t="str">
        <f ca="1"/>
        <v>SUN01960</v>
      </c>
      <c r="E66" s="21" t="str">
        <f ca="1"/>
        <v>KARAMADAI, SREE MAHALAKSHMI OIL MILLS</v>
      </c>
      <c r="F66" s="21">
        <f ca="1"/>
        <v>0</v>
      </c>
      <c r="G66" s="21">
        <f ca="1"/>
        <v>0</v>
      </c>
      <c r="H66" s="21">
        <f ca="1"/>
        <v>0</v>
      </c>
      <c r="I66" s="21">
        <f ca="1"/>
        <v>0</v>
      </c>
      <c r="J66" s="21">
        <f ca="1"/>
        <v>0</v>
      </c>
      <c r="K66" s="21">
        <f ca="1"/>
        <v>0</v>
      </c>
      <c r="L66" s="21">
        <f ca="1"/>
        <v>0</v>
      </c>
      <c r="M66" s="21">
        <f ca="1"/>
        <v>0</v>
      </c>
      <c r="N66" s="21">
        <f ca="1"/>
        <v>0</v>
      </c>
      <c r="O66" s="21">
        <f ca="1"/>
        <v>0</v>
      </c>
      <c r="P66" s="21">
        <f ca="1"/>
        <v>0</v>
      </c>
      <c r="Q66" s="21">
        <f ca="1"/>
        <v>0</v>
      </c>
      <c r="R66" s="21">
        <f ca="1"/>
        <v>0</v>
      </c>
      <c r="S66" s="21">
        <f ca="1"/>
        <v>0</v>
      </c>
      <c r="T66" s="21">
        <f ca="1"/>
        <v>0</v>
      </c>
      <c r="U66" s="21">
        <f ca="1"/>
        <v>0</v>
      </c>
      <c r="V66" s="21">
        <f ca="1"/>
        <v>0</v>
      </c>
      <c r="W66" s="21">
        <f ca="1"/>
        <v>0</v>
      </c>
      <c r="X66" s="21">
        <f ca="1"/>
        <v>0</v>
      </c>
      <c r="Y66" s="21">
        <f ca="1"/>
        <v>0</v>
      </c>
      <c r="Z66" s="21">
        <f ca="1"/>
        <v>0</v>
      </c>
      <c r="AA66" s="21">
        <f ca="1"/>
        <v>0</v>
      </c>
      <c r="AB66" s="21">
        <f ca="1"/>
        <v>0</v>
      </c>
      <c r="AC66" s="21">
        <f ca="1"/>
        <v>0</v>
      </c>
      <c r="AD66" s="21">
        <f ca="1"/>
        <v>0</v>
      </c>
      <c r="AE66" s="21">
        <f ca="1"/>
        <v>0</v>
      </c>
      <c r="AF66" s="21">
        <f ca="1"/>
        <v>0</v>
      </c>
      <c r="AG66" s="21">
        <f ca="1"/>
        <v>0</v>
      </c>
      <c r="AH66" s="21">
        <f ca="1"/>
        <v>0</v>
      </c>
      <c r="AI66" s="21">
        <f ca="1"/>
        <v>0</v>
      </c>
      <c r="AJ66" s="21">
        <f ca="1"/>
        <v>0</v>
      </c>
      <c r="AK66" s="21">
        <f ca="1"/>
        <v>0</v>
      </c>
      <c r="AL66" s="21">
        <f ca="1"/>
        <v>0</v>
      </c>
      <c r="AM66" s="21">
        <f ca="1"/>
        <v>0</v>
      </c>
      <c r="AN66" s="21">
        <f ca="1"/>
        <v>0</v>
      </c>
      <c r="AO66" s="21">
        <f ca="1"/>
        <v>0</v>
      </c>
      <c r="AP66" s="21">
        <f ca="1"/>
        <v>0</v>
      </c>
      <c r="AQ66" s="21">
        <f ca="1"/>
        <v>0</v>
      </c>
      <c r="AR66" s="21">
        <f ca="1"/>
        <v>0</v>
      </c>
      <c r="AS66" s="21">
        <f ca="1"/>
        <v>0</v>
      </c>
      <c r="AT66" s="21">
        <f ca="1"/>
        <v>0</v>
      </c>
      <c r="AU66" s="21">
        <f ca="1"/>
        <v>0</v>
      </c>
      <c r="AV66" s="21">
        <f ca="1"/>
        <v>0</v>
      </c>
      <c r="AW66" s="21">
        <f ca="1"/>
        <v>0</v>
      </c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</row>
    <row r="67" spans="2:79" x14ac:dyDescent="0.25">
      <c r="B67" s="19">
        <f ca="1"/>
        <v>0</v>
      </c>
      <c r="C67" s="21" t="str">
        <f ca="1"/>
        <v>66</v>
      </c>
      <c r="D67" s="21" t="str">
        <f ca="1"/>
        <v>SUN07207</v>
      </c>
      <c r="E67" s="21" t="str">
        <f ca="1"/>
        <v>AP-MAHALAKSHMI TRADERS</v>
      </c>
      <c r="F67" s="21">
        <f ca="1"/>
        <v>0</v>
      </c>
      <c r="G67" s="21">
        <f ca="1"/>
        <v>0</v>
      </c>
      <c r="H67" s="21">
        <f ca="1"/>
        <v>0</v>
      </c>
      <c r="I67" s="21">
        <f ca="1"/>
        <v>0</v>
      </c>
      <c r="J67" s="21">
        <f ca="1"/>
        <v>0</v>
      </c>
      <c r="K67" s="21">
        <f ca="1"/>
        <v>0</v>
      </c>
      <c r="L67" s="21">
        <f ca="1"/>
        <v>0</v>
      </c>
      <c r="M67" s="21">
        <f ca="1"/>
        <v>0</v>
      </c>
      <c r="N67" s="21">
        <f ca="1"/>
        <v>0</v>
      </c>
      <c r="O67" s="21">
        <f ca="1"/>
        <v>0</v>
      </c>
      <c r="P67" s="21">
        <f ca="1"/>
        <v>0</v>
      </c>
      <c r="Q67" s="21">
        <f ca="1"/>
        <v>0</v>
      </c>
      <c r="R67" s="21">
        <f ca="1"/>
        <v>0</v>
      </c>
      <c r="S67" s="21">
        <f ca="1"/>
        <v>0</v>
      </c>
      <c r="T67" s="21">
        <f ca="1"/>
        <v>0</v>
      </c>
      <c r="U67" s="21">
        <f ca="1"/>
        <v>0</v>
      </c>
      <c r="V67" s="21">
        <f ca="1"/>
        <v>0</v>
      </c>
      <c r="W67" s="21">
        <f ca="1"/>
        <v>0</v>
      </c>
      <c r="X67" s="21">
        <f ca="1"/>
        <v>0</v>
      </c>
      <c r="Y67" s="21">
        <f ca="1"/>
        <v>0</v>
      </c>
      <c r="Z67" s="21">
        <f ca="1"/>
        <v>0</v>
      </c>
      <c r="AA67" s="21">
        <f ca="1"/>
        <v>0</v>
      </c>
      <c r="AB67" s="21">
        <f ca="1"/>
        <v>0</v>
      </c>
      <c r="AC67" s="21">
        <f ca="1"/>
        <v>0</v>
      </c>
      <c r="AD67" s="21">
        <f ca="1"/>
        <v>0</v>
      </c>
      <c r="AE67" s="21">
        <f ca="1"/>
        <v>0</v>
      </c>
      <c r="AF67" s="21">
        <f ca="1"/>
        <v>0</v>
      </c>
      <c r="AG67" s="21">
        <f ca="1"/>
        <v>0</v>
      </c>
      <c r="AH67" s="21">
        <f ca="1"/>
        <v>0</v>
      </c>
      <c r="AI67" s="21">
        <f ca="1"/>
        <v>0</v>
      </c>
      <c r="AJ67" s="21">
        <f ca="1"/>
        <v>0</v>
      </c>
      <c r="AK67" s="21">
        <f ca="1"/>
        <v>0</v>
      </c>
      <c r="AL67" s="21">
        <f ca="1"/>
        <v>0</v>
      </c>
      <c r="AM67" s="21">
        <f ca="1"/>
        <v>0</v>
      </c>
      <c r="AN67" s="21">
        <f ca="1"/>
        <v>0</v>
      </c>
      <c r="AO67" s="21">
        <f ca="1"/>
        <v>0</v>
      </c>
      <c r="AP67" s="21">
        <f ca="1"/>
        <v>0</v>
      </c>
      <c r="AQ67" s="21">
        <f ca="1"/>
        <v>0</v>
      </c>
      <c r="AR67" s="21">
        <f ca="1"/>
        <v>0</v>
      </c>
      <c r="AS67" s="21">
        <f ca="1"/>
        <v>0</v>
      </c>
      <c r="AT67" s="21">
        <f ca="1"/>
        <v>0</v>
      </c>
      <c r="AU67" s="21">
        <f ca="1"/>
        <v>0</v>
      </c>
      <c r="AV67" s="21">
        <f ca="1"/>
        <v>0</v>
      </c>
      <c r="AW67" s="21">
        <f ca="1"/>
        <v>0</v>
      </c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</row>
    <row r="68" spans="2:79" x14ac:dyDescent="0.25">
      <c r="B68" s="19">
        <f ca="1"/>
        <v>0</v>
      </c>
      <c r="C68" s="21" t="str">
        <f ca="1"/>
        <v>67</v>
      </c>
      <c r="D68" s="21" t="str">
        <f ca="1"/>
        <v>SUN06521</v>
      </c>
      <c r="E68" s="21" t="str">
        <f ca="1"/>
        <v>BLR - KOF</v>
      </c>
      <c r="F68" s="21">
        <f ca="1"/>
        <v>0</v>
      </c>
      <c r="G68" s="21">
        <f ca="1"/>
        <v>0</v>
      </c>
      <c r="H68" s="21">
        <f ca="1"/>
        <v>0</v>
      </c>
      <c r="I68" s="21">
        <f ca="1"/>
        <v>0</v>
      </c>
      <c r="J68" s="21">
        <f ca="1"/>
        <v>0</v>
      </c>
      <c r="K68" s="21">
        <f ca="1"/>
        <v>0</v>
      </c>
      <c r="L68" s="21">
        <f ca="1"/>
        <v>0</v>
      </c>
      <c r="M68" s="21">
        <f ca="1"/>
        <v>0</v>
      </c>
      <c r="N68" s="21">
        <f ca="1"/>
        <v>0</v>
      </c>
      <c r="O68" s="21">
        <f ca="1"/>
        <v>0</v>
      </c>
      <c r="P68" s="21">
        <f ca="1"/>
        <v>0</v>
      </c>
      <c r="Q68" s="21">
        <f ca="1"/>
        <v>0</v>
      </c>
      <c r="R68" s="21">
        <f ca="1"/>
        <v>0</v>
      </c>
      <c r="S68" s="21">
        <f ca="1"/>
        <v>0</v>
      </c>
      <c r="T68" s="21">
        <f ca="1"/>
        <v>0</v>
      </c>
      <c r="U68" s="21">
        <f ca="1"/>
        <v>0</v>
      </c>
      <c r="V68" s="21">
        <f ca="1"/>
        <v>0</v>
      </c>
      <c r="W68" s="21">
        <f ca="1"/>
        <v>0</v>
      </c>
      <c r="X68" s="21">
        <f ca="1"/>
        <v>0</v>
      </c>
      <c r="Y68" s="21">
        <f ca="1"/>
        <v>0</v>
      </c>
      <c r="Z68" s="21">
        <f ca="1"/>
        <v>0</v>
      </c>
      <c r="AA68" s="21">
        <f ca="1"/>
        <v>0</v>
      </c>
      <c r="AB68" s="21">
        <f ca="1"/>
        <v>0</v>
      </c>
      <c r="AC68" s="21">
        <f ca="1"/>
        <v>0</v>
      </c>
      <c r="AD68" s="21">
        <f ca="1"/>
        <v>0</v>
      </c>
      <c r="AE68" s="21">
        <f ca="1"/>
        <v>0</v>
      </c>
      <c r="AF68" s="21">
        <f ca="1"/>
        <v>0</v>
      </c>
      <c r="AG68" s="21">
        <f ca="1"/>
        <v>0</v>
      </c>
      <c r="AH68" s="21">
        <f ca="1"/>
        <v>0</v>
      </c>
      <c r="AI68" s="21">
        <f ca="1"/>
        <v>0</v>
      </c>
      <c r="AJ68" s="21">
        <f ca="1"/>
        <v>0</v>
      </c>
      <c r="AK68" s="21">
        <f ca="1"/>
        <v>0</v>
      </c>
      <c r="AL68" s="21">
        <f ca="1"/>
        <v>0</v>
      </c>
      <c r="AM68" s="21">
        <f ca="1"/>
        <v>0</v>
      </c>
      <c r="AN68" s="21">
        <f ca="1"/>
        <v>0</v>
      </c>
      <c r="AO68" s="21">
        <f ca="1"/>
        <v>0</v>
      </c>
      <c r="AP68" s="21">
        <f ca="1"/>
        <v>0</v>
      </c>
      <c r="AQ68" s="21">
        <f ca="1"/>
        <v>0</v>
      </c>
      <c r="AR68" s="21">
        <f ca="1"/>
        <v>0</v>
      </c>
      <c r="AS68" s="21">
        <f ca="1"/>
        <v>0</v>
      </c>
      <c r="AT68" s="21">
        <f ca="1"/>
        <v>0</v>
      </c>
      <c r="AU68" s="21">
        <f ca="1"/>
        <v>0</v>
      </c>
      <c r="AV68" s="21">
        <f ca="1"/>
        <v>0</v>
      </c>
      <c r="AW68" s="21">
        <f ca="1"/>
        <v>0</v>
      </c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</row>
    <row r="69" spans="2:79" x14ac:dyDescent="0.25">
      <c r="B69" s="19">
        <f ca="1"/>
        <v>0</v>
      </c>
      <c r="C69" s="21" t="str">
        <f ca="1"/>
        <v>68</v>
      </c>
      <c r="D69" s="21" t="str">
        <f ca="1"/>
        <v>SUN02510</v>
      </c>
      <c r="E69" s="21" t="str">
        <f ca="1"/>
        <v>HARUR P.V. AGENCIES</v>
      </c>
      <c r="F69" s="21">
        <f ca="1"/>
        <v>3.0350000000000001</v>
      </c>
      <c r="G69" s="21">
        <f ca="1"/>
        <v>0</v>
      </c>
      <c r="H69" s="21">
        <f ca="1"/>
        <v>0</v>
      </c>
      <c r="I69" s="21">
        <f ca="1"/>
        <v>0</v>
      </c>
      <c r="J69" s="21">
        <f ca="1"/>
        <v>0</v>
      </c>
      <c r="K69" s="21">
        <f ca="1"/>
        <v>0</v>
      </c>
      <c r="L69" s="21">
        <f ca="1"/>
        <v>0</v>
      </c>
      <c r="M69" s="21">
        <f ca="1"/>
        <v>0</v>
      </c>
      <c r="N69" s="21">
        <f ca="1"/>
        <v>0</v>
      </c>
      <c r="O69" s="21">
        <f ca="1"/>
        <v>0</v>
      </c>
      <c r="P69" s="21">
        <f ca="1"/>
        <v>0</v>
      </c>
      <c r="Q69" s="21">
        <f ca="1"/>
        <v>0</v>
      </c>
      <c r="R69" s="21">
        <f ca="1"/>
        <v>0</v>
      </c>
      <c r="S69" s="21">
        <f ca="1"/>
        <v>0</v>
      </c>
      <c r="T69" s="21">
        <f ca="1"/>
        <v>0</v>
      </c>
      <c r="U69" s="21">
        <f ca="1"/>
        <v>0</v>
      </c>
      <c r="V69" s="21">
        <f ca="1"/>
        <v>0</v>
      </c>
      <c r="W69" s="21">
        <f ca="1"/>
        <v>0</v>
      </c>
      <c r="X69" s="21">
        <f ca="1"/>
        <v>0</v>
      </c>
      <c r="Y69" s="21">
        <f ca="1"/>
        <v>0</v>
      </c>
      <c r="Z69" s="21">
        <f ca="1"/>
        <v>0</v>
      </c>
      <c r="AA69" s="21">
        <f ca="1"/>
        <v>0</v>
      </c>
      <c r="AB69" s="21">
        <f ca="1"/>
        <v>0</v>
      </c>
      <c r="AC69" s="21">
        <f ca="1"/>
        <v>0</v>
      </c>
      <c r="AD69" s="21">
        <f ca="1"/>
        <v>0</v>
      </c>
      <c r="AE69" s="21">
        <f ca="1"/>
        <v>0</v>
      </c>
      <c r="AF69" s="21">
        <f ca="1"/>
        <v>0</v>
      </c>
      <c r="AG69" s="21">
        <f ca="1"/>
        <v>0</v>
      </c>
      <c r="AH69" s="21">
        <f ca="1"/>
        <v>0</v>
      </c>
      <c r="AI69" s="21">
        <f ca="1"/>
        <v>0</v>
      </c>
      <c r="AJ69" s="21">
        <f ca="1"/>
        <v>0</v>
      </c>
      <c r="AK69" s="21">
        <f ca="1"/>
        <v>0</v>
      </c>
      <c r="AL69" s="21">
        <f ca="1"/>
        <v>0</v>
      </c>
      <c r="AM69" s="21">
        <f ca="1"/>
        <v>0</v>
      </c>
      <c r="AN69" s="21">
        <f ca="1"/>
        <v>11</v>
      </c>
      <c r="AO69" s="21">
        <f ca="1"/>
        <v>0</v>
      </c>
      <c r="AP69" s="21">
        <f ca="1"/>
        <v>1</v>
      </c>
      <c r="AQ69" s="21">
        <f ca="1"/>
        <v>0</v>
      </c>
      <c r="AR69" s="21">
        <f ca="1"/>
        <v>0</v>
      </c>
      <c r="AS69" s="21">
        <f ca="1"/>
        <v>0</v>
      </c>
      <c r="AT69" s="21">
        <f ca="1"/>
        <v>0</v>
      </c>
      <c r="AU69" s="21">
        <f ca="1"/>
        <v>0</v>
      </c>
      <c r="AV69" s="21">
        <f ca="1"/>
        <v>0</v>
      </c>
      <c r="AW69" s="21">
        <f ca="1"/>
        <v>0</v>
      </c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</row>
    <row r="70" spans="2:79" x14ac:dyDescent="0.25">
      <c r="B70" s="19">
        <f ca="1"/>
        <v>0</v>
      </c>
      <c r="C70" s="21" t="str">
        <f ca="1"/>
        <v>69</v>
      </c>
      <c r="D70" s="21" t="str">
        <f ca="1"/>
        <v>SUN04519</v>
      </c>
      <c r="E70" s="21" t="str">
        <f ca="1"/>
        <v>PALACODE-STAR AGENCIES</v>
      </c>
      <c r="F70" s="21">
        <f ca="1"/>
        <v>3.798</v>
      </c>
      <c r="G70" s="21">
        <f ca="1"/>
        <v>0</v>
      </c>
      <c r="H70" s="21">
        <f ca="1"/>
        <v>0</v>
      </c>
      <c r="I70" s="21">
        <f ca="1"/>
        <v>0</v>
      </c>
      <c r="J70" s="21">
        <f ca="1"/>
        <v>0</v>
      </c>
      <c r="K70" s="21">
        <f ca="1"/>
        <v>0</v>
      </c>
      <c r="L70" s="21">
        <f ca="1"/>
        <v>0</v>
      </c>
      <c r="M70" s="21">
        <f ca="1"/>
        <v>0</v>
      </c>
      <c r="N70" s="21">
        <f ca="1"/>
        <v>0</v>
      </c>
      <c r="O70" s="21">
        <f ca="1"/>
        <v>0</v>
      </c>
      <c r="P70" s="21">
        <f ca="1"/>
        <v>0</v>
      </c>
      <c r="Q70" s="21">
        <f ca="1"/>
        <v>0</v>
      </c>
      <c r="R70" s="21">
        <f ca="1"/>
        <v>0</v>
      </c>
      <c r="S70" s="21">
        <f ca="1"/>
        <v>0</v>
      </c>
      <c r="T70" s="21">
        <f ca="1"/>
        <v>0</v>
      </c>
      <c r="U70" s="21">
        <f ca="1"/>
        <v>0</v>
      </c>
      <c r="V70" s="21">
        <f ca="1"/>
        <v>0</v>
      </c>
      <c r="W70" s="21">
        <f ca="1"/>
        <v>0</v>
      </c>
      <c r="X70" s="21">
        <f ca="1"/>
        <v>0</v>
      </c>
      <c r="Y70" s="21">
        <f ca="1"/>
        <v>0</v>
      </c>
      <c r="Z70" s="21">
        <f ca="1"/>
        <v>0</v>
      </c>
      <c r="AA70" s="21">
        <f ca="1"/>
        <v>0</v>
      </c>
      <c r="AB70" s="21">
        <f ca="1"/>
        <v>0</v>
      </c>
      <c r="AC70" s="21">
        <f ca="1"/>
        <v>0</v>
      </c>
      <c r="AD70" s="21">
        <f ca="1"/>
        <v>0</v>
      </c>
      <c r="AE70" s="21">
        <f ca="1"/>
        <v>0</v>
      </c>
      <c r="AF70" s="21">
        <f ca="1"/>
        <v>0</v>
      </c>
      <c r="AG70" s="21">
        <f ca="1"/>
        <v>0</v>
      </c>
      <c r="AH70" s="21">
        <f ca="1"/>
        <v>0</v>
      </c>
      <c r="AI70" s="21">
        <f ca="1"/>
        <v>0</v>
      </c>
      <c r="AJ70" s="21">
        <f ca="1"/>
        <v>0</v>
      </c>
      <c r="AK70" s="21">
        <f ca="1"/>
        <v>0</v>
      </c>
      <c r="AL70" s="21">
        <f ca="1"/>
        <v>0</v>
      </c>
      <c r="AM70" s="21">
        <f ca="1"/>
        <v>0</v>
      </c>
      <c r="AN70" s="21">
        <f ca="1"/>
        <v>1</v>
      </c>
      <c r="AO70" s="21">
        <f ca="1"/>
        <v>0</v>
      </c>
      <c r="AP70" s="21">
        <f ca="1"/>
        <v>1</v>
      </c>
      <c r="AQ70" s="21">
        <f ca="1"/>
        <v>0</v>
      </c>
      <c r="AR70" s="21">
        <f ca="1"/>
        <v>0</v>
      </c>
      <c r="AS70" s="21">
        <f ca="1"/>
        <v>0</v>
      </c>
      <c r="AT70" s="21">
        <f ca="1"/>
        <v>0</v>
      </c>
      <c r="AU70" s="21">
        <f ca="1"/>
        <v>0</v>
      </c>
      <c r="AV70" s="21">
        <f ca="1"/>
        <v>0</v>
      </c>
      <c r="AW70" s="21">
        <f ca="1"/>
        <v>0</v>
      </c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</row>
    <row r="71" spans="2:79" x14ac:dyDescent="0.25">
      <c r="B71" s="19">
        <f ca="1"/>
        <v>0</v>
      </c>
      <c r="C71" s="21" t="str">
        <f ca="1"/>
        <v>70</v>
      </c>
      <c r="D71" s="21" t="str">
        <f ca="1"/>
        <v>SUN01583</v>
      </c>
      <c r="E71" s="21" t="str">
        <f ca="1"/>
        <v>HOSUR DAVID ENTERPRISES</v>
      </c>
      <c r="F71" s="21">
        <f ca="1"/>
        <v>3.57</v>
      </c>
      <c r="G71" s="21">
        <f ca="1"/>
        <v>0</v>
      </c>
      <c r="H71" s="21">
        <f ca="1"/>
        <v>0</v>
      </c>
      <c r="I71" s="21">
        <f ca="1"/>
        <v>6</v>
      </c>
      <c r="J71" s="21">
        <f ca="1"/>
        <v>0</v>
      </c>
      <c r="K71" s="21">
        <f ca="1"/>
        <v>0</v>
      </c>
      <c r="L71" s="21">
        <f ca="1"/>
        <v>6</v>
      </c>
      <c r="M71" s="21">
        <f ca="1"/>
        <v>0</v>
      </c>
      <c r="N71" s="21">
        <f ca="1"/>
        <v>0</v>
      </c>
      <c r="O71" s="21">
        <f ca="1"/>
        <v>0</v>
      </c>
      <c r="P71" s="21">
        <f ca="1"/>
        <v>0</v>
      </c>
      <c r="Q71" s="21">
        <f ca="1"/>
        <v>0</v>
      </c>
      <c r="R71" s="21">
        <f ca="1"/>
        <v>0</v>
      </c>
      <c r="S71" s="21">
        <f ca="1"/>
        <v>0</v>
      </c>
      <c r="T71" s="21">
        <f ca="1"/>
        <v>0</v>
      </c>
      <c r="U71" s="21">
        <f ca="1"/>
        <v>0</v>
      </c>
      <c r="V71" s="21">
        <f ca="1"/>
        <v>0</v>
      </c>
      <c r="W71" s="21">
        <f ca="1"/>
        <v>0</v>
      </c>
      <c r="X71" s="21">
        <f ca="1"/>
        <v>0</v>
      </c>
      <c r="Y71" s="21">
        <f ca="1"/>
        <v>0</v>
      </c>
      <c r="Z71" s="21">
        <f ca="1"/>
        <v>0</v>
      </c>
      <c r="AA71" s="21">
        <f ca="1"/>
        <v>0</v>
      </c>
      <c r="AB71" s="21">
        <f ca="1"/>
        <v>0</v>
      </c>
      <c r="AC71" s="21">
        <f ca="1"/>
        <v>0</v>
      </c>
      <c r="AD71" s="21">
        <f ca="1"/>
        <v>0</v>
      </c>
      <c r="AE71" s="21">
        <f ca="1"/>
        <v>0</v>
      </c>
      <c r="AF71" s="21">
        <f ca="1"/>
        <v>0</v>
      </c>
      <c r="AG71" s="21">
        <f ca="1"/>
        <v>0</v>
      </c>
      <c r="AH71" s="21">
        <f ca="1"/>
        <v>0</v>
      </c>
      <c r="AI71" s="21">
        <f ca="1"/>
        <v>0</v>
      </c>
      <c r="AJ71" s="21">
        <f ca="1"/>
        <v>0</v>
      </c>
      <c r="AK71" s="21">
        <f ca="1"/>
        <v>0</v>
      </c>
      <c r="AL71" s="21">
        <f ca="1"/>
        <v>0</v>
      </c>
      <c r="AM71" s="21">
        <f ca="1"/>
        <v>0</v>
      </c>
      <c r="AN71" s="21">
        <f ca="1"/>
        <v>0</v>
      </c>
      <c r="AO71" s="21">
        <f ca="1"/>
        <v>0</v>
      </c>
      <c r="AP71" s="21">
        <f ca="1"/>
        <v>0</v>
      </c>
      <c r="AQ71" s="21">
        <f ca="1"/>
        <v>0</v>
      </c>
      <c r="AR71" s="21">
        <f ca="1"/>
        <v>0</v>
      </c>
      <c r="AS71" s="21">
        <f ca="1"/>
        <v>0</v>
      </c>
      <c r="AT71" s="21">
        <f ca="1"/>
        <v>0</v>
      </c>
      <c r="AU71" s="21">
        <f ca="1"/>
        <v>0</v>
      </c>
      <c r="AV71" s="21">
        <f ca="1"/>
        <v>0</v>
      </c>
      <c r="AW71" s="21">
        <f ca="1"/>
        <v>0</v>
      </c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</row>
    <row r="72" spans="2:79" x14ac:dyDescent="0.25">
      <c r="B72" s="19">
        <f ca="1"/>
        <v>0</v>
      </c>
      <c r="C72" s="21" t="str">
        <f ca="1"/>
        <v>71</v>
      </c>
      <c r="D72" s="21" t="str">
        <f ca="1"/>
        <v>SUN02952</v>
      </c>
      <c r="E72" s="21" t="str">
        <f ca="1"/>
        <v>KRISHNAGIRI M.R.TRADARS</v>
      </c>
      <c r="F72" s="21">
        <f ca="1"/>
        <v>1.1259999999999999</v>
      </c>
      <c r="G72" s="21">
        <f ca="1"/>
        <v>0</v>
      </c>
      <c r="H72" s="21">
        <f ca="1"/>
        <v>0</v>
      </c>
      <c r="I72" s="21">
        <f ca="1"/>
        <v>0</v>
      </c>
      <c r="J72" s="21">
        <f ca="1"/>
        <v>0</v>
      </c>
      <c r="K72" s="21">
        <f ca="1"/>
        <v>0</v>
      </c>
      <c r="L72" s="21">
        <f ca="1"/>
        <v>0</v>
      </c>
      <c r="M72" s="21">
        <f ca="1"/>
        <v>0</v>
      </c>
      <c r="N72" s="21">
        <f ca="1"/>
        <v>0</v>
      </c>
      <c r="O72" s="21">
        <f ca="1"/>
        <v>0</v>
      </c>
      <c r="P72" s="21">
        <f ca="1"/>
        <v>0</v>
      </c>
      <c r="Q72" s="21">
        <f ca="1"/>
        <v>0</v>
      </c>
      <c r="R72" s="21">
        <f ca="1"/>
        <v>0</v>
      </c>
      <c r="S72" s="21">
        <f ca="1"/>
        <v>0</v>
      </c>
      <c r="T72" s="21">
        <f ca="1"/>
        <v>0</v>
      </c>
      <c r="U72" s="21">
        <f ca="1"/>
        <v>0</v>
      </c>
      <c r="V72" s="21">
        <f ca="1"/>
        <v>0</v>
      </c>
      <c r="W72" s="21">
        <f ca="1"/>
        <v>0</v>
      </c>
      <c r="X72" s="21">
        <f ca="1"/>
        <v>0</v>
      </c>
      <c r="Y72" s="21">
        <f ca="1"/>
        <v>0</v>
      </c>
      <c r="Z72" s="21">
        <f ca="1"/>
        <v>0</v>
      </c>
      <c r="AA72" s="21">
        <f ca="1"/>
        <v>0</v>
      </c>
      <c r="AB72" s="21">
        <f ca="1"/>
        <v>0</v>
      </c>
      <c r="AC72" s="21">
        <f ca="1"/>
        <v>0</v>
      </c>
      <c r="AD72" s="21">
        <f ca="1"/>
        <v>0</v>
      </c>
      <c r="AE72" s="21">
        <f ca="1"/>
        <v>0</v>
      </c>
      <c r="AF72" s="21">
        <f ca="1"/>
        <v>0</v>
      </c>
      <c r="AG72" s="21">
        <f ca="1"/>
        <v>0</v>
      </c>
      <c r="AH72" s="21">
        <f ca="1"/>
        <v>0</v>
      </c>
      <c r="AI72" s="21">
        <f ca="1"/>
        <v>0</v>
      </c>
      <c r="AJ72" s="21">
        <f ca="1"/>
        <v>0</v>
      </c>
      <c r="AK72" s="21">
        <f ca="1"/>
        <v>0</v>
      </c>
      <c r="AL72" s="21">
        <f ca="1"/>
        <v>0</v>
      </c>
      <c r="AM72" s="21">
        <f ca="1"/>
        <v>0</v>
      </c>
      <c r="AN72" s="21">
        <f ca="1"/>
        <v>0</v>
      </c>
      <c r="AO72" s="21">
        <f ca="1"/>
        <v>0</v>
      </c>
      <c r="AP72" s="21">
        <f ca="1"/>
        <v>0</v>
      </c>
      <c r="AQ72" s="21">
        <f ca="1"/>
        <v>0</v>
      </c>
      <c r="AR72" s="21">
        <f ca="1"/>
        <v>0</v>
      </c>
      <c r="AS72" s="21">
        <f ca="1"/>
        <v>0</v>
      </c>
      <c r="AT72" s="21">
        <f ca="1"/>
        <v>0</v>
      </c>
      <c r="AU72" s="21">
        <f ca="1"/>
        <v>0</v>
      </c>
      <c r="AV72" s="21">
        <f ca="1"/>
        <v>0</v>
      </c>
      <c r="AW72" s="21">
        <f ca="1"/>
        <v>0</v>
      </c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</row>
    <row r="73" spans="2:79" x14ac:dyDescent="0.25">
      <c r="B73" s="19">
        <f ca="1"/>
        <v>0</v>
      </c>
      <c r="C73" s="21" t="str">
        <f ca="1"/>
        <v>72</v>
      </c>
      <c r="D73" s="21" t="str">
        <f ca="1"/>
        <v>SUN07406</v>
      </c>
      <c r="E73" s="21" t="str">
        <f ca="1"/>
        <v>KARUR-NAKSATRAA TRADERS</v>
      </c>
      <c r="F73" s="21">
        <f ca="1"/>
        <v>8.26</v>
      </c>
      <c r="G73" s="21">
        <f ca="1"/>
        <v>0</v>
      </c>
      <c r="H73" s="21">
        <f ca="1"/>
        <v>0</v>
      </c>
      <c r="I73" s="21">
        <f ca="1"/>
        <v>0</v>
      </c>
      <c r="J73" s="21">
        <f ca="1"/>
        <v>0</v>
      </c>
      <c r="K73" s="21">
        <f ca="1"/>
        <v>0</v>
      </c>
      <c r="L73" s="21">
        <f ca="1"/>
        <v>0</v>
      </c>
      <c r="M73" s="21">
        <f ca="1"/>
        <v>0</v>
      </c>
      <c r="N73" s="21">
        <f ca="1"/>
        <v>0</v>
      </c>
      <c r="O73" s="21">
        <f ca="1"/>
        <v>0</v>
      </c>
      <c r="P73" s="21">
        <f ca="1"/>
        <v>0</v>
      </c>
      <c r="Q73" s="21">
        <f ca="1"/>
        <v>0</v>
      </c>
      <c r="R73" s="21">
        <f ca="1"/>
        <v>0</v>
      </c>
      <c r="S73" s="21">
        <f ca="1"/>
        <v>0</v>
      </c>
      <c r="T73" s="21">
        <f ca="1"/>
        <v>0</v>
      </c>
      <c r="U73" s="21">
        <f ca="1"/>
        <v>0</v>
      </c>
      <c r="V73" s="21">
        <f ca="1"/>
        <v>0</v>
      </c>
      <c r="W73" s="21">
        <f ca="1"/>
        <v>0</v>
      </c>
      <c r="X73" s="21">
        <f ca="1"/>
        <v>0</v>
      </c>
      <c r="Y73" s="21">
        <f ca="1"/>
        <v>0</v>
      </c>
      <c r="Z73" s="21">
        <f ca="1"/>
        <v>0</v>
      </c>
      <c r="AA73" s="21">
        <f ca="1"/>
        <v>0</v>
      </c>
      <c r="AB73" s="21">
        <f ca="1"/>
        <v>0</v>
      </c>
      <c r="AC73" s="21">
        <f ca="1"/>
        <v>0</v>
      </c>
      <c r="AD73" s="21">
        <f ca="1"/>
        <v>0</v>
      </c>
      <c r="AE73" s="21">
        <f ca="1"/>
        <v>0</v>
      </c>
      <c r="AF73" s="21">
        <f ca="1"/>
        <v>0</v>
      </c>
      <c r="AG73" s="21">
        <f ca="1"/>
        <v>0</v>
      </c>
      <c r="AH73" s="21">
        <f ca="1"/>
        <v>0</v>
      </c>
      <c r="AI73" s="21">
        <f ca="1"/>
        <v>0</v>
      </c>
      <c r="AJ73" s="21">
        <f ca="1"/>
        <v>0</v>
      </c>
      <c r="AK73" s="21">
        <f ca="1"/>
        <v>0</v>
      </c>
      <c r="AL73" s="21">
        <f ca="1"/>
        <v>0</v>
      </c>
      <c r="AM73" s="21">
        <f ca="1"/>
        <v>0</v>
      </c>
      <c r="AN73" s="21">
        <f ca="1"/>
        <v>0</v>
      </c>
      <c r="AO73" s="21">
        <f ca="1"/>
        <v>0</v>
      </c>
      <c r="AP73" s="21">
        <f ca="1"/>
        <v>0</v>
      </c>
      <c r="AQ73" s="21">
        <f ca="1"/>
        <v>0</v>
      </c>
      <c r="AR73" s="21">
        <f ca="1"/>
        <v>0</v>
      </c>
      <c r="AS73" s="21">
        <f ca="1"/>
        <v>0</v>
      </c>
      <c r="AT73" s="21">
        <f ca="1"/>
        <v>0</v>
      </c>
      <c r="AU73" s="21">
        <f ca="1"/>
        <v>0</v>
      </c>
      <c r="AV73" s="21">
        <f ca="1"/>
        <v>0</v>
      </c>
      <c r="AW73" s="21">
        <f ca="1"/>
        <v>0</v>
      </c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</row>
    <row r="74" spans="2:79" x14ac:dyDescent="0.25">
      <c r="B74" s="19">
        <f ca="1"/>
        <v>0</v>
      </c>
      <c r="C74" s="21" t="str">
        <f ca="1"/>
        <v>73</v>
      </c>
      <c r="D74" s="21" t="str">
        <f ca="1"/>
        <v>SUN06600</v>
      </c>
      <c r="E74" s="21" t="str">
        <f ca="1"/>
        <v>KODUMUDI-SUDHA SUPER MARKET</v>
      </c>
      <c r="F74" s="21">
        <f ca="1"/>
        <v>0</v>
      </c>
      <c r="G74" s="21">
        <f ca="1"/>
        <v>0</v>
      </c>
      <c r="H74" s="21">
        <f ca="1"/>
        <v>0</v>
      </c>
      <c r="I74" s="21">
        <f ca="1"/>
        <v>0</v>
      </c>
      <c r="J74" s="21">
        <f ca="1"/>
        <v>0</v>
      </c>
      <c r="K74" s="21">
        <f ca="1"/>
        <v>0</v>
      </c>
      <c r="L74" s="21">
        <f ca="1"/>
        <v>0</v>
      </c>
      <c r="M74" s="21">
        <f ca="1"/>
        <v>0</v>
      </c>
      <c r="N74" s="21">
        <f ca="1"/>
        <v>0</v>
      </c>
      <c r="O74" s="21">
        <f ca="1"/>
        <v>0</v>
      </c>
      <c r="P74" s="21">
        <f ca="1"/>
        <v>0</v>
      </c>
      <c r="Q74" s="21">
        <f ca="1"/>
        <v>0</v>
      </c>
      <c r="R74" s="21">
        <f ca="1"/>
        <v>0</v>
      </c>
      <c r="S74" s="21">
        <f ca="1"/>
        <v>0</v>
      </c>
      <c r="T74" s="21">
        <f ca="1"/>
        <v>0</v>
      </c>
      <c r="U74" s="21">
        <f ca="1"/>
        <v>0</v>
      </c>
      <c r="V74" s="21">
        <f ca="1"/>
        <v>0</v>
      </c>
      <c r="W74" s="21">
        <f ca="1"/>
        <v>0</v>
      </c>
      <c r="X74" s="21">
        <f ca="1"/>
        <v>0</v>
      </c>
      <c r="Y74" s="21">
        <f ca="1"/>
        <v>0</v>
      </c>
      <c r="Z74" s="21">
        <f ca="1"/>
        <v>0</v>
      </c>
      <c r="AA74" s="21">
        <f ca="1"/>
        <v>0</v>
      </c>
      <c r="AB74" s="21">
        <f ca="1"/>
        <v>0</v>
      </c>
      <c r="AC74" s="21">
        <f ca="1"/>
        <v>0</v>
      </c>
      <c r="AD74" s="21">
        <f ca="1"/>
        <v>0</v>
      </c>
      <c r="AE74" s="21">
        <f ca="1"/>
        <v>0</v>
      </c>
      <c r="AF74" s="21">
        <f ca="1"/>
        <v>0</v>
      </c>
      <c r="AG74" s="21">
        <f ca="1"/>
        <v>0</v>
      </c>
      <c r="AH74" s="21">
        <f ca="1"/>
        <v>0</v>
      </c>
      <c r="AI74" s="21">
        <f ca="1"/>
        <v>0</v>
      </c>
      <c r="AJ74" s="21">
        <f ca="1"/>
        <v>0</v>
      </c>
      <c r="AK74" s="21">
        <f ca="1"/>
        <v>0</v>
      </c>
      <c r="AL74" s="21">
        <f ca="1"/>
        <v>0</v>
      </c>
      <c r="AM74" s="21">
        <f ca="1"/>
        <v>0</v>
      </c>
      <c r="AN74" s="21">
        <f ca="1"/>
        <v>0</v>
      </c>
      <c r="AO74" s="21">
        <f ca="1"/>
        <v>0</v>
      </c>
      <c r="AP74" s="21">
        <f ca="1"/>
        <v>0</v>
      </c>
      <c r="AQ74" s="21">
        <f ca="1"/>
        <v>0</v>
      </c>
      <c r="AR74" s="21">
        <f ca="1"/>
        <v>0</v>
      </c>
      <c r="AS74" s="21">
        <f ca="1"/>
        <v>0</v>
      </c>
      <c r="AT74" s="21">
        <f ca="1"/>
        <v>0</v>
      </c>
      <c r="AU74" s="21">
        <f ca="1"/>
        <v>0</v>
      </c>
      <c r="AV74" s="21">
        <f ca="1"/>
        <v>0</v>
      </c>
      <c r="AW74" s="21">
        <f ca="1"/>
        <v>0</v>
      </c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</row>
    <row r="75" spans="2:79" x14ac:dyDescent="0.25">
      <c r="B75" s="19">
        <f ca="1"/>
        <v>0</v>
      </c>
      <c r="C75" s="21" t="str">
        <f ca="1"/>
        <v>74</v>
      </c>
      <c r="D75" s="21" t="str">
        <f ca="1"/>
        <v>SUN03375</v>
      </c>
      <c r="E75" s="21" t="str">
        <f ca="1"/>
        <v>KA KATTIGENAHALLI SRI VINAYAKA PROVISION STORES</v>
      </c>
      <c r="F75" s="21">
        <f ca="1"/>
        <v>3.3879999999999999</v>
      </c>
      <c r="G75" s="21">
        <f ca="1"/>
        <v>0</v>
      </c>
      <c r="H75" s="21">
        <f ca="1"/>
        <v>0</v>
      </c>
      <c r="I75" s="21">
        <f ca="1"/>
        <v>0</v>
      </c>
      <c r="J75" s="21">
        <f ca="1"/>
        <v>0</v>
      </c>
      <c r="K75" s="21">
        <f ca="1"/>
        <v>0</v>
      </c>
      <c r="L75" s="21">
        <f ca="1"/>
        <v>0</v>
      </c>
      <c r="M75" s="21">
        <f ca="1"/>
        <v>0</v>
      </c>
      <c r="N75" s="21">
        <f ca="1"/>
        <v>0</v>
      </c>
      <c r="O75" s="21">
        <f ca="1"/>
        <v>0</v>
      </c>
      <c r="P75" s="21">
        <f ca="1"/>
        <v>0</v>
      </c>
      <c r="Q75" s="21">
        <f ca="1"/>
        <v>0</v>
      </c>
      <c r="R75" s="21">
        <f ca="1"/>
        <v>0</v>
      </c>
      <c r="S75" s="21">
        <f ca="1"/>
        <v>0</v>
      </c>
      <c r="T75" s="21">
        <f ca="1"/>
        <v>0</v>
      </c>
      <c r="U75" s="21">
        <f ca="1"/>
        <v>0</v>
      </c>
      <c r="V75" s="21">
        <f ca="1"/>
        <v>0</v>
      </c>
      <c r="W75" s="21">
        <f ca="1"/>
        <v>0</v>
      </c>
      <c r="X75" s="21">
        <f ca="1"/>
        <v>0</v>
      </c>
      <c r="Y75" s="21">
        <f ca="1"/>
        <v>0</v>
      </c>
      <c r="Z75" s="21">
        <f ca="1"/>
        <v>0</v>
      </c>
      <c r="AA75" s="21">
        <f ca="1"/>
        <v>0</v>
      </c>
      <c r="AB75" s="21">
        <f ca="1"/>
        <v>0</v>
      </c>
      <c r="AC75" s="21">
        <f ca="1"/>
        <v>0</v>
      </c>
      <c r="AD75" s="21">
        <f ca="1"/>
        <v>0</v>
      </c>
      <c r="AE75" s="21">
        <f ca="1"/>
        <v>0</v>
      </c>
      <c r="AF75" s="21">
        <f ca="1"/>
        <v>0</v>
      </c>
      <c r="AG75" s="21">
        <f ca="1"/>
        <v>0</v>
      </c>
      <c r="AH75" s="21">
        <f ca="1"/>
        <v>0</v>
      </c>
      <c r="AI75" s="21">
        <f ca="1"/>
        <v>0</v>
      </c>
      <c r="AJ75" s="21">
        <f ca="1"/>
        <v>0</v>
      </c>
      <c r="AK75" s="21">
        <f ca="1"/>
        <v>0</v>
      </c>
      <c r="AL75" s="21">
        <f ca="1"/>
        <v>0</v>
      </c>
      <c r="AM75" s="21">
        <f ca="1"/>
        <v>0</v>
      </c>
      <c r="AN75" s="21">
        <f ca="1"/>
        <v>0</v>
      </c>
      <c r="AO75" s="21">
        <f ca="1"/>
        <v>0</v>
      </c>
      <c r="AP75" s="21">
        <f ca="1"/>
        <v>0</v>
      </c>
      <c r="AQ75" s="21">
        <f ca="1"/>
        <v>0</v>
      </c>
      <c r="AR75" s="21">
        <f ca="1"/>
        <v>0</v>
      </c>
      <c r="AS75" s="21">
        <f ca="1"/>
        <v>0</v>
      </c>
      <c r="AT75" s="21">
        <f ca="1"/>
        <v>0</v>
      </c>
      <c r="AU75" s="21">
        <f ca="1"/>
        <v>0</v>
      </c>
      <c r="AV75" s="21">
        <f ca="1"/>
        <v>0</v>
      </c>
      <c r="AW75" s="21">
        <f ca="1"/>
        <v>0</v>
      </c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</row>
    <row r="76" spans="2:79" x14ac:dyDescent="0.25">
      <c r="B76" s="19">
        <f ca="1"/>
        <v>0</v>
      </c>
      <c r="C76" s="21" t="str">
        <f ca="1"/>
        <v>75</v>
      </c>
      <c r="D76" s="21" t="str">
        <f ca="1"/>
        <v>SUN05864</v>
      </c>
      <c r="E76" s="21" t="str">
        <f ca="1"/>
        <v>BLR SUNRAJA OIL INDUSTERIES PVT LTD (NEW)</v>
      </c>
      <c r="F76" s="21">
        <f ca="1"/>
        <v>10.92</v>
      </c>
      <c r="G76" s="21">
        <f ca="1"/>
        <v>0</v>
      </c>
      <c r="H76" s="21">
        <f ca="1"/>
        <v>0</v>
      </c>
      <c r="I76" s="21">
        <f ca="1"/>
        <v>0</v>
      </c>
      <c r="J76" s="21">
        <f ca="1"/>
        <v>0</v>
      </c>
      <c r="K76" s="21">
        <f ca="1"/>
        <v>0</v>
      </c>
      <c r="L76" s="21">
        <f ca="1"/>
        <v>0</v>
      </c>
      <c r="M76" s="21">
        <f ca="1"/>
        <v>0</v>
      </c>
      <c r="N76" s="21">
        <f ca="1"/>
        <v>0</v>
      </c>
      <c r="O76" s="21">
        <f ca="1"/>
        <v>0</v>
      </c>
      <c r="P76" s="21">
        <f ca="1"/>
        <v>0</v>
      </c>
      <c r="Q76" s="21">
        <f ca="1"/>
        <v>0</v>
      </c>
      <c r="R76" s="21">
        <f ca="1"/>
        <v>0</v>
      </c>
      <c r="S76" s="21">
        <f ca="1"/>
        <v>0</v>
      </c>
      <c r="T76" s="21">
        <f ca="1"/>
        <v>0</v>
      </c>
      <c r="U76" s="21">
        <f ca="1"/>
        <v>0</v>
      </c>
      <c r="V76" s="21">
        <f ca="1"/>
        <v>0</v>
      </c>
      <c r="W76" s="21">
        <f ca="1"/>
        <v>0</v>
      </c>
      <c r="X76" s="21">
        <f ca="1"/>
        <v>0</v>
      </c>
      <c r="Y76" s="21">
        <f ca="1"/>
        <v>0</v>
      </c>
      <c r="Z76" s="21">
        <f ca="1"/>
        <v>0</v>
      </c>
      <c r="AA76" s="21">
        <f ca="1"/>
        <v>0</v>
      </c>
      <c r="AB76" s="21">
        <f ca="1"/>
        <v>0</v>
      </c>
      <c r="AC76" s="21">
        <f ca="1"/>
        <v>0</v>
      </c>
      <c r="AD76" s="21">
        <f ca="1"/>
        <v>0</v>
      </c>
      <c r="AE76" s="21">
        <f ca="1"/>
        <v>0</v>
      </c>
      <c r="AF76" s="21">
        <f ca="1"/>
        <v>0</v>
      </c>
      <c r="AG76" s="21">
        <f ca="1"/>
        <v>0</v>
      </c>
      <c r="AH76" s="21">
        <f ca="1"/>
        <v>0</v>
      </c>
      <c r="AI76" s="21">
        <f ca="1"/>
        <v>0</v>
      </c>
      <c r="AJ76" s="21">
        <f ca="1"/>
        <v>0</v>
      </c>
      <c r="AK76" s="21">
        <f ca="1"/>
        <v>0</v>
      </c>
      <c r="AL76" s="21">
        <f ca="1"/>
        <v>0</v>
      </c>
      <c r="AM76" s="21">
        <f ca="1"/>
        <v>0</v>
      </c>
      <c r="AN76" s="21">
        <f ca="1"/>
        <v>0</v>
      </c>
      <c r="AO76" s="21">
        <f ca="1"/>
        <v>0</v>
      </c>
      <c r="AP76" s="21">
        <f ca="1"/>
        <v>0</v>
      </c>
      <c r="AQ76" s="21">
        <f ca="1"/>
        <v>0</v>
      </c>
      <c r="AR76" s="21">
        <f ca="1"/>
        <v>0</v>
      </c>
      <c r="AS76" s="21">
        <f ca="1"/>
        <v>0</v>
      </c>
      <c r="AT76" s="21">
        <f ca="1"/>
        <v>0</v>
      </c>
      <c r="AU76" s="21">
        <f ca="1"/>
        <v>0</v>
      </c>
      <c r="AV76" s="21">
        <f ca="1"/>
        <v>0</v>
      </c>
      <c r="AW76" s="21">
        <f ca="1"/>
        <v>0</v>
      </c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</row>
    <row r="77" spans="2:79" x14ac:dyDescent="0.25">
      <c r="B77" s="19">
        <f ca="1"/>
        <v>0</v>
      </c>
      <c r="C77" s="21" t="str">
        <f ca="1"/>
        <v>76</v>
      </c>
      <c r="D77" s="21" t="str">
        <f ca="1"/>
        <v>SUN04370</v>
      </c>
      <c r="E77" s="21" t="str">
        <f ca="1"/>
        <v>GOBI ARISH A TO Z WHOLESALER</v>
      </c>
      <c r="F77" s="21">
        <f ca="1"/>
        <v>5.79</v>
      </c>
      <c r="G77" s="21">
        <f ca="1"/>
        <v>0</v>
      </c>
      <c r="H77" s="21">
        <f ca="1"/>
        <v>0</v>
      </c>
      <c r="I77" s="21">
        <f ca="1"/>
        <v>0</v>
      </c>
      <c r="J77" s="21">
        <f ca="1"/>
        <v>0</v>
      </c>
      <c r="K77" s="21">
        <f ca="1"/>
        <v>0</v>
      </c>
      <c r="L77" s="21">
        <f ca="1"/>
        <v>0</v>
      </c>
      <c r="M77" s="21">
        <f ca="1"/>
        <v>0</v>
      </c>
      <c r="N77" s="21">
        <f ca="1"/>
        <v>0</v>
      </c>
      <c r="O77" s="21">
        <f ca="1"/>
        <v>0</v>
      </c>
      <c r="P77" s="21">
        <f ca="1"/>
        <v>0</v>
      </c>
      <c r="Q77" s="21">
        <f ca="1"/>
        <v>0</v>
      </c>
      <c r="R77" s="21">
        <f ca="1"/>
        <v>0</v>
      </c>
      <c r="S77" s="21">
        <f ca="1"/>
        <v>0</v>
      </c>
      <c r="T77" s="21">
        <f ca="1"/>
        <v>0</v>
      </c>
      <c r="U77" s="21">
        <f ca="1"/>
        <v>0</v>
      </c>
      <c r="V77" s="21">
        <f ca="1"/>
        <v>0</v>
      </c>
      <c r="W77" s="21">
        <f ca="1"/>
        <v>0</v>
      </c>
      <c r="X77" s="21">
        <f ca="1"/>
        <v>0</v>
      </c>
      <c r="Y77" s="21">
        <f ca="1"/>
        <v>0</v>
      </c>
      <c r="Z77" s="21">
        <f ca="1"/>
        <v>0</v>
      </c>
      <c r="AA77" s="21">
        <f ca="1"/>
        <v>0</v>
      </c>
      <c r="AB77" s="21">
        <f ca="1"/>
        <v>0</v>
      </c>
      <c r="AC77" s="21">
        <f ca="1"/>
        <v>0</v>
      </c>
      <c r="AD77" s="21">
        <f ca="1"/>
        <v>0</v>
      </c>
      <c r="AE77" s="21">
        <f ca="1"/>
        <v>0</v>
      </c>
      <c r="AF77" s="21">
        <f ca="1"/>
        <v>0</v>
      </c>
      <c r="AG77" s="21">
        <f ca="1"/>
        <v>0</v>
      </c>
      <c r="AH77" s="21">
        <f ca="1"/>
        <v>0</v>
      </c>
      <c r="AI77" s="21">
        <f ca="1"/>
        <v>0</v>
      </c>
      <c r="AJ77" s="21">
        <f ca="1"/>
        <v>0</v>
      </c>
      <c r="AK77" s="21">
        <f ca="1"/>
        <v>0</v>
      </c>
      <c r="AL77" s="21">
        <f ca="1"/>
        <v>0</v>
      </c>
      <c r="AM77" s="21">
        <f ca="1"/>
        <v>0</v>
      </c>
      <c r="AN77" s="21">
        <f ca="1"/>
        <v>1</v>
      </c>
      <c r="AO77" s="21">
        <f ca="1"/>
        <v>0</v>
      </c>
      <c r="AP77" s="21">
        <f ca="1"/>
        <v>1</v>
      </c>
      <c r="AQ77" s="21">
        <f ca="1"/>
        <v>0</v>
      </c>
      <c r="AR77" s="21">
        <f ca="1"/>
        <v>0</v>
      </c>
      <c r="AS77" s="21">
        <f ca="1"/>
        <v>0</v>
      </c>
      <c r="AT77" s="21">
        <f ca="1"/>
        <v>0</v>
      </c>
      <c r="AU77" s="21">
        <f ca="1"/>
        <v>0</v>
      </c>
      <c r="AV77" s="21">
        <f ca="1"/>
        <v>0</v>
      </c>
      <c r="AW77" s="21">
        <f ca="1"/>
        <v>0</v>
      </c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</row>
    <row r="78" spans="2:79" x14ac:dyDescent="0.25">
      <c r="B78" s="19">
        <f ca="1"/>
        <v>0</v>
      </c>
      <c r="C78" s="21" t="str">
        <f ca="1"/>
        <v>77</v>
      </c>
      <c r="D78" s="21" t="str">
        <f ca="1"/>
        <v>SUN05709</v>
      </c>
      <c r="E78" s="21" t="str">
        <f ca="1"/>
        <v>TIRUPUR- MANIPAL STORES (HEAD OFFICE)</v>
      </c>
      <c r="F78" s="21">
        <f ca="1"/>
        <v>0</v>
      </c>
      <c r="G78" s="21">
        <f ca="1"/>
        <v>0</v>
      </c>
      <c r="H78" s="21">
        <f ca="1"/>
        <v>0</v>
      </c>
      <c r="I78" s="21">
        <f ca="1"/>
        <v>0</v>
      </c>
      <c r="J78" s="21">
        <f ca="1"/>
        <v>0</v>
      </c>
      <c r="K78" s="21">
        <f ca="1"/>
        <v>0</v>
      </c>
      <c r="L78" s="21">
        <f ca="1"/>
        <v>0</v>
      </c>
      <c r="M78" s="21">
        <f ca="1"/>
        <v>0</v>
      </c>
      <c r="N78" s="21">
        <f ca="1"/>
        <v>0</v>
      </c>
      <c r="O78" s="21">
        <f ca="1"/>
        <v>0</v>
      </c>
      <c r="P78" s="21">
        <f ca="1"/>
        <v>0</v>
      </c>
      <c r="Q78" s="21">
        <f ca="1"/>
        <v>0</v>
      </c>
      <c r="R78" s="21">
        <f ca="1"/>
        <v>0</v>
      </c>
      <c r="S78" s="21">
        <f ca="1"/>
        <v>0</v>
      </c>
      <c r="T78" s="21">
        <f ca="1"/>
        <v>0</v>
      </c>
      <c r="U78" s="21">
        <f ca="1"/>
        <v>0</v>
      </c>
      <c r="V78" s="21">
        <f ca="1"/>
        <v>0</v>
      </c>
      <c r="W78" s="21">
        <f ca="1"/>
        <v>0</v>
      </c>
      <c r="X78" s="21">
        <f ca="1"/>
        <v>0</v>
      </c>
      <c r="Y78" s="21">
        <f ca="1"/>
        <v>0</v>
      </c>
      <c r="Z78" s="21">
        <f ca="1"/>
        <v>0</v>
      </c>
      <c r="AA78" s="21">
        <f ca="1"/>
        <v>0</v>
      </c>
      <c r="AB78" s="21">
        <f ca="1"/>
        <v>0</v>
      </c>
      <c r="AC78" s="21">
        <f ca="1"/>
        <v>0</v>
      </c>
      <c r="AD78" s="21">
        <f ca="1"/>
        <v>0</v>
      </c>
      <c r="AE78" s="21">
        <f ca="1"/>
        <v>0</v>
      </c>
      <c r="AF78" s="21">
        <f ca="1"/>
        <v>0</v>
      </c>
      <c r="AG78" s="21">
        <f ca="1"/>
        <v>0</v>
      </c>
      <c r="AH78" s="21">
        <f ca="1"/>
        <v>0</v>
      </c>
      <c r="AI78" s="21">
        <f ca="1"/>
        <v>0</v>
      </c>
      <c r="AJ78" s="21">
        <f ca="1"/>
        <v>0</v>
      </c>
      <c r="AK78" s="21">
        <f ca="1"/>
        <v>0</v>
      </c>
      <c r="AL78" s="21">
        <f ca="1"/>
        <v>0</v>
      </c>
      <c r="AM78" s="21">
        <f ca="1"/>
        <v>0</v>
      </c>
      <c r="AN78" s="21">
        <f ca="1"/>
        <v>0</v>
      </c>
      <c r="AO78" s="21">
        <f ca="1"/>
        <v>0</v>
      </c>
      <c r="AP78" s="21">
        <f ca="1"/>
        <v>0</v>
      </c>
      <c r="AQ78" s="21">
        <f ca="1"/>
        <v>0</v>
      </c>
      <c r="AR78" s="21">
        <f ca="1"/>
        <v>0</v>
      </c>
      <c r="AS78" s="21">
        <f ca="1"/>
        <v>0</v>
      </c>
      <c r="AT78" s="21">
        <f ca="1"/>
        <v>0</v>
      </c>
      <c r="AU78" s="21">
        <f ca="1"/>
        <v>0</v>
      </c>
      <c r="AV78" s="21">
        <f ca="1"/>
        <v>0</v>
      </c>
      <c r="AW78" s="21">
        <f ca="1"/>
        <v>0</v>
      </c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</row>
    <row r="79" spans="2:79" x14ac:dyDescent="0.25">
      <c r="B79" s="19">
        <f ca="1"/>
        <v>0</v>
      </c>
      <c r="C79" s="21" t="str">
        <f ca="1"/>
        <v>78</v>
      </c>
      <c r="D79" s="21" t="str">
        <f ca="1"/>
        <v>SUN06832</v>
      </c>
      <c r="E79" s="21" t="str">
        <f ca="1"/>
        <v>DHARAPURAM-SVK TRADERS</v>
      </c>
      <c r="F79" s="21">
        <f ca="1"/>
        <v>4.2519999999999998</v>
      </c>
      <c r="G79" s="21">
        <f ca="1"/>
        <v>0</v>
      </c>
      <c r="H79" s="21">
        <f ca="1"/>
        <v>0</v>
      </c>
      <c r="I79" s="21">
        <f ca="1"/>
        <v>0</v>
      </c>
      <c r="J79" s="21">
        <f ca="1"/>
        <v>0</v>
      </c>
      <c r="K79" s="21">
        <f ca="1"/>
        <v>0</v>
      </c>
      <c r="L79" s="21">
        <f ca="1"/>
        <v>0</v>
      </c>
      <c r="M79" s="21">
        <f ca="1"/>
        <v>0</v>
      </c>
      <c r="N79" s="21">
        <f ca="1"/>
        <v>0</v>
      </c>
      <c r="O79" s="21">
        <f ca="1"/>
        <v>0</v>
      </c>
      <c r="P79" s="21">
        <f ca="1"/>
        <v>0</v>
      </c>
      <c r="Q79" s="21">
        <f ca="1"/>
        <v>0</v>
      </c>
      <c r="R79" s="21">
        <f ca="1"/>
        <v>0</v>
      </c>
      <c r="S79" s="21">
        <f ca="1"/>
        <v>0</v>
      </c>
      <c r="T79" s="21">
        <f ca="1"/>
        <v>0</v>
      </c>
      <c r="U79" s="21">
        <f ca="1"/>
        <v>0</v>
      </c>
      <c r="V79" s="21">
        <f ca="1"/>
        <v>0</v>
      </c>
      <c r="W79" s="21">
        <f ca="1"/>
        <v>0</v>
      </c>
      <c r="X79" s="21">
        <f ca="1"/>
        <v>0</v>
      </c>
      <c r="Y79" s="21">
        <f ca="1"/>
        <v>0</v>
      </c>
      <c r="Z79" s="21">
        <f ca="1"/>
        <v>0</v>
      </c>
      <c r="AA79" s="21">
        <f ca="1"/>
        <v>0</v>
      </c>
      <c r="AB79" s="21">
        <f ca="1"/>
        <v>0</v>
      </c>
      <c r="AC79" s="21">
        <f ca="1"/>
        <v>0</v>
      </c>
      <c r="AD79" s="21">
        <f ca="1"/>
        <v>0</v>
      </c>
      <c r="AE79" s="21">
        <f ca="1"/>
        <v>0</v>
      </c>
      <c r="AF79" s="21">
        <f ca="1"/>
        <v>0</v>
      </c>
      <c r="AG79" s="21">
        <f ca="1"/>
        <v>0</v>
      </c>
      <c r="AH79" s="21">
        <f ca="1"/>
        <v>0</v>
      </c>
      <c r="AI79" s="21">
        <f ca="1"/>
        <v>0</v>
      </c>
      <c r="AJ79" s="21">
        <f ca="1"/>
        <v>0</v>
      </c>
      <c r="AK79" s="21">
        <f ca="1"/>
        <v>0</v>
      </c>
      <c r="AL79" s="21">
        <f ca="1"/>
        <v>0</v>
      </c>
      <c r="AM79" s="21">
        <f ca="1"/>
        <v>0</v>
      </c>
      <c r="AN79" s="21">
        <f ca="1"/>
        <v>0</v>
      </c>
      <c r="AO79" s="21">
        <f ca="1"/>
        <v>0</v>
      </c>
      <c r="AP79" s="21">
        <f ca="1"/>
        <v>0</v>
      </c>
      <c r="AQ79" s="21">
        <f ca="1"/>
        <v>0</v>
      </c>
      <c r="AR79" s="21">
        <f ca="1"/>
        <v>0</v>
      </c>
      <c r="AS79" s="21">
        <f ca="1"/>
        <v>0</v>
      </c>
      <c r="AT79" s="21">
        <f ca="1"/>
        <v>0</v>
      </c>
      <c r="AU79" s="21">
        <f ca="1"/>
        <v>0</v>
      </c>
      <c r="AV79" s="21">
        <f ca="1"/>
        <v>0</v>
      </c>
      <c r="AW79" s="21">
        <f ca="1"/>
        <v>0</v>
      </c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</row>
    <row r="80" spans="2:79" x14ac:dyDescent="0.25">
      <c r="B80" s="19">
        <f ca="1"/>
        <v>0</v>
      </c>
      <c r="C80" s="21" t="str">
        <f ca="1"/>
        <v>79</v>
      </c>
      <c r="D80" s="21" t="str">
        <f ca="1"/>
        <v>SUN01143</v>
      </c>
      <c r="E80" s="21" t="str">
        <f ca="1"/>
        <v>BHUVANAGIRI KANI AGENCIES</v>
      </c>
      <c r="F80" s="21">
        <f ca="1"/>
        <v>4.069</v>
      </c>
      <c r="G80" s="21">
        <f ca="1"/>
        <v>0</v>
      </c>
      <c r="H80" s="21">
        <f ca="1"/>
        <v>0</v>
      </c>
      <c r="I80" s="21">
        <f ca="1"/>
        <v>16</v>
      </c>
      <c r="J80" s="21">
        <f ca="1"/>
        <v>0</v>
      </c>
      <c r="K80" s="21">
        <f ca="1"/>
        <v>0</v>
      </c>
      <c r="L80" s="21">
        <f ca="1"/>
        <v>16</v>
      </c>
      <c r="M80" s="21">
        <f ca="1"/>
        <v>0</v>
      </c>
      <c r="N80" s="21">
        <f ca="1"/>
        <v>0</v>
      </c>
      <c r="O80" s="21">
        <f ca="1"/>
        <v>0</v>
      </c>
      <c r="P80" s="21">
        <f ca="1"/>
        <v>0</v>
      </c>
      <c r="Q80" s="21">
        <f ca="1"/>
        <v>0</v>
      </c>
      <c r="R80" s="21">
        <f ca="1"/>
        <v>0</v>
      </c>
      <c r="S80" s="21">
        <f ca="1"/>
        <v>0</v>
      </c>
      <c r="T80" s="21">
        <f ca="1"/>
        <v>0</v>
      </c>
      <c r="U80" s="21">
        <f ca="1"/>
        <v>0</v>
      </c>
      <c r="V80" s="21">
        <f ca="1"/>
        <v>0</v>
      </c>
      <c r="W80" s="21">
        <f ca="1"/>
        <v>0</v>
      </c>
      <c r="X80" s="21">
        <f ca="1"/>
        <v>0</v>
      </c>
      <c r="Y80" s="21">
        <f ca="1"/>
        <v>0</v>
      </c>
      <c r="Z80" s="21">
        <f ca="1"/>
        <v>0</v>
      </c>
      <c r="AA80" s="21">
        <f ca="1"/>
        <v>0</v>
      </c>
      <c r="AB80" s="21">
        <f ca="1"/>
        <v>0</v>
      </c>
      <c r="AC80" s="21">
        <f ca="1"/>
        <v>0</v>
      </c>
      <c r="AD80" s="21">
        <f ca="1"/>
        <v>0</v>
      </c>
      <c r="AE80" s="21">
        <f ca="1"/>
        <v>0</v>
      </c>
      <c r="AF80" s="21">
        <f ca="1"/>
        <v>0</v>
      </c>
      <c r="AG80" s="21">
        <f ca="1"/>
        <v>0</v>
      </c>
      <c r="AH80" s="21">
        <f ca="1"/>
        <v>0</v>
      </c>
      <c r="AI80" s="21">
        <f ca="1"/>
        <v>0</v>
      </c>
      <c r="AJ80" s="21">
        <f ca="1"/>
        <v>0</v>
      </c>
      <c r="AK80" s="21">
        <f ca="1"/>
        <v>0</v>
      </c>
      <c r="AL80" s="21">
        <f ca="1"/>
        <v>0</v>
      </c>
      <c r="AM80" s="21">
        <f ca="1"/>
        <v>0</v>
      </c>
      <c r="AN80" s="21">
        <f ca="1"/>
        <v>52</v>
      </c>
      <c r="AO80" s="21">
        <f ca="1"/>
        <v>0</v>
      </c>
      <c r="AP80" s="21">
        <f ca="1"/>
        <v>0</v>
      </c>
      <c r="AQ80" s="21">
        <f ca="1"/>
        <v>0</v>
      </c>
      <c r="AR80" s="21">
        <f ca="1"/>
        <v>0</v>
      </c>
      <c r="AS80" s="21">
        <f ca="1"/>
        <v>0</v>
      </c>
      <c r="AT80" s="21">
        <f ca="1"/>
        <v>0</v>
      </c>
      <c r="AU80" s="21">
        <f ca="1"/>
        <v>0</v>
      </c>
      <c r="AV80" s="21">
        <f ca="1"/>
        <v>0</v>
      </c>
      <c r="AW80" s="21">
        <f ca="1"/>
        <v>0</v>
      </c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</row>
    <row r="81" spans="2:79" x14ac:dyDescent="0.25">
      <c r="B81" s="19">
        <f ca="1"/>
        <v>0</v>
      </c>
      <c r="C81" s="21" t="str">
        <f ca="1"/>
        <v>80</v>
      </c>
      <c r="D81" s="21" t="str">
        <f ca="1"/>
        <v>SUN03624</v>
      </c>
      <c r="E81" s="21" t="str">
        <f ca="1"/>
        <v>CHIDAMBARAM VISALAM TRADERS</v>
      </c>
      <c r="F81" s="21">
        <f ca="1"/>
        <v>2.6</v>
      </c>
      <c r="G81" s="21">
        <f ca="1"/>
        <v>0</v>
      </c>
      <c r="H81" s="21">
        <f ca="1"/>
        <v>0</v>
      </c>
      <c r="I81" s="21">
        <f ca="1"/>
        <v>0</v>
      </c>
      <c r="J81" s="21">
        <f ca="1"/>
        <v>0</v>
      </c>
      <c r="K81" s="21">
        <f ca="1"/>
        <v>0</v>
      </c>
      <c r="L81" s="21">
        <f ca="1"/>
        <v>0</v>
      </c>
      <c r="M81" s="21">
        <f ca="1"/>
        <v>0</v>
      </c>
      <c r="N81" s="21">
        <f ca="1"/>
        <v>0</v>
      </c>
      <c r="O81" s="21">
        <f ca="1"/>
        <v>0</v>
      </c>
      <c r="P81" s="21">
        <f ca="1"/>
        <v>0</v>
      </c>
      <c r="Q81" s="21">
        <f ca="1"/>
        <v>0</v>
      </c>
      <c r="R81" s="21">
        <f ca="1"/>
        <v>0</v>
      </c>
      <c r="S81" s="21">
        <f ca="1"/>
        <v>0</v>
      </c>
      <c r="T81" s="21">
        <f ca="1"/>
        <v>0</v>
      </c>
      <c r="U81" s="21">
        <f ca="1"/>
        <v>0</v>
      </c>
      <c r="V81" s="21">
        <f ca="1"/>
        <v>0</v>
      </c>
      <c r="W81" s="21">
        <f ca="1"/>
        <v>0</v>
      </c>
      <c r="X81" s="21">
        <f ca="1"/>
        <v>0</v>
      </c>
      <c r="Y81" s="21">
        <f ca="1"/>
        <v>0</v>
      </c>
      <c r="Z81" s="21">
        <f ca="1"/>
        <v>0</v>
      </c>
      <c r="AA81" s="21">
        <f ca="1"/>
        <v>0</v>
      </c>
      <c r="AB81" s="21">
        <f ca="1"/>
        <v>0</v>
      </c>
      <c r="AC81" s="21">
        <f ca="1"/>
        <v>0</v>
      </c>
      <c r="AD81" s="21">
        <f ca="1"/>
        <v>0</v>
      </c>
      <c r="AE81" s="21">
        <f ca="1"/>
        <v>0</v>
      </c>
      <c r="AF81" s="21">
        <f ca="1"/>
        <v>0</v>
      </c>
      <c r="AG81" s="21">
        <f ca="1"/>
        <v>0</v>
      </c>
      <c r="AH81" s="21">
        <f ca="1"/>
        <v>0</v>
      </c>
      <c r="AI81" s="21">
        <f ca="1"/>
        <v>0</v>
      </c>
      <c r="AJ81" s="21">
        <f ca="1"/>
        <v>0</v>
      </c>
      <c r="AK81" s="21">
        <f ca="1"/>
        <v>0</v>
      </c>
      <c r="AL81" s="21">
        <f ca="1"/>
        <v>0</v>
      </c>
      <c r="AM81" s="21">
        <f ca="1"/>
        <v>0</v>
      </c>
      <c r="AN81" s="21">
        <f ca="1"/>
        <v>30</v>
      </c>
      <c r="AO81" s="21">
        <f ca="1"/>
        <v>0</v>
      </c>
      <c r="AP81" s="21">
        <f ca="1"/>
        <v>0</v>
      </c>
      <c r="AQ81" s="21">
        <f ca="1"/>
        <v>0</v>
      </c>
      <c r="AR81" s="21">
        <f ca="1"/>
        <v>0</v>
      </c>
      <c r="AS81" s="21">
        <f ca="1"/>
        <v>0</v>
      </c>
      <c r="AT81" s="21">
        <f ca="1"/>
        <v>0</v>
      </c>
      <c r="AU81" s="21">
        <f ca="1"/>
        <v>0</v>
      </c>
      <c r="AV81" s="21">
        <f ca="1"/>
        <v>0</v>
      </c>
      <c r="AW81" s="21">
        <f ca="1"/>
        <v>0</v>
      </c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</row>
    <row r="82" spans="2:79" x14ac:dyDescent="0.25">
      <c r="B82" s="19">
        <f ca="1"/>
        <v>0</v>
      </c>
      <c r="C82" s="21" t="str">
        <f ca="1"/>
        <v>81</v>
      </c>
      <c r="D82" s="21" t="str">
        <f ca="1"/>
        <v>SUN06750</v>
      </c>
      <c r="E82" s="21" t="str">
        <f ca="1"/>
        <v>JAYANKONDAM-SOWDAMBIKAA VIDYALAYA</v>
      </c>
      <c r="F82" s="21">
        <f ca="1"/>
        <v>0</v>
      </c>
      <c r="G82" s="21">
        <f ca="1"/>
        <v>0</v>
      </c>
      <c r="H82" s="21">
        <f ca="1"/>
        <v>0</v>
      </c>
      <c r="I82" s="21">
        <f ca="1"/>
        <v>0</v>
      </c>
      <c r="J82" s="21">
        <f ca="1"/>
        <v>0</v>
      </c>
      <c r="K82" s="21">
        <f ca="1"/>
        <v>0</v>
      </c>
      <c r="L82" s="21">
        <f ca="1"/>
        <v>0</v>
      </c>
      <c r="M82" s="21">
        <f ca="1"/>
        <v>0</v>
      </c>
      <c r="N82" s="21">
        <f ca="1"/>
        <v>0</v>
      </c>
      <c r="O82" s="21">
        <f ca="1"/>
        <v>0</v>
      </c>
      <c r="P82" s="21">
        <f ca="1"/>
        <v>0</v>
      </c>
      <c r="Q82" s="21">
        <f ca="1"/>
        <v>0</v>
      </c>
      <c r="R82" s="21">
        <f ca="1"/>
        <v>0</v>
      </c>
      <c r="S82" s="21">
        <f ca="1"/>
        <v>0</v>
      </c>
      <c r="T82" s="21">
        <f ca="1"/>
        <v>0</v>
      </c>
      <c r="U82" s="21">
        <f ca="1"/>
        <v>0</v>
      </c>
      <c r="V82" s="21">
        <f ca="1"/>
        <v>0</v>
      </c>
      <c r="W82" s="21">
        <f ca="1"/>
        <v>0</v>
      </c>
      <c r="X82" s="21">
        <f ca="1"/>
        <v>0</v>
      </c>
      <c r="Y82" s="21">
        <f ca="1"/>
        <v>0</v>
      </c>
      <c r="Z82" s="21">
        <f ca="1"/>
        <v>0</v>
      </c>
      <c r="AA82" s="21">
        <f ca="1"/>
        <v>0</v>
      </c>
      <c r="AB82" s="21">
        <f ca="1"/>
        <v>0</v>
      </c>
      <c r="AC82" s="21">
        <f ca="1"/>
        <v>0</v>
      </c>
      <c r="AD82" s="21">
        <f ca="1"/>
        <v>0</v>
      </c>
      <c r="AE82" s="21">
        <f ca="1"/>
        <v>0</v>
      </c>
      <c r="AF82" s="21">
        <f ca="1"/>
        <v>0</v>
      </c>
      <c r="AG82" s="21">
        <f ca="1"/>
        <v>0</v>
      </c>
      <c r="AH82" s="21">
        <f ca="1"/>
        <v>0</v>
      </c>
      <c r="AI82" s="21">
        <f ca="1"/>
        <v>0</v>
      </c>
      <c r="AJ82" s="21">
        <f ca="1"/>
        <v>0</v>
      </c>
      <c r="AK82" s="21">
        <f ca="1"/>
        <v>0</v>
      </c>
      <c r="AL82" s="21">
        <f ca="1"/>
        <v>0</v>
      </c>
      <c r="AM82" s="21">
        <f ca="1"/>
        <v>0</v>
      </c>
      <c r="AN82" s="21">
        <f ca="1"/>
        <v>0</v>
      </c>
      <c r="AO82" s="21">
        <f ca="1"/>
        <v>0</v>
      </c>
      <c r="AP82" s="21">
        <f ca="1"/>
        <v>0</v>
      </c>
      <c r="AQ82" s="21">
        <f ca="1"/>
        <v>0</v>
      </c>
      <c r="AR82" s="21">
        <f ca="1"/>
        <v>0</v>
      </c>
      <c r="AS82" s="21">
        <f ca="1"/>
        <v>0</v>
      </c>
      <c r="AT82" s="21">
        <f ca="1"/>
        <v>0</v>
      </c>
      <c r="AU82" s="21">
        <f ca="1"/>
        <v>0</v>
      </c>
      <c r="AV82" s="21">
        <f ca="1"/>
        <v>0</v>
      </c>
      <c r="AW82" s="21">
        <f ca="1"/>
        <v>0</v>
      </c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</row>
    <row r="83" spans="2:79" x14ac:dyDescent="0.25">
      <c r="B83" s="19">
        <f ca="1"/>
        <v>0</v>
      </c>
      <c r="C83" s="21" t="str">
        <f ca="1"/>
        <v>82</v>
      </c>
      <c r="D83" s="21" t="str">
        <f ca="1"/>
        <v>SUN06711</v>
      </c>
      <c r="E83" s="21" t="str">
        <f ca="1"/>
        <v>VIRUDHACHALAM-KUMARAN TRADERS</v>
      </c>
      <c r="F83" s="21">
        <f ca="1"/>
        <v>0</v>
      </c>
      <c r="G83" s="21">
        <f ca="1"/>
        <v>0</v>
      </c>
      <c r="H83" s="21">
        <f ca="1"/>
        <v>0</v>
      </c>
      <c r="I83" s="21">
        <f ca="1"/>
        <v>0</v>
      </c>
      <c r="J83" s="21">
        <f ca="1"/>
        <v>0</v>
      </c>
      <c r="K83" s="21">
        <f ca="1"/>
        <v>0</v>
      </c>
      <c r="L83" s="21">
        <f ca="1"/>
        <v>0</v>
      </c>
      <c r="M83" s="21">
        <f ca="1"/>
        <v>0</v>
      </c>
      <c r="N83" s="21">
        <f ca="1"/>
        <v>0</v>
      </c>
      <c r="O83" s="21">
        <f ca="1"/>
        <v>0</v>
      </c>
      <c r="P83" s="21">
        <f ca="1"/>
        <v>0</v>
      </c>
      <c r="Q83" s="21">
        <f ca="1"/>
        <v>0</v>
      </c>
      <c r="R83" s="21">
        <f ca="1"/>
        <v>0</v>
      </c>
      <c r="S83" s="21">
        <f ca="1"/>
        <v>0</v>
      </c>
      <c r="T83" s="21">
        <f ca="1"/>
        <v>0</v>
      </c>
      <c r="U83" s="21">
        <f ca="1"/>
        <v>0</v>
      </c>
      <c r="V83" s="21">
        <f ca="1"/>
        <v>0</v>
      </c>
      <c r="W83" s="21">
        <f ca="1"/>
        <v>0</v>
      </c>
      <c r="X83" s="21">
        <f ca="1"/>
        <v>0</v>
      </c>
      <c r="Y83" s="21">
        <f ca="1"/>
        <v>0</v>
      </c>
      <c r="Z83" s="21">
        <f ca="1"/>
        <v>0</v>
      </c>
      <c r="AA83" s="21">
        <f ca="1"/>
        <v>0</v>
      </c>
      <c r="AB83" s="21">
        <f ca="1"/>
        <v>0</v>
      </c>
      <c r="AC83" s="21">
        <f ca="1"/>
        <v>0</v>
      </c>
      <c r="AD83" s="21">
        <f ca="1"/>
        <v>0</v>
      </c>
      <c r="AE83" s="21">
        <f ca="1"/>
        <v>0</v>
      </c>
      <c r="AF83" s="21">
        <f ca="1"/>
        <v>0</v>
      </c>
      <c r="AG83" s="21">
        <f ca="1"/>
        <v>0</v>
      </c>
      <c r="AH83" s="21">
        <f ca="1"/>
        <v>0</v>
      </c>
      <c r="AI83" s="21">
        <f ca="1"/>
        <v>0</v>
      </c>
      <c r="AJ83" s="21">
        <f ca="1"/>
        <v>0</v>
      </c>
      <c r="AK83" s="21">
        <f ca="1"/>
        <v>0</v>
      </c>
      <c r="AL83" s="21">
        <f ca="1"/>
        <v>0</v>
      </c>
      <c r="AM83" s="21">
        <f ca="1"/>
        <v>0</v>
      </c>
      <c r="AN83" s="21">
        <f ca="1"/>
        <v>0</v>
      </c>
      <c r="AO83" s="21">
        <f ca="1"/>
        <v>0</v>
      </c>
      <c r="AP83" s="21">
        <f ca="1"/>
        <v>0</v>
      </c>
      <c r="AQ83" s="21">
        <f ca="1"/>
        <v>0</v>
      </c>
      <c r="AR83" s="21">
        <f ca="1"/>
        <v>0</v>
      </c>
      <c r="AS83" s="21">
        <f ca="1"/>
        <v>0</v>
      </c>
      <c r="AT83" s="21">
        <f ca="1"/>
        <v>0</v>
      </c>
      <c r="AU83" s="21">
        <f ca="1"/>
        <v>0</v>
      </c>
      <c r="AV83" s="21">
        <f ca="1"/>
        <v>0</v>
      </c>
      <c r="AW83" s="21">
        <f ca="1"/>
        <v>0</v>
      </c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</row>
    <row r="84" spans="2:79" x14ac:dyDescent="0.25">
      <c r="B84" s="19">
        <f ca="1"/>
        <v>0</v>
      </c>
      <c r="C84" s="21" t="str">
        <f ca="1"/>
        <v>83</v>
      </c>
      <c r="D84" s="21" t="str">
        <f ca="1"/>
        <v>SUN02359</v>
      </c>
      <c r="E84" s="21" t="str">
        <f ca="1"/>
        <v>KATTUMANNARKOIL HAJABAWA SWEETS &amp; BAKERY (LALPET)</v>
      </c>
      <c r="F84" s="21">
        <f ca="1"/>
        <v>0</v>
      </c>
      <c r="G84" s="21">
        <f ca="1"/>
        <v>0</v>
      </c>
      <c r="H84" s="21">
        <f ca="1"/>
        <v>0</v>
      </c>
      <c r="I84" s="21">
        <f ca="1"/>
        <v>0</v>
      </c>
      <c r="J84" s="21">
        <f ca="1"/>
        <v>0</v>
      </c>
      <c r="K84" s="21">
        <f ca="1"/>
        <v>0</v>
      </c>
      <c r="L84" s="21">
        <f ca="1"/>
        <v>0</v>
      </c>
      <c r="M84" s="21">
        <f ca="1"/>
        <v>0</v>
      </c>
      <c r="N84" s="21">
        <f ca="1"/>
        <v>0</v>
      </c>
      <c r="O84" s="21">
        <f ca="1"/>
        <v>0</v>
      </c>
      <c r="P84" s="21">
        <f ca="1"/>
        <v>0</v>
      </c>
      <c r="Q84" s="21">
        <f ca="1"/>
        <v>0</v>
      </c>
      <c r="R84" s="21">
        <f ca="1"/>
        <v>0</v>
      </c>
      <c r="S84" s="21">
        <f ca="1"/>
        <v>0</v>
      </c>
      <c r="T84" s="21">
        <f ca="1"/>
        <v>0</v>
      </c>
      <c r="U84" s="21">
        <f ca="1"/>
        <v>0</v>
      </c>
      <c r="V84" s="21">
        <f ca="1"/>
        <v>0</v>
      </c>
      <c r="W84" s="21">
        <f ca="1"/>
        <v>0</v>
      </c>
      <c r="X84" s="21">
        <f ca="1"/>
        <v>0</v>
      </c>
      <c r="Y84" s="21">
        <f ca="1"/>
        <v>0</v>
      </c>
      <c r="Z84" s="21">
        <f ca="1"/>
        <v>0</v>
      </c>
      <c r="AA84" s="21">
        <f ca="1"/>
        <v>0</v>
      </c>
      <c r="AB84" s="21">
        <f ca="1"/>
        <v>0</v>
      </c>
      <c r="AC84" s="21">
        <f ca="1"/>
        <v>0</v>
      </c>
      <c r="AD84" s="21">
        <f ca="1"/>
        <v>0</v>
      </c>
      <c r="AE84" s="21">
        <f ca="1"/>
        <v>0</v>
      </c>
      <c r="AF84" s="21">
        <f ca="1"/>
        <v>0</v>
      </c>
      <c r="AG84" s="21">
        <f ca="1"/>
        <v>0</v>
      </c>
      <c r="AH84" s="21">
        <f ca="1"/>
        <v>0</v>
      </c>
      <c r="AI84" s="21">
        <f ca="1"/>
        <v>0</v>
      </c>
      <c r="AJ84" s="21">
        <f ca="1"/>
        <v>0</v>
      </c>
      <c r="AK84" s="21">
        <f ca="1"/>
        <v>0</v>
      </c>
      <c r="AL84" s="21">
        <f ca="1"/>
        <v>0</v>
      </c>
      <c r="AM84" s="21">
        <f ca="1"/>
        <v>0</v>
      </c>
      <c r="AN84" s="21">
        <f ca="1"/>
        <v>0</v>
      </c>
      <c r="AO84" s="21">
        <f ca="1"/>
        <v>0</v>
      </c>
      <c r="AP84" s="21">
        <f ca="1"/>
        <v>0</v>
      </c>
      <c r="AQ84" s="21">
        <f ca="1"/>
        <v>0</v>
      </c>
      <c r="AR84" s="21">
        <f ca="1"/>
        <v>0</v>
      </c>
      <c r="AS84" s="21">
        <f ca="1"/>
        <v>0</v>
      </c>
      <c r="AT84" s="21">
        <f ca="1"/>
        <v>0</v>
      </c>
      <c r="AU84" s="21">
        <f ca="1"/>
        <v>0</v>
      </c>
      <c r="AV84" s="21">
        <f ca="1"/>
        <v>0</v>
      </c>
      <c r="AW84" s="21">
        <f ca="1"/>
        <v>0</v>
      </c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</row>
    <row r="85" spans="2:79" x14ac:dyDescent="0.25">
      <c r="B85" s="19">
        <f ca="1"/>
        <v>0</v>
      </c>
      <c r="C85" s="21" t="str">
        <f ca="1"/>
        <v>84</v>
      </c>
      <c r="D85" s="21" t="str">
        <f ca="1"/>
        <v>SUN07171</v>
      </c>
      <c r="E85" s="21" t="str">
        <f ca="1"/>
        <v>NEYVELI-VENKATESWARA BAKERY &amp; SWEETS</v>
      </c>
      <c r="F85" s="21">
        <f ca="1"/>
        <v>0</v>
      </c>
      <c r="G85" s="21">
        <f ca="1"/>
        <v>0</v>
      </c>
      <c r="H85" s="21">
        <f ca="1"/>
        <v>0</v>
      </c>
      <c r="I85" s="21">
        <f ca="1"/>
        <v>0</v>
      </c>
      <c r="J85" s="21">
        <f ca="1"/>
        <v>0</v>
      </c>
      <c r="K85" s="21">
        <f ca="1"/>
        <v>0</v>
      </c>
      <c r="L85" s="21">
        <f ca="1"/>
        <v>0</v>
      </c>
      <c r="M85" s="21">
        <f ca="1"/>
        <v>0</v>
      </c>
      <c r="N85" s="21">
        <f ca="1"/>
        <v>0</v>
      </c>
      <c r="O85" s="21">
        <f ca="1"/>
        <v>0</v>
      </c>
      <c r="P85" s="21">
        <f ca="1"/>
        <v>0</v>
      </c>
      <c r="Q85" s="21">
        <f ca="1"/>
        <v>0</v>
      </c>
      <c r="R85" s="21">
        <f ca="1"/>
        <v>0</v>
      </c>
      <c r="S85" s="21">
        <f ca="1"/>
        <v>0</v>
      </c>
      <c r="T85" s="21">
        <f ca="1"/>
        <v>0</v>
      </c>
      <c r="U85" s="21">
        <f ca="1"/>
        <v>0</v>
      </c>
      <c r="V85" s="21">
        <f ca="1"/>
        <v>0</v>
      </c>
      <c r="W85" s="21">
        <f ca="1"/>
        <v>0</v>
      </c>
      <c r="X85" s="21">
        <f ca="1"/>
        <v>0</v>
      </c>
      <c r="Y85" s="21">
        <f ca="1"/>
        <v>0</v>
      </c>
      <c r="Z85" s="21">
        <f ca="1"/>
        <v>0</v>
      </c>
      <c r="AA85" s="21">
        <f ca="1"/>
        <v>0</v>
      </c>
      <c r="AB85" s="21">
        <f ca="1"/>
        <v>0</v>
      </c>
      <c r="AC85" s="21">
        <f ca="1"/>
        <v>0</v>
      </c>
      <c r="AD85" s="21">
        <f ca="1"/>
        <v>0</v>
      </c>
      <c r="AE85" s="21">
        <f ca="1"/>
        <v>0</v>
      </c>
      <c r="AF85" s="21">
        <f ca="1"/>
        <v>0</v>
      </c>
      <c r="AG85" s="21">
        <f ca="1"/>
        <v>0</v>
      </c>
      <c r="AH85" s="21">
        <f ca="1"/>
        <v>0</v>
      </c>
      <c r="AI85" s="21">
        <f ca="1"/>
        <v>0</v>
      </c>
      <c r="AJ85" s="21">
        <f ca="1"/>
        <v>0</v>
      </c>
      <c r="AK85" s="21">
        <f ca="1"/>
        <v>0</v>
      </c>
      <c r="AL85" s="21">
        <f ca="1"/>
        <v>0</v>
      </c>
      <c r="AM85" s="21">
        <f ca="1"/>
        <v>0</v>
      </c>
      <c r="AN85" s="21">
        <f ca="1"/>
        <v>0</v>
      </c>
      <c r="AO85" s="21">
        <f ca="1"/>
        <v>0</v>
      </c>
      <c r="AP85" s="21">
        <f ca="1"/>
        <v>0</v>
      </c>
      <c r="AQ85" s="21">
        <f ca="1"/>
        <v>0</v>
      </c>
      <c r="AR85" s="21">
        <f ca="1"/>
        <v>0</v>
      </c>
      <c r="AS85" s="21">
        <f ca="1"/>
        <v>0</v>
      </c>
      <c r="AT85" s="21">
        <f ca="1"/>
        <v>0</v>
      </c>
      <c r="AU85" s="21">
        <f ca="1"/>
        <v>0</v>
      </c>
      <c r="AV85" s="21">
        <f ca="1"/>
        <v>0</v>
      </c>
      <c r="AW85" s="21">
        <f ca="1"/>
        <v>0</v>
      </c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</row>
    <row r="86" spans="2:79" x14ac:dyDescent="0.25">
      <c r="B86" s="19">
        <f ca="1"/>
        <v>0</v>
      </c>
      <c r="C86" s="21" t="str">
        <f ca="1"/>
        <v>85</v>
      </c>
      <c r="D86" s="21" t="str">
        <f ca="1"/>
        <v>SUN03130</v>
      </c>
      <c r="E86" s="21" t="str">
        <f ca="1"/>
        <v>CHIDAMBARAM HOTEL SARADHARAM</v>
      </c>
      <c r="F86" s="21">
        <f ca="1"/>
        <v>0</v>
      </c>
      <c r="G86" s="21">
        <f ca="1"/>
        <v>0</v>
      </c>
      <c r="H86" s="21">
        <f ca="1"/>
        <v>0</v>
      </c>
      <c r="I86" s="21">
        <f ca="1"/>
        <v>0</v>
      </c>
      <c r="J86" s="21">
        <f ca="1"/>
        <v>0</v>
      </c>
      <c r="K86" s="21">
        <f ca="1"/>
        <v>0</v>
      </c>
      <c r="L86" s="21">
        <f ca="1"/>
        <v>0</v>
      </c>
      <c r="M86" s="21">
        <f ca="1"/>
        <v>0</v>
      </c>
      <c r="N86" s="21">
        <f ca="1"/>
        <v>0</v>
      </c>
      <c r="O86" s="21">
        <f ca="1"/>
        <v>0</v>
      </c>
      <c r="P86" s="21">
        <f ca="1"/>
        <v>0</v>
      </c>
      <c r="Q86" s="21">
        <f ca="1"/>
        <v>0</v>
      </c>
      <c r="R86" s="21">
        <f ca="1"/>
        <v>0</v>
      </c>
      <c r="S86" s="21">
        <f ca="1"/>
        <v>0</v>
      </c>
      <c r="T86" s="21">
        <f ca="1"/>
        <v>0</v>
      </c>
      <c r="U86" s="21">
        <f ca="1"/>
        <v>0</v>
      </c>
      <c r="V86" s="21">
        <f ca="1"/>
        <v>0</v>
      </c>
      <c r="W86" s="21">
        <f ca="1"/>
        <v>0</v>
      </c>
      <c r="X86" s="21">
        <f ca="1"/>
        <v>0</v>
      </c>
      <c r="Y86" s="21">
        <f ca="1"/>
        <v>0</v>
      </c>
      <c r="Z86" s="21">
        <f ca="1"/>
        <v>0</v>
      </c>
      <c r="AA86" s="21">
        <f ca="1"/>
        <v>0</v>
      </c>
      <c r="AB86" s="21">
        <f ca="1"/>
        <v>0</v>
      </c>
      <c r="AC86" s="21">
        <f ca="1"/>
        <v>0</v>
      </c>
      <c r="AD86" s="21">
        <f ca="1"/>
        <v>0</v>
      </c>
      <c r="AE86" s="21">
        <f ca="1"/>
        <v>0</v>
      </c>
      <c r="AF86" s="21">
        <f ca="1"/>
        <v>0</v>
      </c>
      <c r="AG86" s="21">
        <f ca="1"/>
        <v>0</v>
      </c>
      <c r="AH86" s="21">
        <f ca="1"/>
        <v>0</v>
      </c>
      <c r="AI86" s="21">
        <f ca="1"/>
        <v>0</v>
      </c>
      <c r="AJ86" s="21">
        <f ca="1"/>
        <v>0</v>
      </c>
      <c r="AK86" s="21">
        <f ca="1"/>
        <v>0</v>
      </c>
      <c r="AL86" s="21">
        <f ca="1"/>
        <v>0</v>
      </c>
      <c r="AM86" s="21">
        <f ca="1"/>
        <v>0</v>
      </c>
      <c r="AN86" s="21">
        <f ca="1"/>
        <v>0</v>
      </c>
      <c r="AO86" s="21">
        <f ca="1"/>
        <v>0</v>
      </c>
      <c r="AP86" s="21">
        <f ca="1"/>
        <v>0</v>
      </c>
      <c r="AQ86" s="21">
        <f ca="1"/>
        <v>0</v>
      </c>
      <c r="AR86" s="21">
        <f ca="1"/>
        <v>0</v>
      </c>
      <c r="AS86" s="21">
        <f ca="1"/>
        <v>0</v>
      </c>
      <c r="AT86" s="21">
        <f ca="1"/>
        <v>0</v>
      </c>
      <c r="AU86" s="21">
        <f ca="1"/>
        <v>0</v>
      </c>
      <c r="AV86" s="21">
        <f ca="1"/>
        <v>0</v>
      </c>
      <c r="AW86" s="21">
        <f ca="1"/>
        <v>0</v>
      </c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</row>
    <row r="87" spans="2:79" x14ac:dyDescent="0.25">
      <c r="B87" s="19">
        <f ca="1"/>
        <v>0</v>
      </c>
      <c r="C87" s="21" t="str">
        <f ca="1"/>
        <v>86</v>
      </c>
      <c r="D87" s="21" t="str">
        <f ca="1"/>
        <v>SUN01857</v>
      </c>
      <c r="E87" s="21" t="str">
        <f ca="1"/>
        <v>TCY AVENUE SUPERMARTS LIMITED</v>
      </c>
      <c r="F87" s="21">
        <f ca="1"/>
        <v>6.6260000000000003</v>
      </c>
      <c r="G87" s="21">
        <f ca="1"/>
        <v>0</v>
      </c>
      <c r="H87" s="21">
        <f ca="1"/>
        <v>0</v>
      </c>
      <c r="I87" s="21">
        <f ca="1"/>
        <v>21</v>
      </c>
      <c r="J87" s="21">
        <f ca="1"/>
        <v>15</v>
      </c>
      <c r="K87" s="21">
        <f ca="1"/>
        <v>0</v>
      </c>
      <c r="L87" s="21">
        <f ca="1"/>
        <v>6</v>
      </c>
      <c r="M87" s="21">
        <f ca="1"/>
        <v>0</v>
      </c>
      <c r="N87" s="21">
        <f ca="1"/>
        <v>0</v>
      </c>
      <c r="O87" s="21">
        <f ca="1"/>
        <v>0</v>
      </c>
      <c r="P87" s="21">
        <f ca="1"/>
        <v>0</v>
      </c>
      <c r="Q87" s="21">
        <f ca="1"/>
        <v>0</v>
      </c>
      <c r="R87" s="21">
        <f ca="1"/>
        <v>0</v>
      </c>
      <c r="S87" s="21">
        <f ca="1"/>
        <v>0</v>
      </c>
      <c r="T87" s="21">
        <f ca="1"/>
        <v>0</v>
      </c>
      <c r="U87" s="21">
        <f ca="1"/>
        <v>0</v>
      </c>
      <c r="V87" s="21">
        <f ca="1"/>
        <v>0</v>
      </c>
      <c r="W87" s="21">
        <f ca="1"/>
        <v>0</v>
      </c>
      <c r="X87" s="21">
        <f ca="1"/>
        <v>0</v>
      </c>
      <c r="Y87" s="21">
        <f ca="1"/>
        <v>0</v>
      </c>
      <c r="Z87" s="21">
        <f ca="1"/>
        <v>0</v>
      </c>
      <c r="AA87" s="21">
        <f ca="1"/>
        <v>0</v>
      </c>
      <c r="AB87" s="21">
        <f ca="1"/>
        <v>0</v>
      </c>
      <c r="AC87" s="21">
        <f ca="1"/>
        <v>0</v>
      </c>
      <c r="AD87" s="21">
        <f ca="1"/>
        <v>0</v>
      </c>
      <c r="AE87" s="21">
        <f ca="1"/>
        <v>0</v>
      </c>
      <c r="AF87" s="21">
        <f ca="1"/>
        <v>0</v>
      </c>
      <c r="AG87" s="21">
        <f ca="1"/>
        <v>0</v>
      </c>
      <c r="AH87" s="21">
        <f ca="1"/>
        <v>0</v>
      </c>
      <c r="AI87" s="21">
        <f ca="1"/>
        <v>0</v>
      </c>
      <c r="AJ87" s="21">
        <f ca="1"/>
        <v>0</v>
      </c>
      <c r="AK87" s="21">
        <f ca="1"/>
        <v>0</v>
      </c>
      <c r="AL87" s="21">
        <f ca="1"/>
        <v>0</v>
      </c>
      <c r="AM87" s="21">
        <f ca="1"/>
        <v>0</v>
      </c>
      <c r="AN87" s="21">
        <f ca="1"/>
        <v>0</v>
      </c>
      <c r="AO87" s="21">
        <f ca="1"/>
        <v>0</v>
      </c>
      <c r="AP87" s="21">
        <f ca="1"/>
        <v>0</v>
      </c>
      <c r="AQ87" s="21">
        <f ca="1"/>
        <v>0</v>
      </c>
      <c r="AR87" s="21">
        <f ca="1"/>
        <v>0</v>
      </c>
      <c r="AS87" s="21">
        <f ca="1"/>
        <v>0</v>
      </c>
      <c r="AT87" s="21">
        <f ca="1"/>
        <v>0</v>
      </c>
      <c r="AU87" s="21">
        <f ca="1"/>
        <v>0</v>
      </c>
      <c r="AV87" s="21">
        <f ca="1"/>
        <v>0</v>
      </c>
      <c r="AW87" s="21">
        <f ca="1"/>
        <v>0</v>
      </c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</row>
    <row r="88" spans="2:79" x14ac:dyDescent="0.25">
      <c r="B88" s="19">
        <f ca="1"/>
        <v>0</v>
      </c>
      <c r="C88" s="21" t="str">
        <f ca="1"/>
        <v>87</v>
      </c>
      <c r="D88" s="21" t="str">
        <f ca="1"/>
        <v>SUN07664</v>
      </c>
      <c r="E88" s="21" t="str">
        <f ca="1"/>
        <v>TRICHY-MURALI AGENCIES</v>
      </c>
      <c r="F88" s="21">
        <f ca="1"/>
        <v>0.48599999999999999</v>
      </c>
      <c r="G88" s="21">
        <f ca="1"/>
        <v>0</v>
      </c>
      <c r="H88" s="21">
        <f ca="1"/>
        <v>0</v>
      </c>
      <c r="I88" s="21">
        <f ca="1"/>
        <v>25</v>
      </c>
      <c r="J88" s="21">
        <f ca="1"/>
        <v>25</v>
      </c>
      <c r="K88" s="21">
        <f ca="1"/>
        <v>0</v>
      </c>
      <c r="L88" s="21">
        <f ca="1"/>
        <v>0</v>
      </c>
      <c r="M88" s="21">
        <f ca="1"/>
        <v>0</v>
      </c>
      <c r="N88" s="21">
        <f ca="1"/>
        <v>0</v>
      </c>
      <c r="O88" s="21">
        <f ca="1"/>
        <v>0</v>
      </c>
      <c r="P88" s="21">
        <f ca="1"/>
        <v>0</v>
      </c>
      <c r="Q88" s="21">
        <f ca="1"/>
        <v>0</v>
      </c>
      <c r="R88" s="21">
        <f ca="1"/>
        <v>0</v>
      </c>
      <c r="S88" s="21">
        <f ca="1"/>
        <v>0</v>
      </c>
      <c r="T88" s="21">
        <f ca="1"/>
        <v>0</v>
      </c>
      <c r="U88" s="21">
        <f ca="1"/>
        <v>0</v>
      </c>
      <c r="V88" s="21">
        <f ca="1"/>
        <v>0</v>
      </c>
      <c r="W88" s="21">
        <f ca="1"/>
        <v>0</v>
      </c>
      <c r="X88" s="21">
        <f ca="1"/>
        <v>0</v>
      </c>
      <c r="Y88" s="21">
        <f ca="1"/>
        <v>0</v>
      </c>
      <c r="Z88" s="21">
        <f ca="1"/>
        <v>0</v>
      </c>
      <c r="AA88" s="21">
        <f ca="1"/>
        <v>0</v>
      </c>
      <c r="AB88" s="21">
        <f ca="1"/>
        <v>0</v>
      </c>
      <c r="AC88" s="21">
        <f ca="1"/>
        <v>0</v>
      </c>
      <c r="AD88" s="21">
        <f ca="1"/>
        <v>0</v>
      </c>
      <c r="AE88" s="21">
        <f ca="1"/>
        <v>0</v>
      </c>
      <c r="AF88" s="21">
        <f ca="1"/>
        <v>0</v>
      </c>
      <c r="AG88" s="21">
        <f ca="1"/>
        <v>0</v>
      </c>
      <c r="AH88" s="21">
        <f ca="1"/>
        <v>0</v>
      </c>
      <c r="AI88" s="21">
        <f ca="1"/>
        <v>0</v>
      </c>
      <c r="AJ88" s="21">
        <f ca="1"/>
        <v>0</v>
      </c>
      <c r="AK88" s="21">
        <f ca="1"/>
        <v>0</v>
      </c>
      <c r="AL88" s="21">
        <f ca="1"/>
        <v>0</v>
      </c>
      <c r="AM88" s="21">
        <f ca="1"/>
        <v>0</v>
      </c>
      <c r="AN88" s="21">
        <f ca="1"/>
        <v>0</v>
      </c>
      <c r="AO88" s="21">
        <f ca="1"/>
        <v>0</v>
      </c>
      <c r="AP88" s="21">
        <f ca="1"/>
        <v>0</v>
      </c>
      <c r="AQ88" s="21">
        <f ca="1"/>
        <v>0</v>
      </c>
      <c r="AR88" s="21">
        <f ca="1"/>
        <v>0</v>
      </c>
      <c r="AS88" s="21">
        <f ca="1"/>
        <v>0</v>
      </c>
      <c r="AT88" s="21">
        <f ca="1"/>
        <v>0</v>
      </c>
      <c r="AU88" s="21">
        <f ca="1"/>
        <v>0</v>
      </c>
      <c r="AV88" s="21">
        <f ca="1"/>
        <v>0</v>
      </c>
      <c r="AW88" s="21">
        <f ca="1"/>
        <v>0</v>
      </c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</row>
    <row r="89" spans="2:79" x14ac:dyDescent="0.25">
      <c r="B89" s="19">
        <f ca="1"/>
        <v>0</v>
      </c>
      <c r="C89" s="21" t="str">
        <f ca="1"/>
        <v>88</v>
      </c>
      <c r="D89" s="21" t="str">
        <f ca="1"/>
        <v>SUN06946</v>
      </c>
      <c r="E89" s="21" t="str">
        <f ca="1"/>
        <v>MANAPPARAI-JAYARANI AGENCIES</v>
      </c>
      <c r="F89" s="21">
        <f ca="1"/>
        <v>2.758</v>
      </c>
      <c r="G89" s="21">
        <f ca="1"/>
        <v>0</v>
      </c>
      <c r="H89" s="21">
        <f ca="1"/>
        <v>0</v>
      </c>
      <c r="I89" s="21">
        <f ca="1"/>
        <v>0</v>
      </c>
      <c r="J89" s="21">
        <f ca="1"/>
        <v>0</v>
      </c>
      <c r="K89" s="21">
        <f ca="1"/>
        <v>0</v>
      </c>
      <c r="L89" s="21">
        <f ca="1"/>
        <v>0</v>
      </c>
      <c r="M89" s="21">
        <f ca="1"/>
        <v>0</v>
      </c>
      <c r="N89" s="21">
        <f ca="1"/>
        <v>0</v>
      </c>
      <c r="O89" s="21">
        <f ca="1"/>
        <v>0</v>
      </c>
      <c r="P89" s="21">
        <f ca="1"/>
        <v>0</v>
      </c>
      <c r="Q89" s="21">
        <f ca="1"/>
        <v>0</v>
      </c>
      <c r="R89" s="21">
        <f ca="1"/>
        <v>0</v>
      </c>
      <c r="S89" s="21">
        <f ca="1"/>
        <v>0</v>
      </c>
      <c r="T89" s="21">
        <f ca="1"/>
        <v>0</v>
      </c>
      <c r="U89" s="21">
        <f ca="1"/>
        <v>0</v>
      </c>
      <c r="V89" s="21">
        <f ca="1"/>
        <v>0</v>
      </c>
      <c r="W89" s="21">
        <f ca="1"/>
        <v>0</v>
      </c>
      <c r="X89" s="21">
        <f ca="1"/>
        <v>0</v>
      </c>
      <c r="Y89" s="21">
        <f ca="1"/>
        <v>0</v>
      </c>
      <c r="Z89" s="21">
        <f ca="1"/>
        <v>0</v>
      </c>
      <c r="AA89" s="21">
        <f ca="1"/>
        <v>0</v>
      </c>
      <c r="AB89" s="21">
        <f ca="1"/>
        <v>0</v>
      </c>
      <c r="AC89" s="21">
        <f ca="1"/>
        <v>0</v>
      </c>
      <c r="AD89" s="21">
        <f ca="1"/>
        <v>0</v>
      </c>
      <c r="AE89" s="21">
        <f ca="1"/>
        <v>0</v>
      </c>
      <c r="AF89" s="21">
        <f ca="1"/>
        <v>0</v>
      </c>
      <c r="AG89" s="21">
        <f ca="1"/>
        <v>0</v>
      </c>
      <c r="AH89" s="21">
        <f ca="1"/>
        <v>0</v>
      </c>
      <c r="AI89" s="21">
        <f ca="1"/>
        <v>0</v>
      </c>
      <c r="AJ89" s="21">
        <f ca="1"/>
        <v>0</v>
      </c>
      <c r="AK89" s="21">
        <f ca="1"/>
        <v>0</v>
      </c>
      <c r="AL89" s="21">
        <f ca="1"/>
        <v>0</v>
      </c>
      <c r="AM89" s="21">
        <f ca="1"/>
        <v>0</v>
      </c>
      <c r="AN89" s="21">
        <f ca="1"/>
        <v>0</v>
      </c>
      <c r="AO89" s="21">
        <f ca="1"/>
        <v>0</v>
      </c>
      <c r="AP89" s="21">
        <f ca="1"/>
        <v>0</v>
      </c>
      <c r="AQ89" s="21">
        <f ca="1"/>
        <v>0</v>
      </c>
      <c r="AR89" s="21">
        <f ca="1"/>
        <v>0</v>
      </c>
      <c r="AS89" s="21">
        <f ca="1"/>
        <v>0</v>
      </c>
      <c r="AT89" s="21">
        <f ca="1"/>
        <v>0</v>
      </c>
      <c r="AU89" s="21">
        <f ca="1"/>
        <v>0</v>
      </c>
      <c r="AV89" s="21">
        <f ca="1"/>
        <v>0</v>
      </c>
      <c r="AW89" s="21">
        <f ca="1"/>
        <v>0</v>
      </c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</row>
    <row r="90" spans="2:79" x14ac:dyDescent="0.25">
      <c r="B90" s="19">
        <f ca="1"/>
        <v>0</v>
      </c>
      <c r="C90" s="21" t="str">
        <f ca="1"/>
        <v>89</v>
      </c>
      <c r="D90" s="21" t="str">
        <f ca="1"/>
        <v>SUN03003</v>
      </c>
      <c r="E90" s="21" t="str">
        <f ca="1"/>
        <v>THANJAVUR PRIME OIL TRADERS</v>
      </c>
      <c r="F90" s="21">
        <f ca="1"/>
        <v>2.3159999999999998</v>
      </c>
      <c r="G90" s="21">
        <f ca="1"/>
        <v>0</v>
      </c>
      <c r="H90" s="21">
        <f ca="1"/>
        <v>0</v>
      </c>
      <c r="I90" s="21">
        <f ca="1"/>
        <v>0</v>
      </c>
      <c r="J90" s="21">
        <f ca="1"/>
        <v>0</v>
      </c>
      <c r="K90" s="21">
        <f ca="1"/>
        <v>0</v>
      </c>
      <c r="L90" s="21">
        <f ca="1"/>
        <v>0</v>
      </c>
      <c r="M90" s="21">
        <f ca="1"/>
        <v>0</v>
      </c>
      <c r="N90" s="21">
        <f ca="1"/>
        <v>0</v>
      </c>
      <c r="O90" s="21">
        <f ca="1"/>
        <v>0</v>
      </c>
      <c r="P90" s="21">
        <f ca="1"/>
        <v>0</v>
      </c>
      <c r="Q90" s="21">
        <f ca="1"/>
        <v>0</v>
      </c>
      <c r="R90" s="21">
        <f ca="1"/>
        <v>0</v>
      </c>
      <c r="S90" s="21">
        <f ca="1"/>
        <v>0</v>
      </c>
      <c r="T90" s="21">
        <f ca="1"/>
        <v>0</v>
      </c>
      <c r="U90" s="21">
        <f ca="1"/>
        <v>0</v>
      </c>
      <c r="V90" s="21">
        <f ca="1"/>
        <v>0</v>
      </c>
      <c r="W90" s="21">
        <f ca="1"/>
        <v>0</v>
      </c>
      <c r="X90" s="21">
        <f ca="1"/>
        <v>0</v>
      </c>
      <c r="Y90" s="21">
        <f ca="1"/>
        <v>0</v>
      </c>
      <c r="Z90" s="21">
        <f ca="1"/>
        <v>0</v>
      </c>
      <c r="AA90" s="21">
        <f ca="1"/>
        <v>0</v>
      </c>
      <c r="AB90" s="21">
        <f ca="1"/>
        <v>0</v>
      </c>
      <c r="AC90" s="21">
        <f ca="1"/>
        <v>0</v>
      </c>
      <c r="AD90" s="21">
        <f ca="1"/>
        <v>0</v>
      </c>
      <c r="AE90" s="21">
        <f ca="1"/>
        <v>0</v>
      </c>
      <c r="AF90" s="21">
        <f ca="1"/>
        <v>0</v>
      </c>
      <c r="AG90" s="21">
        <f ca="1"/>
        <v>0</v>
      </c>
      <c r="AH90" s="21">
        <f ca="1"/>
        <v>0</v>
      </c>
      <c r="AI90" s="21">
        <f ca="1"/>
        <v>0</v>
      </c>
      <c r="AJ90" s="21">
        <f ca="1"/>
        <v>0</v>
      </c>
      <c r="AK90" s="21">
        <f ca="1"/>
        <v>0</v>
      </c>
      <c r="AL90" s="21">
        <f ca="1"/>
        <v>0</v>
      </c>
      <c r="AM90" s="21">
        <f ca="1"/>
        <v>0</v>
      </c>
      <c r="AN90" s="21">
        <f ca="1"/>
        <v>0</v>
      </c>
      <c r="AO90" s="21">
        <f ca="1"/>
        <v>0</v>
      </c>
      <c r="AP90" s="21">
        <f ca="1"/>
        <v>0</v>
      </c>
      <c r="AQ90" s="21">
        <f ca="1"/>
        <v>0</v>
      </c>
      <c r="AR90" s="21">
        <f ca="1"/>
        <v>0</v>
      </c>
      <c r="AS90" s="21">
        <f ca="1"/>
        <v>0</v>
      </c>
      <c r="AT90" s="21">
        <f ca="1"/>
        <v>0</v>
      </c>
      <c r="AU90" s="21">
        <f ca="1"/>
        <v>0</v>
      </c>
      <c r="AV90" s="21">
        <f ca="1"/>
        <v>0</v>
      </c>
      <c r="AW90" s="21">
        <f ca="1"/>
        <v>0</v>
      </c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</row>
    <row r="91" spans="2:79" x14ac:dyDescent="0.25">
      <c r="B91" s="19">
        <f ca="1"/>
        <v>0</v>
      </c>
      <c r="C91" s="21" t="str">
        <f ca="1"/>
        <v>90</v>
      </c>
      <c r="D91" s="21" t="str">
        <f ca="1"/>
        <v>SUN01091</v>
      </c>
      <c r="E91" s="21" t="str">
        <f ca="1"/>
        <v>TANJORE A.KANDASAMY NADAR MALIGAI</v>
      </c>
      <c r="F91" s="21">
        <f ca="1"/>
        <v>5.2080000000000002</v>
      </c>
      <c r="G91" s="21">
        <f ca="1"/>
        <v>0</v>
      </c>
      <c r="H91" s="21">
        <f ca="1"/>
        <v>0</v>
      </c>
      <c r="I91" s="21">
        <f ca="1"/>
        <v>86</v>
      </c>
      <c r="J91" s="21">
        <f ca="1"/>
        <v>0</v>
      </c>
      <c r="K91" s="21">
        <f ca="1"/>
        <v>0</v>
      </c>
      <c r="L91" s="21">
        <f ca="1"/>
        <v>86</v>
      </c>
      <c r="M91" s="21">
        <f ca="1"/>
        <v>0</v>
      </c>
      <c r="N91" s="21">
        <f ca="1"/>
        <v>0</v>
      </c>
      <c r="O91" s="21">
        <f ca="1"/>
        <v>0</v>
      </c>
      <c r="P91" s="21">
        <f ca="1"/>
        <v>0</v>
      </c>
      <c r="Q91" s="21">
        <f ca="1"/>
        <v>0</v>
      </c>
      <c r="R91" s="21">
        <f ca="1"/>
        <v>0</v>
      </c>
      <c r="S91" s="21">
        <f ca="1"/>
        <v>0</v>
      </c>
      <c r="T91" s="21">
        <f ca="1"/>
        <v>0</v>
      </c>
      <c r="U91" s="21">
        <f ca="1"/>
        <v>0</v>
      </c>
      <c r="V91" s="21">
        <f ca="1"/>
        <v>0</v>
      </c>
      <c r="W91" s="21">
        <f ca="1"/>
        <v>0</v>
      </c>
      <c r="X91" s="21">
        <f ca="1"/>
        <v>0</v>
      </c>
      <c r="Y91" s="21">
        <f ca="1"/>
        <v>0</v>
      </c>
      <c r="Z91" s="21">
        <f ca="1"/>
        <v>0</v>
      </c>
      <c r="AA91" s="21">
        <f ca="1"/>
        <v>0</v>
      </c>
      <c r="AB91" s="21">
        <f ca="1"/>
        <v>0</v>
      </c>
      <c r="AC91" s="21">
        <f ca="1"/>
        <v>0</v>
      </c>
      <c r="AD91" s="21">
        <f ca="1"/>
        <v>0</v>
      </c>
      <c r="AE91" s="21">
        <f ca="1"/>
        <v>0</v>
      </c>
      <c r="AF91" s="21">
        <f ca="1"/>
        <v>0</v>
      </c>
      <c r="AG91" s="21">
        <f ca="1"/>
        <v>0</v>
      </c>
      <c r="AH91" s="21">
        <f ca="1"/>
        <v>0</v>
      </c>
      <c r="AI91" s="21">
        <f ca="1"/>
        <v>0</v>
      </c>
      <c r="AJ91" s="21">
        <f ca="1"/>
        <v>0</v>
      </c>
      <c r="AK91" s="21">
        <f ca="1"/>
        <v>0</v>
      </c>
      <c r="AL91" s="21">
        <f ca="1"/>
        <v>0</v>
      </c>
      <c r="AM91" s="21">
        <f ca="1"/>
        <v>0</v>
      </c>
      <c r="AN91" s="21">
        <f ca="1"/>
        <v>0</v>
      </c>
      <c r="AO91" s="21">
        <f ca="1"/>
        <v>0</v>
      </c>
      <c r="AP91" s="21">
        <f ca="1"/>
        <v>0</v>
      </c>
      <c r="AQ91" s="21">
        <f ca="1"/>
        <v>0</v>
      </c>
      <c r="AR91" s="21">
        <f ca="1"/>
        <v>0</v>
      </c>
      <c r="AS91" s="21">
        <f ca="1"/>
        <v>0</v>
      </c>
      <c r="AT91" s="21">
        <f ca="1"/>
        <v>0</v>
      </c>
      <c r="AU91" s="21">
        <f ca="1"/>
        <v>0</v>
      </c>
      <c r="AV91" s="21">
        <f ca="1"/>
        <v>0</v>
      </c>
      <c r="AW91" s="21">
        <f ca="1"/>
        <v>0</v>
      </c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</row>
    <row r="92" spans="2:79" x14ac:dyDescent="0.25">
      <c r="B92" s="19">
        <f ca="1"/>
        <v>0</v>
      </c>
      <c r="C92" s="21" t="str">
        <f ca="1"/>
        <v>91</v>
      </c>
      <c r="D92" s="21" t="str">
        <f ca="1"/>
        <v>SUN07325</v>
      </c>
      <c r="E92" s="21" t="str">
        <f ca="1"/>
        <v>KL-PATHANAMTHITTA-AMALA GROUP AGENCIES</v>
      </c>
      <c r="F92" s="21">
        <f ca="1"/>
        <v>7.2679999999999998</v>
      </c>
      <c r="G92" s="21">
        <f ca="1"/>
        <v>0</v>
      </c>
      <c r="H92" s="21">
        <f ca="1"/>
        <v>0</v>
      </c>
      <c r="I92" s="21">
        <f ca="1"/>
        <v>25</v>
      </c>
      <c r="J92" s="21">
        <f ca="1"/>
        <v>25</v>
      </c>
      <c r="K92" s="21">
        <f ca="1"/>
        <v>0</v>
      </c>
      <c r="L92" s="21">
        <f ca="1"/>
        <v>0</v>
      </c>
      <c r="M92" s="21">
        <f ca="1"/>
        <v>0</v>
      </c>
      <c r="N92" s="21">
        <f ca="1"/>
        <v>0</v>
      </c>
      <c r="O92" s="21">
        <f ca="1"/>
        <v>0</v>
      </c>
      <c r="P92" s="21">
        <f ca="1"/>
        <v>0</v>
      </c>
      <c r="Q92" s="21">
        <f ca="1"/>
        <v>0</v>
      </c>
      <c r="R92" s="21">
        <f ca="1"/>
        <v>0</v>
      </c>
      <c r="S92" s="21">
        <f ca="1"/>
        <v>0</v>
      </c>
      <c r="T92" s="21">
        <f ca="1"/>
        <v>0</v>
      </c>
      <c r="U92" s="21">
        <f ca="1"/>
        <v>0</v>
      </c>
      <c r="V92" s="21">
        <f ca="1"/>
        <v>0</v>
      </c>
      <c r="W92" s="21">
        <f ca="1"/>
        <v>0</v>
      </c>
      <c r="X92" s="21">
        <f ca="1"/>
        <v>0</v>
      </c>
      <c r="Y92" s="21">
        <f ca="1"/>
        <v>0</v>
      </c>
      <c r="Z92" s="21">
        <f ca="1"/>
        <v>0</v>
      </c>
      <c r="AA92" s="21">
        <f ca="1"/>
        <v>0</v>
      </c>
      <c r="AB92" s="21">
        <f ca="1"/>
        <v>0</v>
      </c>
      <c r="AC92" s="21">
        <f ca="1"/>
        <v>0</v>
      </c>
      <c r="AD92" s="21">
        <f ca="1"/>
        <v>0</v>
      </c>
      <c r="AE92" s="21">
        <f ca="1"/>
        <v>0</v>
      </c>
      <c r="AF92" s="21">
        <f ca="1"/>
        <v>0</v>
      </c>
      <c r="AG92" s="21">
        <f ca="1"/>
        <v>0</v>
      </c>
      <c r="AH92" s="21">
        <f ca="1"/>
        <v>0</v>
      </c>
      <c r="AI92" s="21">
        <f ca="1"/>
        <v>0</v>
      </c>
      <c r="AJ92" s="21">
        <f ca="1"/>
        <v>0</v>
      </c>
      <c r="AK92" s="21">
        <f ca="1"/>
        <v>0</v>
      </c>
      <c r="AL92" s="21">
        <f ca="1"/>
        <v>0</v>
      </c>
      <c r="AM92" s="21">
        <f ca="1"/>
        <v>0</v>
      </c>
      <c r="AN92" s="21">
        <f ca="1"/>
        <v>0</v>
      </c>
      <c r="AO92" s="21">
        <f ca="1"/>
        <v>0</v>
      </c>
      <c r="AP92" s="21">
        <f ca="1"/>
        <v>0</v>
      </c>
      <c r="AQ92" s="21">
        <f ca="1"/>
        <v>0</v>
      </c>
      <c r="AR92" s="21">
        <f ca="1"/>
        <v>0</v>
      </c>
      <c r="AS92" s="21">
        <f ca="1"/>
        <v>0</v>
      </c>
      <c r="AT92" s="21">
        <f ca="1"/>
        <v>0</v>
      </c>
      <c r="AU92" s="21">
        <f ca="1"/>
        <v>0</v>
      </c>
      <c r="AV92" s="21">
        <f ca="1"/>
        <v>0</v>
      </c>
      <c r="AW92" s="21">
        <f ca="1"/>
        <v>0</v>
      </c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</row>
    <row r="93" spans="2:79" x14ac:dyDescent="0.25">
      <c r="B93" s="19">
        <f ca="1"/>
        <v>0</v>
      </c>
      <c r="C93" s="21" t="str">
        <f ca="1"/>
        <v>92</v>
      </c>
      <c r="D93" s="21" t="str">
        <f ca="1"/>
        <v>SUN07419</v>
      </c>
      <c r="E93" s="21" t="str">
        <f ca="1"/>
        <v>KL CHENGANAR SRADHA TRADING</v>
      </c>
      <c r="F93" s="21">
        <f ca="1"/>
        <v>6.0060000000000002</v>
      </c>
      <c r="G93" s="21">
        <f ca="1"/>
        <v>0</v>
      </c>
      <c r="H93" s="21">
        <f ca="1"/>
        <v>0</v>
      </c>
      <c r="I93" s="21">
        <f ca="1"/>
        <v>0</v>
      </c>
      <c r="J93" s="21">
        <f ca="1"/>
        <v>0</v>
      </c>
      <c r="K93" s="21">
        <f ca="1"/>
        <v>0</v>
      </c>
      <c r="L93" s="21">
        <f ca="1"/>
        <v>0</v>
      </c>
      <c r="M93" s="21">
        <f ca="1"/>
        <v>0</v>
      </c>
      <c r="N93" s="21">
        <f ca="1"/>
        <v>0</v>
      </c>
      <c r="O93" s="21">
        <f ca="1"/>
        <v>0</v>
      </c>
      <c r="P93" s="21">
        <f ca="1"/>
        <v>0</v>
      </c>
      <c r="Q93" s="21">
        <f ca="1"/>
        <v>0</v>
      </c>
      <c r="R93" s="21">
        <f ca="1"/>
        <v>0</v>
      </c>
      <c r="S93" s="21">
        <f ca="1"/>
        <v>0</v>
      </c>
      <c r="T93" s="21">
        <f ca="1"/>
        <v>0</v>
      </c>
      <c r="U93" s="21">
        <f ca="1"/>
        <v>0</v>
      </c>
      <c r="V93" s="21">
        <f ca="1"/>
        <v>0</v>
      </c>
      <c r="W93" s="21">
        <f ca="1"/>
        <v>0</v>
      </c>
      <c r="X93" s="21">
        <f ca="1"/>
        <v>0</v>
      </c>
      <c r="Y93" s="21">
        <f ca="1"/>
        <v>0</v>
      </c>
      <c r="Z93" s="21">
        <f ca="1"/>
        <v>0</v>
      </c>
      <c r="AA93" s="21">
        <f ca="1"/>
        <v>0</v>
      </c>
      <c r="AB93" s="21">
        <f ca="1"/>
        <v>0</v>
      </c>
      <c r="AC93" s="21">
        <f ca="1"/>
        <v>0</v>
      </c>
      <c r="AD93" s="21">
        <f ca="1"/>
        <v>0</v>
      </c>
      <c r="AE93" s="21">
        <f ca="1"/>
        <v>0</v>
      </c>
      <c r="AF93" s="21">
        <f ca="1"/>
        <v>0</v>
      </c>
      <c r="AG93" s="21">
        <f ca="1"/>
        <v>0</v>
      </c>
      <c r="AH93" s="21">
        <f ca="1"/>
        <v>0</v>
      </c>
      <c r="AI93" s="21">
        <f ca="1"/>
        <v>0</v>
      </c>
      <c r="AJ93" s="21">
        <f ca="1"/>
        <v>0</v>
      </c>
      <c r="AK93" s="21">
        <f ca="1"/>
        <v>0</v>
      </c>
      <c r="AL93" s="21">
        <f ca="1"/>
        <v>0</v>
      </c>
      <c r="AM93" s="21">
        <f ca="1"/>
        <v>0</v>
      </c>
      <c r="AN93" s="21">
        <f ca="1"/>
        <v>0</v>
      </c>
      <c r="AO93" s="21">
        <f ca="1"/>
        <v>0</v>
      </c>
      <c r="AP93" s="21">
        <f ca="1"/>
        <v>0</v>
      </c>
      <c r="AQ93" s="21">
        <f ca="1"/>
        <v>0</v>
      </c>
      <c r="AR93" s="21">
        <f ca="1"/>
        <v>0</v>
      </c>
      <c r="AS93" s="21">
        <f ca="1"/>
        <v>0</v>
      </c>
      <c r="AT93" s="21">
        <f ca="1"/>
        <v>0</v>
      </c>
      <c r="AU93" s="21">
        <f ca="1"/>
        <v>0</v>
      </c>
      <c r="AV93" s="21">
        <f ca="1"/>
        <v>0</v>
      </c>
      <c r="AW93" s="21">
        <f ca="1"/>
        <v>0</v>
      </c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</row>
    <row r="94" spans="2:79" x14ac:dyDescent="0.25">
      <c r="B94" s="19">
        <f ca="1"/>
        <v>0</v>
      </c>
      <c r="C94" s="21" t="str">
        <f ca="1"/>
        <v>93</v>
      </c>
      <c r="D94" s="21" t="str">
        <f ca="1"/>
        <v>SUN03444</v>
      </c>
      <c r="E94" s="21" t="str">
        <f ca="1"/>
        <v>KL KOLLAM STANES TRADING COMPANY</v>
      </c>
      <c r="F94" s="21">
        <f ca="1"/>
        <v>2.0019999999999998</v>
      </c>
      <c r="G94" s="21">
        <f ca="1"/>
        <v>0</v>
      </c>
      <c r="H94" s="21">
        <f ca="1"/>
        <v>0</v>
      </c>
      <c r="I94" s="21">
        <f ca="1"/>
        <v>0</v>
      </c>
      <c r="J94" s="21">
        <f ca="1"/>
        <v>0</v>
      </c>
      <c r="K94" s="21">
        <f ca="1"/>
        <v>0</v>
      </c>
      <c r="L94" s="21">
        <f ca="1"/>
        <v>0</v>
      </c>
      <c r="M94" s="21">
        <f ca="1"/>
        <v>0</v>
      </c>
      <c r="N94" s="21">
        <f ca="1"/>
        <v>0</v>
      </c>
      <c r="O94" s="21">
        <f ca="1"/>
        <v>0</v>
      </c>
      <c r="P94" s="21">
        <f ca="1"/>
        <v>0</v>
      </c>
      <c r="Q94" s="21">
        <f ca="1"/>
        <v>0</v>
      </c>
      <c r="R94" s="21">
        <f ca="1"/>
        <v>0</v>
      </c>
      <c r="S94" s="21">
        <f ca="1"/>
        <v>0</v>
      </c>
      <c r="T94" s="21">
        <f ca="1"/>
        <v>0</v>
      </c>
      <c r="U94" s="21">
        <f ca="1"/>
        <v>0</v>
      </c>
      <c r="V94" s="21">
        <f ca="1"/>
        <v>0</v>
      </c>
      <c r="W94" s="21">
        <f ca="1"/>
        <v>0</v>
      </c>
      <c r="X94" s="21">
        <f ca="1"/>
        <v>0</v>
      </c>
      <c r="Y94" s="21">
        <f ca="1"/>
        <v>0</v>
      </c>
      <c r="Z94" s="21">
        <f ca="1"/>
        <v>0</v>
      </c>
      <c r="AA94" s="21">
        <f ca="1"/>
        <v>0</v>
      </c>
      <c r="AB94" s="21">
        <f ca="1"/>
        <v>0</v>
      </c>
      <c r="AC94" s="21">
        <f ca="1"/>
        <v>0</v>
      </c>
      <c r="AD94" s="21">
        <f ca="1"/>
        <v>0</v>
      </c>
      <c r="AE94" s="21">
        <f ca="1"/>
        <v>0</v>
      </c>
      <c r="AF94" s="21">
        <f ca="1"/>
        <v>0</v>
      </c>
      <c r="AG94" s="21">
        <f ca="1"/>
        <v>0</v>
      </c>
      <c r="AH94" s="21">
        <f ca="1"/>
        <v>0</v>
      </c>
      <c r="AI94" s="21">
        <f ca="1"/>
        <v>0</v>
      </c>
      <c r="AJ94" s="21">
        <f ca="1"/>
        <v>0</v>
      </c>
      <c r="AK94" s="21">
        <f ca="1"/>
        <v>0</v>
      </c>
      <c r="AL94" s="21">
        <f ca="1"/>
        <v>0</v>
      </c>
      <c r="AM94" s="21">
        <f ca="1"/>
        <v>0</v>
      </c>
      <c r="AN94" s="21">
        <f ca="1"/>
        <v>0</v>
      </c>
      <c r="AO94" s="21">
        <f ca="1"/>
        <v>0</v>
      </c>
      <c r="AP94" s="21">
        <f ca="1"/>
        <v>0</v>
      </c>
      <c r="AQ94" s="21">
        <f ca="1"/>
        <v>0</v>
      </c>
      <c r="AR94" s="21">
        <f ca="1"/>
        <v>0</v>
      </c>
      <c r="AS94" s="21">
        <f ca="1"/>
        <v>0</v>
      </c>
      <c r="AT94" s="21">
        <f ca="1"/>
        <v>0</v>
      </c>
      <c r="AU94" s="21">
        <f ca="1"/>
        <v>0</v>
      </c>
      <c r="AV94" s="21">
        <f ca="1"/>
        <v>0</v>
      </c>
      <c r="AW94" s="21">
        <f ca="1"/>
        <v>0</v>
      </c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</row>
    <row r="95" spans="2:79" x14ac:dyDescent="0.25">
      <c r="B95" s="19">
        <f ca="1"/>
        <v>0</v>
      </c>
      <c r="C95" s="21" t="str">
        <f ca="1"/>
        <v>94</v>
      </c>
      <c r="D95" s="21" t="str">
        <f ca="1"/>
        <v>SUN07240</v>
      </c>
      <c r="E95" s="21" t="str">
        <f ca="1"/>
        <v>KL-KOLLAM-S.A.K ASSOCIATE</v>
      </c>
      <c r="F95" s="21">
        <f ca="1"/>
        <v>4.55</v>
      </c>
      <c r="G95" s="21">
        <f ca="1"/>
        <v>0</v>
      </c>
      <c r="H95" s="21">
        <f ca="1"/>
        <v>0</v>
      </c>
      <c r="I95" s="21">
        <f ca="1"/>
        <v>0</v>
      </c>
      <c r="J95" s="21">
        <f ca="1"/>
        <v>0</v>
      </c>
      <c r="K95" s="21">
        <f ca="1"/>
        <v>0</v>
      </c>
      <c r="L95" s="21">
        <f ca="1"/>
        <v>0</v>
      </c>
      <c r="M95" s="21">
        <f ca="1"/>
        <v>0</v>
      </c>
      <c r="N95" s="21">
        <f ca="1"/>
        <v>0</v>
      </c>
      <c r="O95" s="21">
        <f ca="1"/>
        <v>0</v>
      </c>
      <c r="P95" s="21">
        <f ca="1"/>
        <v>0</v>
      </c>
      <c r="Q95" s="21">
        <f ca="1"/>
        <v>0</v>
      </c>
      <c r="R95" s="21">
        <f ca="1"/>
        <v>0</v>
      </c>
      <c r="S95" s="21">
        <f ca="1"/>
        <v>0</v>
      </c>
      <c r="T95" s="21">
        <f ca="1"/>
        <v>0</v>
      </c>
      <c r="U95" s="21">
        <f ca="1"/>
        <v>0</v>
      </c>
      <c r="V95" s="21">
        <f ca="1"/>
        <v>0</v>
      </c>
      <c r="W95" s="21">
        <f ca="1"/>
        <v>0</v>
      </c>
      <c r="X95" s="21">
        <f ca="1"/>
        <v>0</v>
      </c>
      <c r="Y95" s="21">
        <f ca="1"/>
        <v>0</v>
      </c>
      <c r="Z95" s="21">
        <f ca="1"/>
        <v>0</v>
      </c>
      <c r="AA95" s="21">
        <f ca="1"/>
        <v>0</v>
      </c>
      <c r="AB95" s="21">
        <f ca="1"/>
        <v>0</v>
      </c>
      <c r="AC95" s="21">
        <f ca="1"/>
        <v>0</v>
      </c>
      <c r="AD95" s="21">
        <f ca="1"/>
        <v>0</v>
      </c>
      <c r="AE95" s="21">
        <f ca="1"/>
        <v>0</v>
      </c>
      <c r="AF95" s="21">
        <f ca="1"/>
        <v>0</v>
      </c>
      <c r="AG95" s="21">
        <f ca="1"/>
        <v>0</v>
      </c>
      <c r="AH95" s="21">
        <f ca="1"/>
        <v>0</v>
      </c>
      <c r="AI95" s="21">
        <f ca="1"/>
        <v>0</v>
      </c>
      <c r="AJ95" s="21">
        <f ca="1"/>
        <v>0</v>
      </c>
      <c r="AK95" s="21">
        <f ca="1"/>
        <v>0</v>
      </c>
      <c r="AL95" s="21">
        <f ca="1"/>
        <v>0</v>
      </c>
      <c r="AM95" s="21">
        <f ca="1"/>
        <v>0</v>
      </c>
      <c r="AN95" s="21">
        <f ca="1"/>
        <v>0</v>
      </c>
      <c r="AO95" s="21">
        <f ca="1"/>
        <v>0</v>
      </c>
      <c r="AP95" s="21">
        <f ca="1"/>
        <v>0</v>
      </c>
      <c r="AQ95" s="21">
        <f ca="1"/>
        <v>0</v>
      </c>
      <c r="AR95" s="21">
        <f ca="1"/>
        <v>0</v>
      </c>
      <c r="AS95" s="21">
        <f ca="1"/>
        <v>0</v>
      </c>
      <c r="AT95" s="21">
        <f ca="1"/>
        <v>0</v>
      </c>
      <c r="AU95" s="21">
        <f ca="1"/>
        <v>0</v>
      </c>
      <c r="AV95" s="21">
        <f ca="1"/>
        <v>0</v>
      </c>
      <c r="AW95" s="21">
        <f ca="1"/>
        <v>0</v>
      </c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</row>
    <row r="96" spans="2:79" x14ac:dyDescent="0.25">
      <c r="B96" s="19">
        <f ca="1"/>
        <v>0</v>
      </c>
      <c r="C96" s="21" t="str">
        <f ca="1"/>
        <v>95</v>
      </c>
      <c r="D96" s="21" t="str">
        <f ca="1"/>
        <v>SUN04470</v>
      </c>
      <c r="E96" s="21" t="str">
        <f ca="1"/>
        <v>TIRUNELVELI KAUMARAM FOOD PRODUCTS</v>
      </c>
      <c r="F96" s="21">
        <f ca="1"/>
        <v>5.2949999999999999</v>
      </c>
      <c r="G96" s="21">
        <f ca="1"/>
        <v>0</v>
      </c>
      <c r="H96" s="21">
        <f ca="1"/>
        <v>0</v>
      </c>
      <c r="I96" s="21">
        <f ca="1"/>
        <v>72</v>
      </c>
      <c r="J96" s="21">
        <f ca="1"/>
        <v>50</v>
      </c>
      <c r="K96" s="21">
        <f ca="1"/>
        <v>0</v>
      </c>
      <c r="L96" s="21">
        <f ca="1"/>
        <v>22</v>
      </c>
      <c r="M96" s="21">
        <f ca="1"/>
        <v>0</v>
      </c>
      <c r="N96" s="21">
        <f ca="1"/>
        <v>0</v>
      </c>
      <c r="O96" s="21">
        <f ca="1"/>
        <v>0</v>
      </c>
      <c r="P96" s="21">
        <f ca="1"/>
        <v>0</v>
      </c>
      <c r="Q96" s="21">
        <f ca="1"/>
        <v>0</v>
      </c>
      <c r="R96" s="21">
        <f ca="1"/>
        <v>0</v>
      </c>
      <c r="S96" s="21">
        <f ca="1"/>
        <v>0</v>
      </c>
      <c r="T96" s="21">
        <f ca="1"/>
        <v>0</v>
      </c>
      <c r="U96" s="21">
        <f ca="1"/>
        <v>0</v>
      </c>
      <c r="V96" s="21">
        <f ca="1"/>
        <v>0</v>
      </c>
      <c r="W96" s="21">
        <f ca="1"/>
        <v>0</v>
      </c>
      <c r="X96" s="21">
        <f ca="1"/>
        <v>0</v>
      </c>
      <c r="Y96" s="21">
        <f ca="1"/>
        <v>0</v>
      </c>
      <c r="Z96" s="21">
        <f ca="1"/>
        <v>0</v>
      </c>
      <c r="AA96" s="21">
        <f ca="1"/>
        <v>0</v>
      </c>
      <c r="AB96" s="21">
        <f ca="1"/>
        <v>0</v>
      </c>
      <c r="AC96" s="21">
        <f ca="1"/>
        <v>0</v>
      </c>
      <c r="AD96" s="21">
        <f ca="1"/>
        <v>0</v>
      </c>
      <c r="AE96" s="21">
        <f ca="1"/>
        <v>0</v>
      </c>
      <c r="AF96" s="21">
        <f ca="1"/>
        <v>0</v>
      </c>
      <c r="AG96" s="21">
        <f ca="1"/>
        <v>0</v>
      </c>
      <c r="AH96" s="21">
        <f ca="1"/>
        <v>0</v>
      </c>
      <c r="AI96" s="21">
        <f ca="1"/>
        <v>0</v>
      </c>
      <c r="AJ96" s="21">
        <f ca="1"/>
        <v>0</v>
      </c>
      <c r="AK96" s="21">
        <f ca="1"/>
        <v>0</v>
      </c>
      <c r="AL96" s="21">
        <f ca="1"/>
        <v>0</v>
      </c>
      <c r="AM96" s="21">
        <f ca="1"/>
        <v>0</v>
      </c>
      <c r="AN96" s="21">
        <f ca="1"/>
        <v>2</v>
      </c>
      <c r="AO96" s="21">
        <f ca="1"/>
        <v>0</v>
      </c>
      <c r="AP96" s="21">
        <f ca="1"/>
        <v>0</v>
      </c>
      <c r="AQ96" s="21">
        <f ca="1"/>
        <v>0</v>
      </c>
      <c r="AR96" s="21">
        <f ca="1"/>
        <v>0</v>
      </c>
      <c r="AS96" s="21">
        <f ca="1"/>
        <v>0</v>
      </c>
      <c r="AT96" s="21">
        <f ca="1"/>
        <v>0</v>
      </c>
      <c r="AU96" s="21">
        <f ca="1"/>
        <v>0</v>
      </c>
      <c r="AV96" s="21">
        <f ca="1"/>
        <v>0</v>
      </c>
      <c r="AW96" s="21">
        <f ca="1"/>
        <v>0</v>
      </c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</row>
    <row r="97" spans="2:79" x14ac:dyDescent="0.25">
      <c r="B97" s="19">
        <f ca="1"/>
        <v>0</v>
      </c>
      <c r="C97" s="21" t="str">
        <f ca="1"/>
        <v>96</v>
      </c>
      <c r="D97" s="21" t="str">
        <f ca="1"/>
        <v>SUN04298</v>
      </c>
      <c r="E97" s="21" t="str">
        <f ca="1"/>
        <v>ATTUVAMPATTI STERLING HOLIDAY RESORTS LIMITED</v>
      </c>
      <c r="F97" s="21">
        <f ca="1"/>
        <v>0.72799999999999998</v>
      </c>
      <c r="G97" s="21">
        <f ca="1"/>
        <v>0</v>
      </c>
      <c r="H97" s="21">
        <f ca="1"/>
        <v>0</v>
      </c>
      <c r="I97" s="21">
        <f ca="1"/>
        <v>0</v>
      </c>
      <c r="J97" s="21">
        <f ca="1"/>
        <v>0</v>
      </c>
      <c r="K97" s="21">
        <f ca="1"/>
        <v>0</v>
      </c>
      <c r="L97" s="21">
        <f ca="1"/>
        <v>0</v>
      </c>
      <c r="M97" s="21">
        <f ca="1"/>
        <v>0</v>
      </c>
      <c r="N97" s="21">
        <f ca="1"/>
        <v>0</v>
      </c>
      <c r="O97" s="21">
        <f ca="1"/>
        <v>0</v>
      </c>
      <c r="P97" s="21">
        <f ca="1"/>
        <v>0</v>
      </c>
      <c r="Q97" s="21">
        <f ca="1"/>
        <v>0</v>
      </c>
      <c r="R97" s="21">
        <f ca="1"/>
        <v>0</v>
      </c>
      <c r="S97" s="21">
        <f ca="1"/>
        <v>0</v>
      </c>
      <c r="T97" s="21">
        <f ca="1"/>
        <v>0</v>
      </c>
      <c r="U97" s="21">
        <f ca="1"/>
        <v>0</v>
      </c>
      <c r="V97" s="21">
        <f ca="1"/>
        <v>0</v>
      </c>
      <c r="W97" s="21">
        <f ca="1"/>
        <v>0</v>
      </c>
      <c r="X97" s="21">
        <f ca="1"/>
        <v>0</v>
      </c>
      <c r="Y97" s="21">
        <f ca="1"/>
        <v>0</v>
      </c>
      <c r="Z97" s="21">
        <f ca="1"/>
        <v>0</v>
      </c>
      <c r="AA97" s="21">
        <f ca="1"/>
        <v>0</v>
      </c>
      <c r="AB97" s="21">
        <f ca="1"/>
        <v>0</v>
      </c>
      <c r="AC97" s="21">
        <f ca="1"/>
        <v>0</v>
      </c>
      <c r="AD97" s="21">
        <f ca="1"/>
        <v>0</v>
      </c>
      <c r="AE97" s="21">
        <f ca="1"/>
        <v>0</v>
      </c>
      <c r="AF97" s="21">
        <f ca="1"/>
        <v>0</v>
      </c>
      <c r="AG97" s="21">
        <f ca="1"/>
        <v>0</v>
      </c>
      <c r="AH97" s="21">
        <f ca="1"/>
        <v>0</v>
      </c>
      <c r="AI97" s="21">
        <f ca="1"/>
        <v>0</v>
      </c>
      <c r="AJ97" s="21">
        <f ca="1"/>
        <v>0</v>
      </c>
      <c r="AK97" s="21">
        <f ca="1"/>
        <v>0</v>
      </c>
      <c r="AL97" s="21">
        <f ca="1"/>
        <v>0</v>
      </c>
      <c r="AM97" s="21">
        <f ca="1"/>
        <v>0</v>
      </c>
      <c r="AN97" s="21">
        <f ca="1"/>
        <v>0</v>
      </c>
      <c r="AO97" s="21">
        <f ca="1"/>
        <v>0</v>
      </c>
      <c r="AP97" s="21">
        <f ca="1"/>
        <v>0</v>
      </c>
      <c r="AQ97" s="21">
        <f ca="1"/>
        <v>0</v>
      </c>
      <c r="AR97" s="21">
        <f ca="1"/>
        <v>0</v>
      </c>
      <c r="AS97" s="21">
        <f ca="1"/>
        <v>0</v>
      </c>
      <c r="AT97" s="21">
        <f ca="1"/>
        <v>0</v>
      </c>
      <c r="AU97" s="21">
        <f ca="1"/>
        <v>0</v>
      </c>
      <c r="AV97" s="21">
        <f ca="1"/>
        <v>0</v>
      </c>
      <c r="AW97" s="21">
        <f ca="1"/>
        <v>0</v>
      </c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</row>
    <row r="98" spans="2:79" x14ac:dyDescent="0.25">
      <c r="B98" s="19">
        <f ca="1"/>
        <v>0</v>
      </c>
      <c r="C98" s="21" t="str">
        <f ca="1"/>
        <v>97</v>
      </c>
      <c r="D98" s="21" t="str">
        <f ca="1"/>
        <v>SUN03935</v>
      </c>
      <c r="E98" s="21" t="str">
        <f ca="1"/>
        <v>KL KUNNAMKULAM MURINGATHERY TRADING COMPANY</v>
      </c>
      <c r="F98" s="21">
        <f ca="1"/>
        <v>0</v>
      </c>
      <c r="G98" s="21">
        <f ca="1"/>
        <v>0</v>
      </c>
      <c r="H98" s="21">
        <f ca="1"/>
        <v>0</v>
      </c>
      <c r="I98" s="21">
        <f ca="1"/>
        <v>0</v>
      </c>
      <c r="J98" s="21">
        <f ca="1"/>
        <v>0</v>
      </c>
      <c r="K98" s="21">
        <f ca="1"/>
        <v>0</v>
      </c>
      <c r="L98" s="21">
        <f ca="1"/>
        <v>0</v>
      </c>
      <c r="M98" s="21">
        <f ca="1"/>
        <v>0</v>
      </c>
      <c r="N98" s="21">
        <f ca="1"/>
        <v>0</v>
      </c>
      <c r="O98" s="21">
        <f ca="1"/>
        <v>0</v>
      </c>
      <c r="P98" s="21">
        <f ca="1"/>
        <v>0</v>
      </c>
      <c r="Q98" s="21">
        <f ca="1"/>
        <v>0</v>
      </c>
      <c r="R98" s="21">
        <f ca="1"/>
        <v>0</v>
      </c>
      <c r="S98" s="21">
        <f ca="1"/>
        <v>0</v>
      </c>
      <c r="T98" s="21">
        <f ca="1"/>
        <v>0</v>
      </c>
      <c r="U98" s="21">
        <f ca="1"/>
        <v>0</v>
      </c>
      <c r="V98" s="21">
        <f ca="1"/>
        <v>0</v>
      </c>
      <c r="W98" s="21">
        <f ca="1"/>
        <v>0</v>
      </c>
      <c r="X98" s="21">
        <f ca="1"/>
        <v>0</v>
      </c>
      <c r="Y98" s="21">
        <f ca="1"/>
        <v>0</v>
      </c>
      <c r="Z98" s="21">
        <f ca="1"/>
        <v>0</v>
      </c>
      <c r="AA98" s="21">
        <f ca="1"/>
        <v>0</v>
      </c>
      <c r="AB98" s="21">
        <f ca="1"/>
        <v>0</v>
      </c>
      <c r="AC98" s="21">
        <f ca="1"/>
        <v>0</v>
      </c>
      <c r="AD98" s="21">
        <f ca="1"/>
        <v>0</v>
      </c>
      <c r="AE98" s="21">
        <f ca="1"/>
        <v>0</v>
      </c>
      <c r="AF98" s="21">
        <f ca="1"/>
        <v>0</v>
      </c>
      <c r="AG98" s="21">
        <f ca="1"/>
        <v>0</v>
      </c>
      <c r="AH98" s="21">
        <f ca="1"/>
        <v>0</v>
      </c>
      <c r="AI98" s="21">
        <f ca="1"/>
        <v>0</v>
      </c>
      <c r="AJ98" s="21">
        <f ca="1"/>
        <v>0</v>
      </c>
      <c r="AK98" s="21">
        <f ca="1"/>
        <v>0</v>
      </c>
      <c r="AL98" s="21">
        <f ca="1"/>
        <v>0</v>
      </c>
      <c r="AM98" s="21">
        <f ca="1"/>
        <v>0</v>
      </c>
      <c r="AN98" s="21">
        <f ca="1"/>
        <v>0</v>
      </c>
      <c r="AO98" s="21">
        <f ca="1"/>
        <v>0</v>
      </c>
      <c r="AP98" s="21">
        <f ca="1"/>
        <v>0</v>
      </c>
      <c r="AQ98" s="21">
        <f ca="1"/>
        <v>0</v>
      </c>
      <c r="AR98" s="21">
        <f ca="1"/>
        <v>0</v>
      </c>
      <c r="AS98" s="21">
        <f ca="1"/>
        <v>0</v>
      </c>
      <c r="AT98" s="21">
        <f ca="1"/>
        <v>0</v>
      </c>
      <c r="AU98" s="21">
        <f ca="1"/>
        <v>0</v>
      </c>
      <c r="AV98" s="21">
        <f ca="1"/>
        <v>0</v>
      </c>
      <c r="AW98" s="21">
        <f ca="1"/>
        <v>0</v>
      </c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</row>
    <row r="99" spans="2:79" x14ac:dyDescent="0.25">
      <c r="B99" s="19">
        <f ca="1"/>
        <v>0</v>
      </c>
      <c r="C99" s="21" t="str">
        <f ca="1"/>
        <v>98</v>
      </c>
      <c r="D99" s="21" t="str">
        <f ca="1"/>
        <v>SUN01952</v>
      </c>
      <c r="E99" s="21" t="str">
        <f ca="1"/>
        <v>KALLAKURICHI SRI AGENCIES</v>
      </c>
      <c r="F99" s="21">
        <f ca="1"/>
        <v>6.0339999999999998</v>
      </c>
      <c r="G99" s="21">
        <f ca="1"/>
        <v>0</v>
      </c>
      <c r="H99" s="21">
        <f ca="1"/>
        <v>0</v>
      </c>
      <c r="I99" s="21">
        <f ca="1"/>
        <v>0</v>
      </c>
      <c r="J99" s="21">
        <f ca="1"/>
        <v>0</v>
      </c>
      <c r="K99" s="21">
        <f ca="1"/>
        <v>0</v>
      </c>
      <c r="L99" s="21">
        <f ca="1"/>
        <v>0</v>
      </c>
      <c r="M99" s="21">
        <f ca="1"/>
        <v>0</v>
      </c>
      <c r="N99" s="21">
        <f ca="1"/>
        <v>0</v>
      </c>
      <c r="O99" s="21">
        <f ca="1"/>
        <v>0</v>
      </c>
      <c r="P99" s="21">
        <f ca="1"/>
        <v>0</v>
      </c>
      <c r="Q99" s="21">
        <f ca="1"/>
        <v>0</v>
      </c>
      <c r="R99" s="21">
        <f ca="1"/>
        <v>0</v>
      </c>
      <c r="S99" s="21">
        <f ca="1"/>
        <v>0</v>
      </c>
      <c r="T99" s="21">
        <f ca="1"/>
        <v>0</v>
      </c>
      <c r="U99" s="21">
        <f ca="1"/>
        <v>0</v>
      </c>
      <c r="V99" s="21">
        <f ca="1"/>
        <v>0</v>
      </c>
      <c r="W99" s="21">
        <f ca="1"/>
        <v>0</v>
      </c>
      <c r="X99" s="21">
        <f ca="1"/>
        <v>0</v>
      </c>
      <c r="Y99" s="21">
        <f ca="1"/>
        <v>0</v>
      </c>
      <c r="Z99" s="21">
        <f ca="1"/>
        <v>0</v>
      </c>
      <c r="AA99" s="21">
        <f ca="1"/>
        <v>0</v>
      </c>
      <c r="AB99" s="21">
        <f ca="1"/>
        <v>0</v>
      </c>
      <c r="AC99" s="21">
        <f ca="1"/>
        <v>0</v>
      </c>
      <c r="AD99" s="21">
        <f ca="1"/>
        <v>0</v>
      </c>
      <c r="AE99" s="21">
        <f ca="1"/>
        <v>0</v>
      </c>
      <c r="AF99" s="21">
        <f ca="1"/>
        <v>0</v>
      </c>
      <c r="AG99" s="21">
        <f ca="1"/>
        <v>0</v>
      </c>
      <c r="AH99" s="21">
        <f ca="1"/>
        <v>0</v>
      </c>
      <c r="AI99" s="21">
        <f ca="1"/>
        <v>0</v>
      </c>
      <c r="AJ99" s="21">
        <f ca="1"/>
        <v>0</v>
      </c>
      <c r="AK99" s="21">
        <f ca="1"/>
        <v>0</v>
      </c>
      <c r="AL99" s="21">
        <f ca="1"/>
        <v>0</v>
      </c>
      <c r="AM99" s="21">
        <f ca="1"/>
        <v>0</v>
      </c>
      <c r="AN99" s="21">
        <f ca="1"/>
        <v>0</v>
      </c>
      <c r="AO99" s="21">
        <f ca="1"/>
        <v>0</v>
      </c>
      <c r="AP99" s="21">
        <f ca="1"/>
        <v>0</v>
      </c>
      <c r="AQ99" s="21">
        <f ca="1"/>
        <v>0</v>
      </c>
      <c r="AR99" s="21">
        <f ca="1"/>
        <v>0</v>
      </c>
      <c r="AS99" s="21">
        <f ca="1"/>
        <v>0</v>
      </c>
      <c r="AT99" s="21">
        <f ca="1"/>
        <v>0</v>
      </c>
      <c r="AU99" s="21">
        <f ca="1"/>
        <v>0</v>
      </c>
      <c r="AV99" s="21">
        <f ca="1"/>
        <v>0</v>
      </c>
      <c r="AW99" s="21">
        <f ca="1"/>
        <v>0</v>
      </c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</row>
    <row r="100" spans="2:79" x14ac:dyDescent="0.25">
      <c r="B100" s="19">
        <f ca="1"/>
        <v>0</v>
      </c>
      <c r="C100" s="21" t="str">
        <f ca="1"/>
        <v>99</v>
      </c>
      <c r="D100" s="21" t="str">
        <f ca="1"/>
        <v>SUN05538</v>
      </c>
      <c r="E100" s="21" t="str">
        <f ca="1"/>
        <v>DHARMAPURI-CAVINKARE PRIVATE LIMITED</v>
      </c>
      <c r="F100" s="21">
        <f ca="1"/>
        <v>0</v>
      </c>
      <c r="G100" s="21">
        <f ca="1"/>
        <v>0</v>
      </c>
      <c r="H100" s="21">
        <f ca="1"/>
        <v>0</v>
      </c>
      <c r="I100" s="21">
        <f ca="1"/>
        <v>0</v>
      </c>
      <c r="J100" s="21">
        <f ca="1"/>
        <v>0</v>
      </c>
      <c r="K100" s="21">
        <f ca="1"/>
        <v>0</v>
      </c>
      <c r="L100" s="21">
        <f ca="1"/>
        <v>0</v>
      </c>
      <c r="M100" s="21">
        <f ca="1"/>
        <v>0</v>
      </c>
      <c r="N100" s="21">
        <f ca="1"/>
        <v>0</v>
      </c>
      <c r="O100" s="21">
        <f ca="1"/>
        <v>0</v>
      </c>
      <c r="P100" s="21">
        <f ca="1"/>
        <v>0</v>
      </c>
      <c r="Q100" s="21">
        <f ca="1"/>
        <v>0</v>
      </c>
      <c r="R100" s="21">
        <f ca="1"/>
        <v>0</v>
      </c>
      <c r="S100" s="21">
        <f ca="1"/>
        <v>0</v>
      </c>
      <c r="T100" s="21">
        <f ca="1"/>
        <v>0</v>
      </c>
      <c r="U100" s="21">
        <f ca="1"/>
        <v>0</v>
      </c>
      <c r="V100" s="21">
        <f ca="1"/>
        <v>0</v>
      </c>
      <c r="W100" s="21">
        <f ca="1"/>
        <v>0</v>
      </c>
      <c r="X100" s="21">
        <f ca="1"/>
        <v>0</v>
      </c>
      <c r="Y100" s="21">
        <f ca="1"/>
        <v>0</v>
      </c>
      <c r="Z100" s="21">
        <f ca="1"/>
        <v>0</v>
      </c>
      <c r="AA100" s="21">
        <f ca="1"/>
        <v>0</v>
      </c>
      <c r="AB100" s="21">
        <f ca="1"/>
        <v>0</v>
      </c>
      <c r="AC100" s="21">
        <f ca="1"/>
        <v>0</v>
      </c>
      <c r="AD100" s="21">
        <f ca="1"/>
        <v>0</v>
      </c>
      <c r="AE100" s="21">
        <f ca="1"/>
        <v>0</v>
      </c>
      <c r="AF100" s="21">
        <f ca="1"/>
        <v>0</v>
      </c>
      <c r="AG100" s="21">
        <f ca="1"/>
        <v>0</v>
      </c>
      <c r="AH100" s="21">
        <f ca="1"/>
        <v>0</v>
      </c>
      <c r="AI100" s="21">
        <f ca="1"/>
        <v>0</v>
      </c>
      <c r="AJ100" s="21">
        <f ca="1"/>
        <v>0</v>
      </c>
      <c r="AK100" s="21">
        <f ca="1"/>
        <v>0</v>
      </c>
      <c r="AL100" s="21">
        <f ca="1"/>
        <v>0</v>
      </c>
      <c r="AM100" s="21">
        <f ca="1"/>
        <v>0</v>
      </c>
      <c r="AN100" s="21">
        <f ca="1"/>
        <v>0</v>
      </c>
      <c r="AO100" s="21">
        <f ca="1"/>
        <v>0</v>
      </c>
      <c r="AP100" s="21">
        <f ca="1"/>
        <v>0</v>
      </c>
      <c r="AQ100" s="21">
        <f ca="1"/>
        <v>0</v>
      </c>
      <c r="AR100" s="21">
        <f ca="1"/>
        <v>0</v>
      </c>
      <c r="AS100" s="21">
        <f ca="1"/>
        <v>0</v>
      </c>
      <c r="AT100" s="21">
        <f ca="1"/>
        <v>0</v>
      </c>
      <c r="AU100" s="21">
        <f ca="1"/>
        <v>0</v>
      </c>
      <c r="AV100" s="21">
        <f ca="1"/>
        <v>0</v>
      </c>
      <c r="AW100" s="21">
        <f ca="1"/>
        <v>0</v>
      </c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</row>
    <row r="101" spans="2:79" x14ac:dyDescent="0.25">
      <c r="B101" s="19">
        <f ca="1"/>
        <v>0</v>
      </c>
      <c r="C101" s="21" t="str">
        <f ca="1"/>
        <v>100</v>
      </c>
      <c r="D101" s="21" t="str">
        <f ca="1"/>
        <v>SUN07359</v>
      </c>
      <c r="E101" s="21" t="str">
        <f ca="1"/>
        <v>THAVALAKUPPAM-MAHALAKSHMI AGENCY</v>
      </c>
      <c r="F101" s="21">
        <f ca="1"/>
        <v>6.4560000000000004</v>
      </c>
      <c r="G101" s="21">
        <f ca="1"/>
        <v>0</v>
      </c>
      <c r="H101" s="21">
        <f ca="1"/>
        <v>0</v>
      </c>
      <c r="I101" s="21">
        <f ca="1"/>
        <v>0</v>
      </c>
      <c r="J101" s="21">
        <f ca="1"/>
        <v>0</v>
      </c>
      <c r="K101" s="21">
        <f ca="1"/>
        <v>0</v>
      </c>
      <c r="L101" s="21">
        <f ca="1"/>
        <v>0</v>
      </c>
      <c r="M101" s="21">
        <f ca="1"/>
        <v>0</v>
      </c>
      <c r="N101" s="21">
        <f ca="1"/>
        <v>0</v>
      </c>
      <c r="O101" s="21">
        <f ca="1"/>
        <v>0</v>
      </c>
      <c r="P101" s="21">
        <f ca="1"/>
        <v>0</v>
      </c>
      <c r="Q101" s="21">
        <f ca="1"/>
        <v>0</v>
      </c>
      <c r="R101" s="21">
        <f ca="1"/>
        <v>0</v>
      </c>
      <c r="S101" s="21">
        <f ca="1"/>
        <v>0</v>
      </c>
      <c r="T101" s="21">
        <f ca="1"/>
        <v>0</v>
      </c>
      <c r="U101" s="21">
        <f ca="1"/>
        <v>0</v>
      </c>
      <c r="V101" s="21">
        <f ca="1"/>
        <v>0</v>
      </c>
      <c r="W101" s="21">
        <f ca="1"/>
        <v>0</v>
      </c>
      <c r="X101" s="21">
        <f ca="1"/>
        <v>0</v>
      </c>
      <c r="Y101" s="21">
        <f ca="1"/>
        <v>0</v>
      </c>
      <c r="Z101" s="21">
        <f ca="1"/>
        <v>0</v>
      </c>
      <c r="AA101" s="21">
        <f ca="1"/>
        <v>0</v>
      </c>
      <c r="AB101" s="21">
        <f ca="1"/>
        <v>0</v>
      </c>
      <c r="AC101" s="21">
        <f ca="1"/>
        <v>0</v>
      </c>
      <c r="AD101" s="21">
        <f ca="1"/>
        <v>0</v>
      </c>
      <c r="AE101" s="21">
        <f ca="1"/>
        <v>0</v>
      </c>
      <c r="AF101" s="21">
        <f ca="1"/>
        <v>0</v>
      </c>
      <c r="AG101" s="21">
        <f ca="1"/>
        <v>0</v>
      </c>
      <c r="AH101" s="21">
        <f ca="1"/>
        <v>0</v>
      </c>
      <c r="AI101" s="21">
        <f ca="1"/>
        <v>0</v>
      </c>
      <c r="AJ101" s="21">
        <f ca="1"/>
        <v>0</v>
      </c>
      <c r="AK101" s="21">
        <f ca="1"/>
        <v>0</v>
      </c>
      <c r="AL101" s="21">
        <f ca="1"/>
        <v>0</v>
      </c>
      <c r="AM101" s="21">
        <f ca="1"/>
        <v>0</v>
      </c>
      <c r="AN101" s="21">
        <f ca="1"/>
        <v>0</v>
      </c>
      <c r="AO101" s="21">
        <f ca="1"/>
        <v>0</v>
      </c>
      <c r="AP101" s="21">
        <f ca="1"/>
        <v>0</v>
      </c>
      <c r="AQ101" s="21">
        <f ca="1"/>
        <v>0</v>
      </c>
      <c r="AR101" s="21">
        <f ca="1"/>
        <v>0</v>
      </c>
      <c r="AS101" s="21">
        <f ca="1"/>
        <v>0</v>
      </c>
      <c r="AT101" s="21">
        <f ca="1"/>
        <v>0</v>
      </c>
      <c r="AU101" s="21">
        <f ca="1"/>
        <v>0</v>
      </c>
      <c r="AV101" s="21">
        <f ca="1"/>
        <v>0</v>
      </c>
      <c r="AW101" s="21">
        <f ca="1"/>
        <v>0</v>
      </c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</row>
    <row r="102" spans="2:79" x14ac:dyDescent="0.25">
      <c r="B102" s="19">
        <f ca="1"/>
        <v>0</v>
      </c>
      <c r="C102" s="21" t="str">
        <f ca="1"/>
        <v>101</v>
      </c>
      <c r="D102" s="21" t="str">
        <f ca="1"/>
        <v>SUN06833</v>
      </c>
      <c r="E102" s="21" t="str">
        <f ca="1"/>
        <v>PUDUCHERRY-K.M.P AGENCY</v>
      </c>
      <c r="F102" s="21">
        <f ca="1"/>
        <v>6.5780000000000003</v>
      </c>
      <c r="G102" s="21">
        <f ca="1"/>
        <v>0</v>
      </c>
      <c r="H102" s="21">
        <f ca="1"/>
        <v>0</v>
      </c>
      <c r="I102" s="21">
        <f ca="1"/>
        <v>0</v>
      </c>
      <c r="J102" s="21">
        <f ca="1"/>
        <v>0</v>
      </c>
      <c r="K102" s="21">
        <f ca="1"/>
        <v>0</v>
      </c>
      <c r="L102" s="21">
        <f ca="1"/>
        <v>0</v>
      </c>
      <c r="M102" s="21">
        <f ca="1"/>
        <v>0</v>
      </c>
      <c r="N102" s="21">
        <f ca="1"/>
        <v>0</v>
      </c>
      <c r="O102" s="21">
        <f ca="1"/>
        <v>0</v>
      </c>
      <c r="P102" s="21">
        <f ca="1"/>
        <v>0</v>
      </c>
      <c r="Q102" s="21">
        <f ca="1"/>
        <v>0</v>
      </c>
      <c r="R102" s="21">
        <f ca="1"/>
        <v>0</v>
      </c>
      <c r="S102" s="21">
        <f ca="1"/>
        <v>0</v>
      </c>
      <c r="T102" s="21">
        <f ca="1"/>
        <v>0</v>
      </c>
      <c r="U102" s="21">
        <f ca="1"/>
        <v>0</v>
      </c>
      <c r="V102" s="21">
        <f ca="1"/>
        <v>0</v>
      </c>
      <c r="W102" s="21">
        <f ca="1"/>
        <v>0</v>
      </c>
      <c r="X102" s="21">
        <f ca="1"/>
        <v>0</v>
      </c>
      <c r="Y102" s="21">
        <f ca="1"/>
        <v>0</v>
      </c>
      <c r="Z102" s="21">
        <f ca="1"/>
        <v>0</v>
      </c>
      <c r="AA102" s="21">
        <f ca="1"/>
        <v>0</v>
      </c>
      <c r="AB102" s="21">
        <f ca="1"/>
        <v>0</v>
      </c>
      <c r="AC102" s="21">
        <f ca="1"/>
        <v>0</v>
      </c>
      <c r="AD102" s="21">
        <f ca="1"/>
        <v>0</v>
      </c>
      <c r="AE102" s="21">
        <f ca="1"/>
        <v>0</v>
      </c>
      <c r="AF102" s="21">
        <f ca="1"/>
        <v>0</v>
      </c>
      <c r="AG102" s="21">
        <f ca="1"/>
        <v>0</v>
      </c>
      <c r="AH102" s="21">
        <f ca="1"/>
        <v>0</v>
      </c>
      <c r="AI102" s="21">
        <f ca="1"/>
        <v>0</v>
      </c>
      <c r="AJ102" s="21">
        <f ca="1"/>
        <v>0</v>
      </c>
      <c r="AK102" s="21">
        <f ca="1"/>
        <v>0</v>
      </c>
      <c r="AL102" s="21">
        <f ca="1"/>
        <v>0</v>
      </c>
      <c r="AM102" s="21">
        <f ca="1"/>
        <v>0</v>
      </c>
      <c r="AN102" s="21">
        <f ca="1"/>
        <v>0</v>
      </c>
      <c r="AO102" s="21">
        <f ca="1"/>
        <v>0</v>
      </c>
      <c r="AP102" s="21">
        <f ca="1"/>
        <v>0</v>
      </c>
      <c r="AQ102" s="21">
        <f ca="1"/>
        <v>0</v>
      </c>
      <c r="AR102" s="21">
        <f ca="1"/>
        <v>0</v>
      </c>
      <c r="AS102" s="21">
        <f ca="1"/>
        <v>0</v>
      </c>
      <c r="AT102" s="21">
        <f ca="1"/>
        <v>0</v>
      </c>
      <c r="AU102" s="21">
        <f ca="1"/>
        <v>0</v>
      </c>
      <c r="AV102" s="21">
        <f ca="1"/>
        <v>0</v>
      </c>
      <c r="AW102" s="21">
        <f ca="1"/>
        <v>0</v>
      </c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</row>
    <row r="103" spans="2:79" x14ac:dyDescent="0.25">
      <c r="B103" s="19">
        <f ca="1"/>
        <v>0</v>
      </c>
      <c r="C103" s="21" t="str">
        <f ca="1"/>
        <v>102</v>
      </c>
      <c r="D103" s="21" t="str">
        <f ca="1"/>
        <v>SUN01145</v>
      </c>
      <c r="E103" s="21" t="str">
        <f ca="1"/>
        <v>PONDY J.B ENTERPRISES</v>
      </c>
      <c r="F103" s="21">
        <f ca="1"/>
        <v>2.0270000000000001</v>
      </c>
      <c r="G103" s="21">
        <f ca="1"/>
        <v>0</v>
      </c>
      <c r="H103" s="21">
        <f ca="1"/>
        <v>0</v>
      </c>
      <c r="I103" s="21">
        <f ca="1"/>
        <v>0</v>
      </c>
      <c r="J103" s="21">
        <f ca="1"/>
        <v>0</v>
      </c>
      <c r="K103" s="21">
        <f ca="1"/>
        <v>0</v>
      </c>
      <c r="L103" s="21">
        <f ca="1"/>
        <v>0</v>
      </c>
      <c r="M103" s="21">
        <f ca="1"/>
        <v>0</v>
      </c>
      <c r="N103" s="21">
        <f ca="1"/>
        <v>0</v>
      </c>
      <c r="O103" s="21">
        <f ca="1"/>
        <v>0</v>
      </c>
      <c r="P103" s="21">
        <f ca="1"/>
        <v>0</v>
      </c>
      <c r="Q103" s="21">
        <f ca="1"/>
        <v>0</v>
      </c>
      <c r="R103" s="21">
        <f ca="1"/>
        <v>0</v>
      </c>
      <c r="S103" s="21">
        <f ca="1"/>
        <v>0</v>
      </c>
      <c r="T103" s="21">
        <f ca="1"/>
        <v>0</v>
      </c>
      <c r="U103" s="21">
        <f ca="1"/>
        <v>0</v>
      </c>
      <c r="V103" s="21">
        <f ca="1"/>
        <v>0</v>
      </c>
      <c r="W103" s="21">
        <f ca="1"/>
        <v>0</v>
      </c>
      <c r="X103" s="21">
        <f ca="1"/>
        <v>0</v>
      </c>
      <c r="Y103" s="21">
        <f ca="1"/>
        <v>0</v>
      </c>
      <c r="Z103" s="21">
        <f ca="1"/>
        <v>0</v>
      </c>
      <c r="AA103" s="21">
        <f ca="1"/>
        <v>0</v>
      </c>
      <c r="AB103" s="21">
        <f ca="1"/>
        <v>0</v>
      </c>
      <c r="AC103" s="21">
        <f ca="1"/>
        <v>0</v>
      </c>
      <c r="AD103" s="21">
        <f ca="1"/>
        <v>0</v>
      </c>
      <c r="AE103" s="21">
        <f ca="1"/>
        <v>0</v>
      </c>
      <c r="AF103" s="21">
        <f ca="1"/>
        <v>0</v>
      </c>
      <c r="AG103" s="21">
        <f ca="1"/>
        <v>0</v>
      </c>
      <c r="AH103" s="21">
        <f ca="1"/>
        <v>0</v>
      </c>
      <c r="AI103" s="21">
        <f ca="1"/>
        <v>0</v>
      </c>
      <c r="AJ103" s="21">
        <f ca="1"/>
        <v>0</v>
      </c>
      <c r="AK103" s="21">
        <f ca="1"/>
        <v>0</v>
      </c>
      <c r="AL103" s="21">
        <f ca="1"/>
        <v>0</v>
      </c>
      <c r="AM103" s="21">
        <f ca="1"/>
        <v>0</v>
      </c>
      <c r="AN103" s="21">
        <f ca="1"/>
        <v>3</v>
      </c>
      <c r="AO103" s="21">
        <f ca="1"/>
        <v>0</v>
      </c>
      <c r="AP103" s="21">
        <f ca="1"/>
        <v>1</v>
      </c>
      <c r="AQ103" s="21">
        <f ca="1"/>
        <v>0</v>
      </c>
      <c r="AR103" s="21">
        <f ca="1"/>
        <v>0</v>
      </c>
      <c r="AS103" s="21">
        <f ca="1"/>
        <v>0</v>
      </c>
      <c r="AT103" s="21">
        <f ca="1"/>
        <v>0</v>
      </c>
      <c r="AU103" s="21">
        <f ca="1"/>
        <v>0</v>
      </c>
      <c r="AV103" s="21">
        <f ca="1"/>
        <v>0</v>
      </c>
      <c r="AW103" s="21">
        <f ca="1"/>
        <v>0</v>
      </c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</row>
    <row r="104" spans="2:79" x14ac:dyDescent="0.25">
      <c r="B104" s="19">
        <f ca="1"/>
        <v>0</v>
      </c>
      <c r="C104" s="21" t="str">
        <f ca="1"/>
        <v>103</v>
      </c>
      <c r="D104" s="21" t="str">
        <f ca="1"/>
        <v>SUN02291</v>
      </c>
      <c r="E104" s="21" t="str">
        <f ca="1"/>
        <v>CBE SULUR AVENUE SUPERMARTS LIMITED</v>
      </c>
      <c r="F104" s="21">
        <f ca="1"/>
        <v>9.1820000000000004</v>
      </c>
      <c r="G104" s="21">
        <f ca="1"/>
        <v>0</v>
      </c>
      <c r="H104" s="21">
        <f ca="1"/>
        <v>0</v>
      </c>
      <c r="I104" s="21">
        <f ca="1"/>
        <v>97</v>
      </c>
      <c r="J104" s="21">
        <f ca="1"/>
        <v>90</v>
      </c>
      <c r="K104" s="21">
        <f ca="1"/>
        <v>0</v>
      </c>
      <c r="L104" s="21">
        <f ca="1"/>
        <v>7</v>
      </c>
      <c r="M104" s="21">
        <f ca="1"/>
        <v>0</v>
      </c>
      <c r="N104" s="21">
        <f ca="1"/>
        <v>0</v>
      </c>
      <c r="O104" s="21">
        <f ca="1"/>
        <v>0</v>
      </c>
      <c r="P104" s="21">
        <f ca="1"/>
        <v>0</v>
      </c>
      <c r="Q104" s="21">
        <f ca="1"/>
        <v>0</v>
      </c>
      <c r="R104" s="21">
        <f ca="1"/>
        <v>0</v>
      </c>
      <c r="S104" s="21">
        <f ca="1"/>
        <v>0</v>
      </c>
      <c r="T104" s="21">
        <f ca="1"/>
        <v>0</v>
      </c>
      <c r="U104" s="21">
        <f ca="1"/>
        <v>0</v>
      </c>
      <c r="V104" s="21">
        <f ca="1"/>
        <v>0</v>
      </c>
      <c r="W104" s="21">
        <f ca="1"/>
        <v>0</v>
      </c>
      <c r="X104" s="21">
        <f ca="1"/>
        <v>0</v>
      </c>
      <c r="Y104" s="21">
        <f ca="1"/>
        <v>0</v>
      </c>
      <c r="Z104" s="21">
        <f ca="1"/>
        <v>0</v>
      </c>
      <c r="AA104" s="21">
        <f ca="1"/>
        <v>0</v>
      </c>
      <c r="AB104" s="21">
        <f ca="1"/>
        <v>0</v>
      </c>
      <c r="AC104" s="21">
        <f ca="1"/>
        <v>0</v>
      </c>
      <c r="AD104" s="21">
        <f ca="1"/>
        <v>0</v>
      </c>
      <c r="AE104" s="21">
        <f ca="1"/>
        <v>0</v>
      </c>
      <c r="AF104" s="21">
        <f ca="1"/>
        <v>0</v>
      </c>
      <c r="AG104" s="21">
        <f ca="1"/>
        <v>0</v>
      </c>
      <c r="AH104" s="21">
        <f ca="1"/>
        <v>0</v>
      </c>
      <c r="AI104" s="21">
        <f ca="1"/>
        <v>0</v>
      </c>
      <c r="AJ104" s="21">
        <f ca="1"/>
        <v>0</v>
      </c>
      <c r="AK104" s="21">
        <f ca="1"/>
        <v>0</v>
      </c>
      <c r="AL104" s="21">
        <f ca="1"/>
        <v>0</v>
      </c>
      <c r="AM104" s="21">
        <f ca="1"/>
        <v>0</v>
      </c>
      <c r="AN104" s="21">
        <f ca="1"/>
        <v>0</v>
      </c>
      <c r="AO104" s="21">
        <f ca="1"/>
        <v>0</v>
      </c>
      <c r="AP104" s="21">
        <f ca="1"/>
        <v>0</v>
      </c>
      <c r="AQ104" s="21">
        <f ca="1"/>
        <v>0</v>
      </c>
      <c r="AR104" s="21">
        <f ca="1"/>
        <v>0</v>
      </c>
      <c r="AS104" s="21">
        <f ca="1"/>
        <v>0</v>
      </c>
      <c r="AT104" s="21">
        <f ca="1"/>
        <v>0</v>
      </c>
      <c r="AU104" s="21">
        <f ca="1"/>
        <v>0</v>
      </c>
      <c r="AV104" s="21">
        <f ca="1"/>
        <v>0</v>
      </c>
      <c r="AW104" s="21">
        <f ca="1"/>
        <v>0</v>
      </c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</row>
    <row r="105" spans="2:79" x14ac:dyDescent="0.25">
      <c r="B105" s="19">
        <f ca="1"/>
        <v>0</v>
      </c>
      <c r="C105" s="21" t="str">
        <f ca="1"/>
        <v>104</v>
      </c>
      <c r="D105" s="21" t="str">
        <f ca="1"/>
        <v>SUN03644</v>
      </c>
      <c r="E105" s="21" t="str">
        <f ca="1"/>
        <v>CBE CHINNIYAMPALAYAM AVENUE SUPERMARTS LTD</v>
      </c>
      <c r="F105" s="21">
        <f ca="1"/>
        <v>5.3140000000000001</v>
      </c>
      <c r="G105" s="21">
        <f ca="1"/>
        <v>0</v>
      </c>
      <c r="H105" s="21">
        <f ca="1"/>
        <v>0</v>
      </c>
      <c r="I105" s="21">
        <f ca="1"/>
        <v>70</v>
      </c>
      <c r="J105" s="21">
        <f ca="1"/>
        <v>70</v>
      </c>
      <c r="K105" s="21">
        <f ca="1"/>
        <v>0</v>
      </c>
      <c r="L105" s="21">
        <f ca="1"/>
        <v>0</v>
      </c>
      <c r="M105" s="21">
        <f ca="1"/>
        <v>0</v>
      </c>
      <c r="N105" s="21">
        <f ca="1"/>
        <v>0</v>
      </c>
      <c r="O105" s="21">
        <f ca="1"/>
        <v>0</v>
      </c>
      <c r="P105" s="21">
        <f ca="1"/>
        <v>0</v>
      </c>
      <c r="Q105" s="21">
        <f ca="1"/>
        <v>0</v>
      </c>
      <c r="R105" s="21">
        <f ca="1"/>
        <v>0</v>
      </c>
      <c r="S105" s="21">
        <f ca="1"/>
        <v>0</v>
      </c>
      <c r="T105" s="21">
        <f ca="1"/>
        <v>0</v>
      </c>
      <c r="U105" s="21">
        <f ca="1"/>
        <v>0</v>
      </c>
      <c r="V105" s="21">
        <f ca="1"/>
        <v>0</v>
      </c>
      <c r="W105" s="21">
        <f ca="1"/>
        <v>0</v>
      </c>
      <c r="X105" s="21">
        <f ca="1"/>
        <v>0</v>
      </c>
      <c r="Y105" s="21">
        <f ca="1"/>
        <v>0</v>
      </c>
      <c r="Z105" s="21">
        <f ca="1"/>
        <v>0</v>
      </c>
      <c r="AA105" s="21">
        <f ca="1"/>
        <v>0</v>
      </c>
      <c r="AB105" s="21">
        <f ca="1"/>
        <v>0</v>
      </c>
      <c r="AC105" s="21">
        <f ca="1"/>
        <v>0</v>
      </c>
      <c r="AD105" s="21">
        <f ca="1"/>
        <v>0</v>
      </c>
      <c r="AE105" s="21">
        <f ca="1"/>
        <v>0</v>
      </c>
      <c r="AF105" s="21">
        <f ca="1"/>
        <v>0</v>
      </c>
      <c r="AG105" s="21">
        <f ca="1"/>
        <v>0</v>
      </c>
      <c r="AH105" s="21">
        <f ca="1"/>
        <v>0</v>
      </c>
      <c r="AI105" s="21">
        <f ca="1"/>
        <v>0</v>
      </c>
      <c r="AJ105" s="21">
        <f ca="1"/>
        <v>0</v>
      </c>
      <c r="AK105" s="21">
        <f ca="1"/>
        <v>0</v>
      </c>
      <c r="AL105" s="21">
        <f ca="1"/>
        <v>0</v>
      </c>
      <c r="AM105" s="21">
        <f ca="1"/>
        <v>0</v>
      </c>
      <c r="AN105" s="21">
        <f ca="1"/>
        <v>0</v>
      </c>
      <c r="AO105" s="21">
        <f ca="1"/>
        <v>0</v>
      </c>
      <c r="AP105" s="21">
        <f ca="1"/>
        <v>0</v>
      </c>
      <c r="AQ105" s="21">
        <f ca="1"/>
        <v>0</v>
      </c>
      <c r="AR105" s="21">
        <f ca="1"/>
        <v>0</v>
      </c>
      <c r="AS105" s="21">
        <f ca="1"/>
        <v>0</v>
      </c>
      <c r="AT105" s="21">
        <f ca="1"/>
        <v>0</v>
      </c>
      <c r="AU105" s="21">
        <f ca="1"/>
        <v>0</v>
      </c>
      <c r="AV105" s="21">
        <f ca="1"/>
        <v>0</v>
      </c>
      <c r="AW105" s="21">
        <f ca="1"/>
        <v>0</v>
      </c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</row>
    <row r="106" spans="2:79" x14ac:dyDescent="0.25">
      <c r="B106" s="19">
        <f ca="1"/>
        <v>0</v>
      </c>
      <c r="C106" s="21" t="str">
        <f ca="1"/>
        <v>105</v>
      </c>
      <c r="D106" s="21" t="str">
        <f ca="1"/>
        <v>SUN02310</v>
      </c>
      <c r="E106" s="21" t="str">
        <f ca="1"/>
        <v>CBE THALAPPAKATTI HOTELS PRIVATE LIMITED</v>
      </c>
      <c r="F106" s="21">
        <f ca="1"/>
        <v>1.456</v>
      </c>
      <c r="G106" s="21">
        <f ca="1"/>
        <v>0</v>
      </c>
      <c r="H106" s="21">
        <f ca="1"/>
        <v>0</v>
      </c>
      <c r="I106" s="21">
        <f ca="1"/>
        <v>0</v>
      </c>
      <c r="J106" s="21">
        <f ca="1"/>
        <v>0</v>
      </c>
      <c r="K106" s="21">
        <f ca="1"/>
        <v>0</v>
      </c>
      <c r="L106" s="21">
        <f ca="1"/>
        <v>0</v>
      </c>
      <c r="M106" s="21">
        <f ca="1"/>
        <v>0</v>
      </c>
      <c r="N106" s="21">
        <f ca="1"/>
        <v>0</v>
      </c>
      <c r="O106" s="21">
        <f ca="1"/>
        <v>0</v>
      </c>
      <c r="P106" s="21">
        <f ca="1"/>
        <v>0</v>
      </c>
      <c r="Q106" s="21">
        <f ca="1"/>
        <v>0</v>
      </c>
      <c r="R106" s="21">
        <f ca="1"/>
        <v>0</v>
      </c>
      <c r="S106" s="21">
        <f ca="1"/>
        <v>0</v>
      </c>
      <c r="T106" s="21">
        <f ca="1"/>
        <v>0</v>
      </c>
      <c r="U106" s="21">
        <f ca="1"/>
        <v>0</v>
      </c>
      <c r="V106" s="21">
        <f ca="1"/>
        <v>0</v>
      </c>
      <c r="W106" s="21">
        <f ca="1"/>
        <v>0</v>
      </c>
      <c r="X106" s="21">
        <f ca="1"/>
        <v>0</v>
      </c>
      <c r="Y106" s="21">
        <f ca="1"/>
        <v>0</v>
      </c>
      <c r="Z106" s="21">
        <f ca="1"/>
        <v>0</v>
      </c>
      <c r="AA106" s="21">
        <f ca="1"/>
        <v>0</v>
      </c>
      <c r="AB106" s="21">
        <f ca="1"/>
        <v>0</v>
      </c>
      <c r="AC106" s="21">
        <f ca="1"/>
        <v>0</v>
      </c>
      <c r="AD106" s="21">
        <f ca="1"/>
        <v>0</v>
      </c>
      <c r="AE106" s="21">
        <f ca="1"/>
        <v>0</v>
      </c>
      <c r="AF106" s="21">
        <f ca="1"/>
        <v>0</v>
      </c>
      <c r="AG106" s="21">
        <f ca="1"/>
        <v>0</v>
      </c>
      <c r="AH106" s="21">
        <f ca="1"/>
        <v>0</v>
      </c>
      <c r="AI106" s="21">
        <f ca="1"/>
        <v>0</v>
      </c>
      <c r="AJ106" s="21">
        <f ca="1"/>
        <v>0</v>
      </c>
      <c r="AK106" s="21">
        <f ca="1"/>
        <v>0</v>
      </c>
      <c r="AL106" s="21">
        <f ca="1"/>
        <v>0</v>
      </c>
      <c r="AM106" s="21">
        <f ca="1"/>
        <v>0</v>
      </c>
      <c r="AN106" s="21">
        <f ca="1"/>
        <v>0</v>
      </c>
      <c r="AO106" s="21">
        <f ca="1"/>
        <v>0</v>
      </c>
      <c r="AP106" s="21">
        <f ca="1"/>
        <v>0</v>
      </c>
      <c r="AQ106" s="21">
        <f ca="1"/>
        <v>0</v>
      </c>
      <c r="AR106" s="21">
        <f ca="1"/>
        <v>0</v>
      </c>
      <c r="AS106" s="21">
        <f ca="1"/>
        <v>0</v>
      </c>
      <c r="AT106" s="21">
        <f ca="1"/>
        <v>0</v>
      </c>
      <c r="AU106" s="21">
        <f ca="1"/>
        <v>0</v>
      </c>
      <c r="AV106" s="21">
        <f ca="1"/>
        <v>0</v>
      </c>
      <c r="AW106" s="21">
        <f ca="1"/>
        <v>0</v>
      </c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</row>
    <row r="107" spans="2:79" x14ac:dyDescent="0.25">
      <c r="B107" s="19">
        <f ca="1"/>
        <v>0</v>
      </c>
      <c r="C107" s="21" t="str">
        <f ca="1"/>
        <v>106</v>
      </c>
      <c r="D107" s="21" t="str">
        <f ca="1"/>
        <v>SUN05625</v>
      </c>
      <c r="E107" s="21" t="str">
        <f ca="1"/>
        <v>CBE LULU INTERNATIONAL SHOPPING MALLS PRIVATE LIMITED</v>
      </c>
      <c r="F107" s="21">
        <f ca="1"/>
        <v>0.91</v>
      </c>
      <c r="G107" s="21">
        <f ca="1"/>
        <v>0</v>
      </c>
      <c r="H107" s="21">
        <f ca="1"/>
        <v>0</v>
      </c>
      <c r="I107" s="21">
        <f ca="1"/>
        <v>50</v>
      </c>
      <c r="J107" s="21">
        <f ca="1"/>
        <v>50</v>
      </c>
      <c r="K107" s="21">
        <f ca="1"/>
        <v>0</v>
      </c>
      <c r="L107" s="21">
        <f ca="1"/>
        <v>0</v>
      </c>
      <c r="M107" s="21">
        <f ca="1"/>
        <v>0</v>
      </c>
      <c r="N107" s="21">
        <f ca="1"/>
        <v>0</v>
      </c>
      <c r="O107" s="21">
        <f ca="1"/>
        <v>0</v>
      </c>
      <c r="P107" s="21">
        <f ca="1"/>
        <v>0</v>
      </c>
      <c r="Q107" s="21">
        <f ca="1"/>
        <v>0</v>
      </c>
      <c r="R107" s="21">
        <f ca="1"/>
        <v>0</v>
      </c>
      <c r="S107" s="21">
        <f ca="1"/>
        <v>0</v>
      </c>
      <c r="T107" s="21">
        <f ca="1"/>
        <v>0</v>
      </c>
      <c r="U107" s="21">
        <f ca="1"/>
        <v>0</v>
      </c>
      <c r="V107" s="21">
        <f ca="1"/>
        <v>0</v>
      </c>
      <c r="W107" s="21">
        <f ca="1"/>
        <v>0</v>
      </c>
      <c r="X107" s="21">
        <f ca="1"/>
        <v>0</v>
      </c>
      <c r="Y107" s="21">
        <f ca="1"/>
        <v>0</v>
      </c>
      <c r="Z107" s="21">
        <f ca="1"/>
        <v>0</v>
      </c>
      <c r="AA107" s="21">
        <f ca="1"/>
        <v>0</v>
      </c>
      <c r="AB107" s="21">
        <f ca="1"/>
        <v>0</v>
      </c>
      <c r="AC107" s="21">
        <f ca="1"/>
        <v>0</v>
      </c>
      <c r="AD107" s="21">
        <f ca="1"/>
        <v>0</v>
      </c>
      <c r="AE107" s="21">
        <f ca="1"/>
        <v>0</v>
      </c>
      <c r="AF107" s="21">
        <f ca="1"/>
        <v>0</v>
      </c>
      <c r="AG107" s="21">
        <f ca="1"/>
        <v>0</v>
      </c>
      <c r="AH107" s="21">
        <f ca="1"/>
        <v>0</v>
      </c>
      <c r="AI107" s="21">
        <f ca="1"/>
        <v>0</v>
      </c>
      <c r="AJ107" s="21">
        <f ca="1"/>
        <v>0</v>
      </c>
      <c r="AK107" s="21">
        <f ca="1"/>
        <v>0</v>
      </c>
      <c r="AL107" s="21">
        <f ca="1"/>
        <v>0</v>
      </c>
      <c r="AM107" s="21">
        <f ca="1"/>
        <v>0</v>
      </c>
      <c r="AN107" s="21">
        <f ca="1"/>
        <v>0</v>
      </c>
      <c r="AO107" s="21">
        <f ca="1"/>
        <v>0</v>
      </c>
      <c r="AP107" s="21">
        <f ca="1"/>
        <v>0</v>
      </c>
      <c r="AQ107" s="21">
        <f ca="1"/>
        <v>0</v>
      </c>
      <c r="AR107" s="21">
        <f ca="1"/>
        <v>0</v>
      </c>
      <c r="AS107" s="21">
        <f ca="1"/>
        <v>0</v>
      </c>
      <c r="AT107" s="21">
        <f ca="1"/>
        <v>0</v>
      </c>
      <c r="AU107" s="21">
        <f ca="1"/>
        <v>0</v>
      </c>
      <c r="AV107" s="21">
        <f ca="1"/>
        <v>0</v>
      </c>
      <c r="AW107" s="21">
        <f ca="1"/>
        <v>0</v>
      </c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</row>
    <row r="108" spans="2:79" x14ac:dyDescent="0.25">
      <c r="B108" s="19">
        <f ca="1"/>
        <v>0</v>
      </c>
      <c r="C108" s="21" t="str">
        <f ca="1"/>
        <v>107</v>
      </c>
      <c r="D108" s="21" t="str">
        <f ca="1"/>
        <v>SUN07068</v>
      </c>
      <c r="E108" s="21" t="str">
        <f ca="1"/>
        <v>PRI-SUNRAJA OIL INDUSTRIES PRIVATE LIMITED</v>
      </c>
      <c r="F108" s="21">
        <f ca="1"/>
        <v>42.933999999999997</v>
      </c>
      <c r="G108" s="21">
        <f ca="1"/>
        <v>0</v>
      </c>
      <c r="H108" s="21">
        <f ca="1"/>
        <v>0</v>
      </c>
      <c r="I108" s="21">
        <f ca="1"/>
        <v>0</v>
      </c>
      <c r="J108" s="21">
        <f ca="1"/>
        <v>0</v>
      </c>
      <c r="K108" s="21">
        <f ca="1"/>
        <v>0</v>
      </c>
      <c r="L108" s="21">
        <f ca="1"/>
        <v>0</v>
      </c>
      <c r="M108" s="21">
        <f ca="1"/>
        <v>0</v>
      </c>
      <c r="N108" s="21">
        <f ca="1"/>
        <v>0</v>
      </c>
      <c r="O108" s="21">
        <f ca="1"/>
        <v>0</v>
      </c>
      <c r="P108" s="21">
        <f ca="1"/>
        <v>0</v>
      </c>
      <c r="Q108" s="21">
        <f ca="1"/>
        <v>0</v>
      </c>
      <c r="R108" s="21">
        <f ca="1"/>
        <v>0</v>
      </c>
      <c r="S108" s="21">
        <f ca="1"/>
        <v>0</v>
      </c>
      <c r="T108" s="21">
        <f ca="1"/>
        <v>0</v>
      </c>
      <c r="U108" s="21">
        <f ca="1"/>
        <v>0</v>
      </c>
      <c r="V108" s="21">
        <f ca="1"/>
        <v>0</v>
      </c>
      <c r="W108" s="21">
        <f ca="1"/>
        <v>0</v>
      </c>
      <c r="X108" s="21">
        <f ca="1"/>
        <v>0</v>
      </c>
      <c r="Y108" s="21">
        <f ca="1"/>
        <v>0</v>
      </c>
      <c r="Z108" s="21">
        <f ca="1"/>
        <v>0</v>
      </c>
      <c r="AA108" s="21">
        <f ca="1"/>
        <v>0</v>
      </c>
      <c r="AB108" s="21">
        <f ca="1"/>
        <v>0</v>
      </c>
      <c r="AC108" s="21">
        <f ca="1"/>
        <v>0</v>
      </c>
      <c r="AD108" s="21">
        <f ca="1"/>
        <v>0</v>
      </c>
      <c r="AE108" s="21">
        <f ca="1"/>
        <v>0</v>
      </c>
      <c r="AF108" s="21">
        <f ca="1"/>
        <v>0</v>
      </c>
      <c r="AG108" s="21">
        <f ca="1"/>
        <v>0</v>
      </c>
      <c r="AH108" s="21">
        <f ca="1"/>
        <v>0</v>
      </c>
      <c r="AI108" s="21">
        <f ca="1"/>
        <v>0</v>
      </c>
      <c r="AJ108" s="21">
        <f ca="1"/>
        <v>0</v>
      </c>
      <c r="AK108" s="21">
        <f ca="1"/>
        <v>0</v>
      </c>
      <c r="AL108" s="21">
        <f ca="1"/>
        <v>0</v>
      </c>
      <c r="AM108" s="21">
        <f ca="1"/>
        <v>0</v>
      </c>
      <c r="AN108" s="21">
        <f ca="1"/>
        <v>0</v>
      </c>
      <c r="AO108" s="21">
        <f ca="1"/>
        <v>0</v>
      </c>
      <c r="AP108" s="21">
        <f ca="1"/>
        <v>0</v>
      </c>
      <c r="AQ108" s="21">
        <f ca="1"/>
        <v>0</v>
      </c>
      <c r="AR108" s="21">
        <f ca="1"/>
        <v>0</v>
      </c>
      <c r="AS108" s="21">
        <f ca="1"/>
        <v>0</v>
      </c>
      <c r="AT108" s="21">
        <f ca="1"/>
        <v>0</v>
      </c>
      <c r="AU108" s="21">
        <f ca="1"/>
        <v>0</v>
      </c>
      <c r="AV108" s="21">
        <f ca="1"/>
        <v>0</v>
      </c>
      <c r="AW108" s="21">
        <f ca="1"/>
        <v>0</v>
      </c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</row>
    <row r="109" spans="2:79" x14ac:dyDescent="0.25">
      <c r="B109" s="19">
        <f ca="1"/>
        <v>0</v>
      </c>
      <c r="C109" s="21" t="str">
        <f ca="1"/>
        <v>108</v>
      </c>
      <c r="D109" s="21" t="str">
        <f ca="1"/>
        <v>SUN03455</v>
      </c>
      <c r="E109" s="21" t="str">
        <f ca="1"/>
        <v>CNI-PUZHAL-SUNRAJA OIL INDUSTRIES</v>
      </c>
      <c r="F109" s="21">
        <f ca="1"/>
        <v>25.07</v>
      </c>
      <c r="G109" s="21">
        <f ca="1"/>
        <v>0</v>
      </c>
      <c r="H109" s="21">
        <f ca="1"/>
        <v>0</v>
      </c>
      <c r="I109" s="21">
        <f ca="1"/>
        <v>0</v>
      </c>
      <c r="J109" s="21">
        <f ca="1"/>
        <v>0</v>
      </c>
      <c r="K109" s="21">
        <f ca="1"/>
        <v>0</v>
      </c>
      <c r="L109" s="21">
        <f ca="1"/>
        <v>0</v>
      </c>
      <c r="M109" s="21">
        <f ca="1"/>
        <v>0</v>
      </c>
      <c r="N109" s="21">
        <f ca="1"/>
        <v>0</v>
      </c>
      <c r="O109" s="21">
        <f ca="1"/>
        <v>0</v>
      </c>
      <c r="P109" s="21">
        <f ca="1"/>
        <v>0</v>
      </c>
      <c r="Q109" s="21">
        <f ca="1"/>
        <v>0</v>
      </c>
      <c r="R109" s="21">
        <f ca="1"/>
        <v>0</v>
      </c>
      <c r="S109" s="21">
        <f ca="1"/>
        <v>0</v>
      </c>
      <c r="T109" s="21">
        <f ca="1"/>
        <v>0</v>
      </c>
      <c r="U109" s="21">
        <f ca="1"/>
        <v>0</v>
      </c>
      <c r="V109" s="21">
        <f ca="1"/>
        <v>0</v>
      </c>
      <c r="W109" s="21">
        <f ca="1"/>
        <v>0</v>
      </c>
      <c r="X109" s="21">
        <f ca="1"/>
        <v>0</v>
      </c>
      <c r="Y109" s="21">
        <f ca="1"/>
        <v>0</v>
      </c>
      <c r="Z109" s="21">
        <f ca="1"/>
        <v>0</v>
      </c>
      <c r="AA109" s="21">
        <f ca="1"/>
        <v>0</v>
      </c>
      <c r="AB109" s="21">
        <f ca="1"/>
        <v>0</v>
      </c>
      <c r="AC109" s="21">
        <f ca="1"/>
        <v>0</v>
      </c>
      <c r="AD109" s="21">
        <f ca="1"/>
        <v>0</v>
      </c>
      <c r="AE109" s="21">
        <f ca="1"/>
        <v>0</v>
      </c>
      <c r="AF109" s="21">
        <f ca="1"/>
        <v>0</v>
      </c>
      <c r="AG109" s="21">
        <f ca="1"/>
        <v>0</v>
      </c>
      <c r="AH109" s="21">
        <f ca="1"/>
        <v>0</v>
      </c>
      <c r="AI109" s="21">
        <f ca="1"/>
        <v>0</v>
      </c>
      <c r="AJ109" s="21">
        <f ca="1"/>
        <v>0</v>
      </c>
      <c r="AK109" s="21">
        <f ca="1"/>
        <v>0</v>
      </c>
      <c r="AL109" s="21">
        <f ca="1"/>
        <v>0</v>
      </c>
      <c r="AM109" s="21">
        <f ca="1"/>
        <v>0</v>
      </c>
      <c r="AN109" s="21">
        <f ca="1"/>
        <v>0</v>
      </c>
      <c r="AO109" s="21">
        <f ca="1"/>
        <v>0</v>
      </c>
      <c r="AP109" s="21">
        <f ca="1"/>
        <v>0</v>
      </c>
      <c r="AQ109" s="21">
        <f ca="1"/>
        <v>0</v>
      </c>
      <c r="AR109" s="21">
        <f ca="1"/>
        <v>0</v>
      </c>
      <c r="AS109" s="21">
        <f ca="1"/>
        <v>0</v>
      </c>
      <c r="AT109" s="21">
        <f ca="1"/>
        <v>0</v>
      </c>
      <c r="AU109" s="21">
        <f ca="1"/>
        <v>0</v>
      </c>
      <c r="AV109" s="21">
        <f ca="1"/>
        <v>0</v>
      </c>
      <c r="AW109" s="21">
        <f ca="1"/>
        <v>0</v>
      </c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</row>
    <row r="110" spans="2:79" x14ac:dyDescent="0.25">
      <c r="B110" s="19">
        <f ca="1"/>
        <v>0</v>
      </c>
      <c r="C110" s="21" t="str">
        <f ca="1"/>
        <v>109</v>
      </c>
      <c r="D110" s="21" t="str">
        <f ca="1"/>
        <v>SUN06608</v>
      </c>
      <c r="E110" s="21" t="str">
        <f ca="1"/>
        <v>MDU-SUNRAJA OIL INDUSTRIES PRIVATE LIMITED</v>
      </c>
      <c r="F110" s="21">
        <f ca="1"/>
        <v>19.827000000000002</v>
      </c>
      <c r="G110" s="21">
        <f ca="1"/>
        <v>0</v>
      </c>
      <c r="H110" s="21">
        <f ca="1"/>
        <v>0</v>
      </c>
      <c r="I110" s="21">
        <f ca="1"/>
        <v>295</v>
      </c>
      <c r="J110" s="21">
        <f ca="1"/>
        <v>295</v>
      </c>
      <c r="K110" s="21">
        <f ca="1"/>
        <v>0</v>
      </c>
      <c r="L110" s="21">
        <f ca="1"/>
        <v>0</v>
      </c>
      <c r="M110" s="21">
        <f ca="1"/>
        <v>0</v>
      </c>
      <c r="N110" s="21">
        <f ca="1"/>
        <v>0</v>
      </c>
      <c r="O110" s="21">
        <f ca="1"/>
        <v>0</v>
      </c>
      <c r="P110" s="21">
        <f ca="1"/>
        <v>0</v>
      </c>
      <c r="Q110" s="21">
        <f ca="1"/>
        <v>0</v>
      </c>
      <c r="R110" s="21">
        <f ca="1"/>
        <v>0</v>
      </c>
      <c r="S110" s="21">
        <f ca="1"/>
        <v>0</v>
      </c>
      <c r="T110" s="21">
        <f ca="1"/>
        <v>0</v>
      </c>
      <c r="U110" s="21">
        <f ca="1"/>
        <v>0</v>
      </c>
      <c r="V110" s="21">
        <f ca="1"/>
        <v>0</v>
      </c>
      <c r="W110" s="21">
        <f ca="1"/>
        <v>0</v>
      </c>
      <c r="X110" s="21">
        <f ca="1"/>
        <v>0</v>
      </c>
      <c r="Y110" s="21">
        <f ca="1"/>
        <v>0</v>
      </c>
      <c r="Z110" s="21">
        <f ca="1"/>
        <v>0</v>
      </c>
      <c r="AA110" s="21">
        <f ca="1"/>
        <v>0</v>
      </c>
      <c r="AB110" s="21">
        <f ca="1"/>
        <v>0</v>
      </c>
      <c r="AC110" s="21">
        <f ca="1"/>
        <v>0</v>
      </c>
      <c r="AD110" s="21">
        <f ca="1"/>
        <v>0</v>
      </c>
      <c r="AE110" s="21">
        <f ca="1"/>
        <v>0</v>
      </c>
      <c r="AF110" s="21">
        <f ca="1"/>
        <v>0</v>
      </c>
      <c r="AG110" s="21">
        <f ca="1"/>
        <v>0</v>
      </c>
      <c r="AH110" s="21">
        <f ca="1"/>
        <v>0</v>
      </c>
      <c r="AI110" s="21">
        <f ca="1"/>
        <v>0</v>
      </c>
      <c r="AJ110" s="21">
        <f ca="1"/>
        <v>0</v>
      </c>
      <c r="AK110" s="21">
        <f ca="1"/>
        <v>0</v>
      </c>
      <c r="AL110" s="21">
        <f ca="1"/>
        <v>0</v>
      </c>
      <c r="AM110" s="21">
        <f ca="1"/>
        <v>0</v>
      </c>
      <c r="AN110" s="21">
        <f ca="1"/>
        <v>60</v>
      </c>
      <c r="AO110" s="21">
        <f ca="1"/>
        <v>0</v>
      </c>
      <c r="AP110" s="21">
        <f ca="1"/>
        <v>0</v>
      </c>
      <c r="AQ110" s="21">
        <f ca="1"/>
        <v>0</v>
      </c>
      <c r="AR110" s="21">
        <f ca="1"/>
        <v>0</v>
      </c>
      <c r="AS110" s="21">
        <f ca="1"/>
        <v>0</v>
      </c>
      <c r="AT110" s="21">
        <f ca="1"/>
        <v>0</v>
      </c>
      <c r="AU110" s="21">
        <f ca="1"/>
        <v>0</v>
      </c>
      <c r="AV110" s="21">
        <f ca="1"/>
        <v>0</v>
      </c>
      <c r="AW110" s="21">
        <f ca="1"/>
        <v>0</v>
      </c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</row>
    <row r="111" spans="2:79" x14ac:dyDescent="0.25">
      <c r="B111" s="19">
        <f ca="1"/>
        <v>0</v>
      </c>
      <c r="C111" s="21" t="str">
        <f ca="1"/>
        <v/>
      </c>
      <c r="D111" s="21" t="str">
        <f ca="1"/>
        <v/>
      </c>
      <c r="E111" s="21" t="str">
        <f ca="1"/>
        <v>TOTAL</v>
      </c>
      <c r="F111" s="21">
        <f ca="1"/>
        <v>214.07499999999999</v>
      </c>
      <c r="G111" s="21">
        <f ca="1"/>
        <v>0</v>
      </c>
      <c r="H111" s="21">
        <f ca="1"/>
        <v>0</v>
      </c>
      <c r="I111" s="21">
        <f ca="1"/>
        <v>935</v>
      </c>
      <c r="J111" s="21">
        <f ca="1"/>
        <v>719</v>
      </c>
      <c r="K111" s="21">
        <f ca="1"/>
        <v>0</v>
      </c>
      <c r="L111" s="21">
        <f ca="1"/>
        <v>216</v>
      </c>
      <c r="M111" s="21">
        <f ca="1"/>
        <v>0</v>
      </c>
      <c r="N111" s="21">
        <f ca="1"/>
        <v>0</v>
      </c>
      <c r="O111" s="21">
        <f ca="1"/>
        <v>0</v>
      </c>
      <c r="P111" s="21">
        <f ca="1"/>
        <v>0</v>
      </c>
      <c r="Q111" s="21">
        <f ca="1"/>
        <v>0</v>
      </c>
      <c r="R111" s="21">
        <f ca="1"/>
        <v>0</v>
      </c>
      <c r="S111" s="21">
        <f ca="1"/>
        <v>0</v>
      </c>
      <c r="T111" s="21">
        <f ca="1"/>
        <v>0</v>
      </c>
      <c r="U111" s="21">
        <f ca="1"/>
        <v>0</v>
      </c>
      <c r="V111" s="21">
        <f ca="1"/>
        <v>0</v>
      </c>
      <c r="W111" s="21">
        <f ca="1"/>
        <v>0</v>
      </c>
      <c r="X111" s="21">
        <f ca="1"/>
        <v>0</v>
      </c>
      <c r="Y111" s="21">
        <f ca="1"/>
        <v>0</v>
      </c>
      <c r="Z111" s="21">
        <f ca="1"/>
        <v>0</v>
      </c>
      <c r="AA111" s="21">
        <f ca="1"/>
        <v>0</v>
      </c>
      <c r="AB111" s="21">
        <f ca="1"/>
        <v>0</v>
      </c>
      <c r="AC111" s="21">
        <f ca="1"/>
        <v>0</v>
      </c>
      <c r="AD111" s="21">
        <f ca="1"/>
        <v>0</v>
      </c>
      <c r="AE111" s="21">
        <f ca="1"/>
        <v>0</v>
      </c>
      <c r="AF111" s="21">
        <f ca="1"/>
        <v>0</v>
      </c>
      <c r="AG111" s="21">
        <f ca="1"/>
        <v>0</v>
      </c>
      <c r="AH111" s="21">
        <f ca="1"/>
        <v>0</v>
      </c>
      <c r="AI111" s="21">
        <f ca="1"/>
        <v>0</v>
      </c>
      <c r="AJ111" s="21">
        <f ca="1"/>
        <v>0</v>
      </c>
      <c r="AK111" s="21">
        <f ca="1"/>
        <v>0</v>
      </c>
      <c r="AL111" s="21">
        <f ca="1"/>
        <v>0</v>
      </c>
      <c r="AM111" s="21">
        <f ca="1"/>
        <v>0</v>
      </c>
      <c r="AN111" s="21">
        <f ca="1"/>
        <v>311</v>
      </c>
      <c r="AO111" s="21">
        <f ca="1"/>
        <v>0</v>
      </c>
      <c r="AP111" s="21">
        <f ca="1"/>
        <v>15</v>
      </c>
      <c r="AQ111" s="21">
        <f ca="1"/>
        <v>0</v>
      </c>
      <c r="AR111" s="21">
        <f ca="1"/>
        <v>0</v>
      </c>
      <c r="AS111" s="21">
        <f ca="1"/>
        <v>0</v>
      </c>
      <c r="AT111" s="21">
        <f ca="1"/>
        <v>0</v>
      </c>
      <c r="AU111" s="21">
        <f ca="1"/>
        <v>0</v>
      </c>
      <c r="AV111" s="21">
        <f ca="1"/>
        <v>0</v>
      </c>
      <c r="AW111" s="21">
        <f ca="1"/>
        <v>0</v>
      </c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</row>
    <row r="112" spans="2:79" x14ac:dyDescent="0.25"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</row>
    <row r="113" spans="3:79" x14ac:dyDescent="0.25"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</row>
    <row r="114" spans="3:79" x14ac:dyDescent="0.25"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</row>
    <row r="115" spans="3:79" x14ac:dyDescent="0.25"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</row>
    <row r="116" spans="3:79" x14ac:dyDescent="0.25"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</row>
    <row r="117" spans="3:79" x14ac:dyDescent="0.25"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</row>
    <row r="118" spans="3:79" x14ac:dyDescent="0.25"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</row>
    <row r="119" spans="3:79" x14ac:dyDescent="0.25"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</row>
    <row r="120" spans="3:79" x14ac:dyDescent="0.25"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</row>
    <row r="121" spans="3:79" x14ac:dyDescent="0.25"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</row>
    <row r="122" spans="3:79" x14ac:dyDescent="0.25"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</row>
    <row r="123" spans="3:79" x14ac:dyDescent="0.25"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</row>
    <row r="124" spans="3:79" x14ac:dyDescent="0.25"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</row>
    <row r="125" spans="3:79" x14ac:dyDescent="0.25"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</row>
    <row r="126" spans="3:79" x14ac:dyDescent="0.25"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</row>
    <row r="127" spans="3:79" x14ac:dyDescent="0.25"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</row>
    <row r="128" spans="3:79" x14ac:dyDescent="0.25"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</row>
    <row r="129" spans="3:79" x14ac:dyDescent="0.25"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</row>
    <row r="130" spans="3:79" x14ac:dyDescent="0.25"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</row>
    <row r="131" spans="3:79" x14ac:dyDescent="0.25"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</row>
    <row r="132" spans="3:79" x14ac:dyDescent="0.25"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</row>
    <row r="133" spans="3:79" x14ac:dyDescent="0.25"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</row>
    <row r="134" spans="3:79" x14ac:dyDescent="0.25"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</row>
    <row r="135" spans="3:79" x14ac:dyDescent="0.25"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</row>
    <row r="136" spans="3:79" x14ac:dyDescent="0.25"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</row>
    <row r="137" spans="3:79" x14ac:dyDescent="0.25"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</row>
    <row r="138" spans="3:79" x14ac:dyDescent="0.25"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</row>
    <row r="139" spans="3:79" x14ac:dyDescent="0.25"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</row>
    <row r="140" spans="3:79" x14ac:dyDescent="0.25"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</row>
    <row r="141" spans="3:79" x14ac:dyDescent="0.25"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</row>
    <row r="142" spans="3:79" x14ac:dyDescent="0.25"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</row>
    <row r="143" spans="3:79" x14ac:dyDescent="0.25"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</row>
    <row r="144" spans="3:79" x14ac:dyDescent="0.25"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</row>
    <row r="145" spans="3:79" x14ac:dyDescent="0.25"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</row>
    <row r="146" spans="3:79" x14ac:dyDescent="0.25"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</row>
    <row r="147" spans="3:79" x14ac:dyDescent="0.25"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</row>
    <row r="148" spans="3:79" x14ac:dyDescent="0.25"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</row>
    <row r="149" spans="3:79" x14ac:dyDescent="0.25"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</row>
    <row r="150" spans="3:79" x14ac:dyDescent="0.25"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</row>
    <row r="151" spans="3:79" x14ac:dyDescent="0.25"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</row>
    <row r="152" spans="3:79" x14ac:dyDescent="0.25"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</row>
    <row r="153" spans="3:79" x14ac:dyDescent="0.25"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</row>
    <row r="154" spans="3:79" x14ac:dyDescent="0.25"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</row>
    <row r="155" spans="3:79" x14ac:dyDescent="0.25"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</row>
    <row r="156" spans="3:79" x14ac:dyDescent="0.25"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</row>
    <row r="157" spans="3:79" x14ac:dyDescent="0.25"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</row>
    <row r="158" spans="3:79" x14ac:dyDescent="0.25"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</row>
    <row r="159" spans="3:79" x14ac:dyDescent="0.25"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</row>
    <row r="160" spans="3:79" x14ac:dyDescent="0.25"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</row>
    <row r="161" spans="3:79" x14ac:dyDescent="0.25"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</row>
    <row r="162" spans="3:79" x14ac:dyDescent="0.25"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</row>
    <row r="163" spans="3:79" x14ac:dyDescent="0.25"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</row>
    <row r="164" spans="3:79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</row>
    <row r="165" spans="3:79" x14ac:dyDescent="0.25"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</row>
    <row r="166" spans="3:79" x14ac:dyDescent="0.25"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</row>
    <row r="167" spans="3:79" x14ac:dyDescent="0.25"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</row>
    <row r="168" spans="3:79" x14ac:dyDescent="0.25"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</row>
    <row r="169" spans="3:79" x14ac:dyDescent="0.25"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</row>
    <row r="170" spans="3:79" x14ac:dyDescent="0.25"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</row>
    <row r="171" spans="3:79" x14ac:dyDescent="0.25"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</row>
    <row r="172" spans="3:79" x14ac:dyDescent="0.25"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</row>
    <row r="173" spans="3:79" x14ac:dyDescent="0.25"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</row>
    <row r="174" spans="3:79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</row>
    <row r="175" spans="3:79" x14ac:dyDescent="0.25"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</row>
    <row r="176" spans="3:79" x14ac:dyDescent="0.25"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</row>
    <row r="177" spans="3:79" x14ac:dyDescent="0.25"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</row>
    <row r="178" spans="3:79" x14ac:dyDescent="0.25"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</row>
    <row r="179" spans="3:79" x14ac:dyDescent="0.25"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</row>
    <row r="180" spans="3:79" x14ac:dyDescent="0.25"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</row>
    <row r="181" spans="3:79" x14ac:dyDescent="0.25"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</row>
    <row r="182" spans="3:79" x14ac:dyDescent="0.25"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</row>
    <row r="183" spans="3:79" x14ac:dyDescent="0.25"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</row>
    <row r="184" spans="3:79" x14ac:dyDescent="0.25"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</row>
    <row r="185" spans="3:79" x14ac:dyDescent="0.25"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</row>
    <row r="186" spans="3:79" x14ac:dyDescent="0.25"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</row>
    <row r="187" spans="3:79" x14ac:dyDescent="0.25"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</row>
    <row r="188" spans="3:79" x14ac:dyDescent="0.25"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</row>
    <row r="189" spans="3:79" x14ac:dyDescent="0.25"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</row>
    <row r="190" spans="3:79" x14ac:dyDescent="0.25"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</row>
    <row r="191" spans="3:79" x14ac:dyDescent="0.25"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</row>
    <row r="192" spans="3:79" x14ac:dyDescent="0.25"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</row>
    <row r="193" spans="3:79" x14ac:dyDescent="0.25"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</row>
    <row r="194" spans="3:79" x14ac:dyDescent="0.25"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</row>
    <row r="195" spans="3:79" x14ac:dyDescent="0.25"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</row>
    <row r="196" spans="3:79" x14ac:dyDescent="0.25"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</row>
    <row r="197" spans="3:79" x14ac:dyDescent="0.25"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</row>
    <row r="198" spans="3:79" x14ac:dyDescent="0.25"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</row>
    <row r="199" spans="3:79" x14ac:dyDescent="0.25"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</row>
    <row r="200" spans="3:79" x14ac:dyDescent="0.25"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</row>
    <row r="201" spans="3:79" x14ac:dyDescent="0.25"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</row>
    <row r="202" spans="3:79" x14ac:dyDescent="0.25"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</row>
    <row r="203" spans="3:79" x14ac:dyDescent="0.25"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</row>
    <row r="204" spans="3:79" x14ac:dyDescent="0.25"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</row>
    <row r="205" spans="3:79" x14ac:dyDescent="0.25"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</row>
    <row r="206" spans="3:79" x14ac:dyDescent="0.25"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</row>
    <row r="207" spans="3:79" x14ac:dyDescent="0.25"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</row>
    <row r="208" spans="3:79" x14ac:dyDescent="0.25"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</row>
    <row r="209" spans="3:79" x14ac:dyDescent="0.25"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</row>
    <row r="210" spans="3:79" x14ac:dyDescent="0.25"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</row>
    <row r="211" spans="3:79" x14ac:dyDescent="0.25"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</row>
    <row r="212" spans="3:79" x14ac:dyDescent="0.25"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</row>
    <row r="213" spans="3:79" x14ac:dyDescent="0.25"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</row>
    <row r="214" spans="3:79" x14ac:dyDescent="0.25"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</row>
    <row r="215" spans="3:79" x14ac:dyDescent="0.25"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</row>
    <row r="216" spans="3:79" x14ac:dyDescent="0.25"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</row>
    <row r="217" spans="3:79" x14ac:dyDescent="0.25"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</row>
    <row r="218" spans="3:79" x14ac:dyDescent="0.25"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</row>
    <row r="219" spans="3:79" x14ac:dyDescent="0.25"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</row>
    <row r="220" spans="3:79" x14ac:dyDescent="0.25"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</row>
    <row r="221" spans="3:79" x14ac:dyDescent="0.25"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</row>
    <row r="222" spans="3:79" x14ac:dyDescent="0.25"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</row>
    <row r="223" spans="3:79" x14ac:dyDescent="0.25"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</row>
    <row r="224" spans="3:79" x14ac:dyDescent="0.25"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</row>
    <row r="225" spans="3:79" x14ac:dyDescent="0.25"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</row>
    <row r="226" spans="3:79" x14ac:dyDescent="0.25"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</row>
    <row r="227" spans="3:79" x14ac:dyDescent="0.25"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</row>
    <row r="228" spans="3:79" x14ac:dyDescent="0.25"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</row>
    <row r="229" spans="3:79" x14ac:dyDescent="0.25"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</row>
    <row r="230" spans="3:79" x14ac:dyDescent="0.25"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</row>
    <row r="231" spans="3:79" x14ac:dyDescent="0.25"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</row>
    <row r="232" spans="3:79" x14ac:dyDescent="0.25"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</row>
    <row r="233" spans="3:79" x14ac:dyDescent="0.25"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</row>
    <row r="234" spans="3:79" x14ac:dyDescent="0.25"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</row>
    <row r="235" spans="3:79" x14ac:dyDescent="0.25"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</row>
    <row r="236" spans="3:79" x14ac:dyDescent="0.25"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</row>
    <row r="237" spans="3:79" x14ac:dyDescent="0.25"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</row>
    <row r="238" spans="3:79" x14ac:dyDescent="0.25"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</row>
    <row r="239" spans="3:79" x14ac:dyDescent="0.25"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</row>
    <row r="240" spans="3:79" x14ac:dyDescent="0.25"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</row>
    <row r="241" spans="3:79" x14ac:dyDescent="0.25"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</row>
    <row r="242" spans="3:79" x14ac:dyDescent="0.25"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</row>
    <row r="243" spans="3:79" x14ac:dyDescent="0.25"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</row>
    <row r="244" spans="3:79" x14ac:dyDescent="0.25"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</row>
    <row r="245" spans="3:79" x14ac:dyDescent="0.25"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</row>
    <row r="246" spans="3:79" x14ac:dyDescent="0.25"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</row>
    <row r="247" spans="3:79" x14ac:dyDescent="0.25"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</row>
    <row r="248" spans="3:79" x14ac:dyDescent="0.25"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</row>
    <row r="249" spans="3:79" x14ac:dyDescent="0.25"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</row>
    <row r="250" spans="3:79" x14ac:dyDescent="0.25"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</row>
    <row r="251" spans="3:79" x14ac:dyDescent="0.25"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</row>
    <row r="252" spans="3:79" x14ac:dyDescent="0.25"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</row>
    <row r="253" spans="3:79" x14ac:dyDescent="0.25"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</row>
    <row r="254" spans="3:79" x14ac:dyDescent="0.25"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</row>
    <row r="255" spans="3:79" x14ac:dyDescent="0.25"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</row>
    <row r="256" spans="3:79" x14ac:dyDescent="0.25"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</row>
    <row r="257" spans="3:79" x14ac:dyDescent="0.25"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</row>
    <row r="258" spans="3:79" x14ac:dyDescent="0.25"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</row>
    <row r="259" spans="3:79" x14ac:dyDescent="0.25"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</row>
    <row r="260" spans="3:79" x14ac:dyDescent="0.25"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</row>
    <row r="261" spans="3:79" x14ac:dyDescent="0.25"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</row>
    <row r="262" spans="3:79" x14ac:dyDescent="0.25"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</row>
    <row r="263" spans="3:79" x14ac:dyDescent="0.25"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</row>
    <row r="264" spans="3:79" x14ac:dyDescent="0.25"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</row>
    <row r="265" spans="3:79" x14ac:dyDescent="0.25"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</row>
    <row r="266" spans="3:79" x14ac:dyDescent="0.25"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</row>
    <row r="267" spans="3:79" x14ac:dyDescent="0.25"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</row>
    <row r="268" spans="3:79" x14ac:dyDescent="0.25"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</row>
    <row r="269" spans="3:79" x14ac:dyDescent="0.25"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</row>
    <row r="270" spans="3:79" x14ac:dyDescent="0.25"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</row>
    <row r="271" spans="3:79" x14ac:dyDescent="0.25"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</row>
    <row r="272" spans="3:79" x14ac:dyDescent="0.25"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</row>
    <row r="273" spans="3:79" x14ac:dyDescent="0.25"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</row>
    <row r="274" spans="3:79" x14ac:dyDescent="0.25"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</row>
    <row r="275" spans="3:79" x14ac:dyDescent="0.25"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</row>
    <row r="276" spans="3:79" x14ac:dyDescent="0.25"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</row>
    <row r="277" spans="3:79" x14ac:dyDescent="0.25"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</row>
    <row r="278" spans="3:79" x14ac:dyDescent="0.25"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</row>
    <row r="279" spans="3:79" x14ac:dyDescent="0.25"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</row>
    <row r="280" spans="3:79" x14ac:dyDescent="0.25"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</row>
    <row r="281" spans="3:79" x14ac:dyDescent="0.25"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</row>
    <row r="282" spans="3:79" x14ac:dyDescent="0.25"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</row>
    <row r="283" spans="3:79" x14ac:dyDescent="0.25"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</row>
    <row r="284" spans="3:79" x14ac:dyDescent="0.25"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</row>
    <row r="285" spans="3:79" x14ac:dyDescent="0.25"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</row>
    <row r="286" spans="3:79" x14ac:dyDescent="0.25"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</row>
    <row r="287" spans="3:79" x14ac:dyDescent="0.25"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</row>
    <row r="288" spans="3:79" x14ac:dyDescent="0.25"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</row>
    <row r="289" spans="3:79" x14ac:dyDescent="0.25"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</row>
    <row r="290" spans="3:79" x14ac:dyDescent="0.25"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</row>
    <row r="291" spans="3:79" x14ac:dyDescent="0.25"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</row>
    <row r="292" spans="3:79" x14ac:dyDescent="0.25"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</row>
    <row r="293" spans="3:79" x14ac:dyDescent="0.25"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</row>
    <row r="294" spans="3:79" x14ac:dyDescent="0.25"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</row>
    <row r="295" spans="3:79" x14ac:dyDescent="0.25"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</row>
    <row r="296" spans="3:79" x14ac:dyDescent="0.25"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</row>
    <row r="297" spans="3:79" x14ac:dyDescent="0.25"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</row>
    <row r="298" spans="3:79" x14ac:dyDescent="0.25"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</row>
    <row r="299" spans="3:79" x14ac:dyDescent="0.25"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</row>
    <row r="300" spans="3:79" x14ac:dyDescent="0.25"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</row>
    <row r="301" spans="3:79" x14ac:dyDescent="0.25"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</row>
    <row r="302" spans="3:79" x14ac:dyDescent="0.25"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</row>
    <row r="303" spans="3:79" x14ac:dyDescent="0.25"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</row>
    <row r="304" spans="3:79" x14ac:dyDescent="0.25"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</row>
    <row r="305" spans="3:79" x14ac:dyDescent="0.25"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</row>
    <row r="306" spans="3:79" x14ac:dyDescent="0.25"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</row>
    <row r="307" spans="3:79" x14ac:dyDescent="0.25"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</row>
    <row r="308" spans="3:79" x14ac:dyDescent="0.25"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</row>
    <row r="309" spans="3:79" x14ac:dyDescent="0.25"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</row>
    <row r="310" spans="3:79" x14ac:dyDescent="0.25"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</row>
    <row r="311" spans="3:79" x14ac:dyDescent="0.25"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</row>
    <row r="312" spans="3:79" x14ac:dyDescent="0.25"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</row>
    <row r="313" spans="3:79" x14ac:dyDescent="0.25"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</row>
    <row r="314" spans="3:79" x14ac:dyDescent="0.25"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</row>
    <row r="315" spans="3:79" x14ac:dyDescent="0.25"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</row>
    <row r="316" spans="3:79" x14ac:dyDescent="0.25"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</row>
    <row r="317" spans="3:79" x14ac:dyDescent="0.25"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</row>
    <row r="318" spans="3:79" x14ac:dyDescent="0.25"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</row>
    <row r="319" spans="3:79" x14ac:dyDescent="0.25"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</row>
    <row r="320" spans="3:79" x14ac:dyDescent="0.25"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</row>
    <row r="321" spans="3:79" x14ac:dyDescent="0.25"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</row>
    <row r="322" spans="3:79" x14ac:dyDescent="0.25"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</row>
    <row r="323" spans="3:79" x14ac:dyDescent="0.25"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</row>
    <row r="324" spans="3:79" x14ac:dyDescent="0.25"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</row>
    <row r="325" spans="3:79" x14ac:dyDescent="0.25"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</row>
    <row r="326" spans="3:79" x14ac:dyDescent="0.25"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</row>
    <row r="327" spans="3:79" x14ac:dyDescent="0.25"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</row>
    <row r="328" spans="3:79" x14ac:dyDescent="0.25"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</row>
    <row r="329" spans="3:79" x14ac:dyDescent="0.25"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</row>
    <row r="330" spans="3:79" x14ac:dyDescent="0.25"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</row>
    <row r="331" spans="3:79" x14ac:dyDescent="0.25"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</row>
    <row r="332" spans="3:79" x14ac:dyDescent="0.25"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</row>
    <row r="333" spans="3:79" x14ac:dyDescent="0.25"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</row>
    <row r="334" spans="3:79" x14ac:dyDescent="0.25"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</row>
    <row r="335" spans="3:79" x14ac:dyDescent="0.25"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</row>
    <row r="336" spans="3:79" x14ac:dyDescent="0.25"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</row>
    <row r="337" spans="3:79" x14ac:dyDescent="0.25"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</row>
    <row r="338" spans="3:79" x14ac:dyDescent="0.25"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</row>
    <row r="339" spans="3:79" x14ac:dyDescent="0.25"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</row>
    <row r="340" spans="3:79" x14ac:dyDescent="0.25"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</row>
    <row r="341" spans="3:79" x14ac:dyDescent="0.25"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</row>
    <row r="342" spans="3:79" x14ac:dyDescent="0.25"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</row>
    <row r="343" spans="3:79" x14ac:dyDescent="0.25"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</row>
    <row r="344" spans="3:79" x14ac:dyDescent="0.25"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</row>
    <row r="345" spans="3:79" x14ac:dyDescent="0.25"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</row>
    <row r="346" spans="3:79" x14ac:dyDescent="0.25"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</row>
    <row r="347" spans="3:79" x14ac:dyDescent="0.25"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</row>
    <row r="348" spans="3:79" x14ac:dyDescent="0.25"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</row>
    <row r="349" spans="3:79" x14ac:dyDescent="0.25"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</row>
    <row r="350" spans="3:79" x14ac:dyDescent="0.25"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</row>
    <row r="351" spans="3:79" x14ac:dyDescent="0.25"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</row>
    <row r="352" spans="3:79" x14ac:dyDescent="0.25"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</row>
    <row r="353" spans="3:79" x14ac:dyDescent="0.25"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</row>
    <row r="354" spans="3:79" x14ac:dyDescent="0.25"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</row>
    <row r="355" spans="3:79" x14ac:dyDescent="0.25"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</row>
    <row r="356" spans="3:79" x14ac:dyDescent="0.25"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</row>
    <row r="357" spans="3:79" x14ac:dyDescent="0.25"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</row>
    <row r="358" spans="3:79" x14ac:dyDescent="0.25"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</row>
    <row r="359" spans="3:79" x14ac:dyDescent="0.25"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</row>
    <row r="360" spans="3:79" x14ac:dyDescent="0.25"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</row>
    <row r="361" spans="3:79" x14ac:dyDescent="0.25"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</row>
    <row r="362" spans="3:79" x14ac:dyDescent="0.25"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</row>
    <row r="363" spans="3:79" x14ac:dyDescent="0.25"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</row>
    <row r="364" spans="3:79" x14ac:dyDescent="0.25"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</row>
    <row r="365" spans="3:79" x14ac:dyDescent="0.25"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</row>
    <row r="366" spans="3:79" x14ac:dyDescent="0.25"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</row>
    <row r="367" spans="3:79" x14ac:dyDescent="0.25"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</row>
    <row r="368" spans="3:79" x14ac:dyDescent="0.25"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</row>
    <row r="369" spans="3:79" x14ac:dyDescent="0.25"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</row>
    <row r="370" spans="3:79" x14ac:dyDescent="0.25"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</row>
    <row r="371" spans="3:79" x14ac:dyDescent="0.25"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</row>
    <row r="372" spans="3:79" x14ac:dyDescent="0.25"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</row>
    <row r="373" spans="3:79" x14ac:dyDescent="0.25"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</row>
    <row r="374" spans="3:79" x14ac:dyDescent="0.25"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</row>
    <row r="375" spans="3:79" x14ac:dyDescent="0.25"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</row>
    <row r="376" spans="3:79" x14ac:dyDescent="0.25"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</row>
    <row r="377" spans="3:79" x14ac:dyDescent="0.25"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</row>
    <row r="378" spans="3:79" x14ac:dyDescent="0.25"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</row>
    <row r="379" spans="3:79" x14ac:dyDescent="0.25"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</row>
    <row r="380" spans="3:79" x14ac:dyDescent="0.25"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</row>
    <row r="381" spans="3:79" x14ac:dyDescent="0.25"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</row>
    <row r="382" spans="3:79" x14ac:dyDescent="0.25"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</row>
    <row r="383" spans="3:79" x14ac:dyDescent="0.25"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</row>
    <row r="384" spans="3:79" x14ac:dyDescent="0.25"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</row>
    <row r="385" spans="3:79" x14ac:dyDescent="0.25"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</row>
    <row r="386" spans="3:79" x14ac:dyDescent="0.25"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</row>
    <row r="387" spans="3:79" x14ac:dyDescent="0.25"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</row>
    <row r="388" spans="3:79" x14ac:dyDescent="0.25"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</row>
    <row r="389" spans="3:79" x14ac:dyDescent="0.25"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</row>
    <row r="390" spans="3:79" x14ac:dyDescent="0.25"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</row>
    <row r="391" spans="3:79" x14ac:dyDescent="0.25"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</row>
    <row r="392" spans="3:79" x14ac:dyDescent="0.25"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</row>
    <row r="393" spans="3:79" x14ac:dyDescent="0.25"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</row>
    <row r="394" spans="3:79" x14ac:dyDescent="0.25"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</row>
    <row r="395" spans="3:79" x14ac:dyDescent="0.25"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</row>
    <row r="396" spans="3:79" x14ac:dyDescent="0.25"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</row>
    <row r="397" spans="3:79" x14ac:dyDescent="0.25"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</row>
    <row r="398" spans="3:79" x14ac:dyDescent="0.25"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</row>
    <row r="399" spans="3:79" x14ac:dyDescent="0.25"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</row>
    <row r="400" spans="3:79" x14ac:dyDescent="0.25"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</row>
    <row r="401" spans="3:79" x14ac:dyDescent="0.25"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</row>
    <row r="402" spans="3:79" x14ac:dyDescent="0.25"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</row>
    <row r="403" spans="3:79" x14ac:dyDescent="0.25"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</row>
    <row r="404" spans="3:79" x14ac:dyDescent="0.25"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</row>
    <row r="405" spans="3:79" x14ac:dyDescent="0.25"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</row>
    <row r="406" spans="3:79" x14ac:dyDescent="0.25"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</row>
    <row r="407" spans="3:79" x14ac:dyDescent="0.25"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</row>
    <row r="408" spans="3:79" x14ac:dyDescent="0.25"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</row>
    <row r="409" spans="3:79" x14ac:dyDescent="0.25"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</row>
    <row r="410" spans="3:79" x14ac:dyDescent="0.25"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</row>
    <row r="411" spans="3:79" x14ac:dyDescent="0.25"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</row>
    <row r="412" spans="3:79" x14ac:dyDescent="0.25"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</row>
    <row r="413" spans="3:79" x14ac:dyDescent="0.25"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</row>
    <row r="414" spans="3:79" x14ac:dyDescent="0.25"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</row>
    <row r="415" spans="3:79" x14ac:dyDescent="0.25"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</row>
    <row r="416" spans="3:79" x14ac:dyDescent="0.25"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</row>
    <row r="417" spans="3:79" x14ac:dyDescent="0.25"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</row>
    <row r="418" spans="3:79" x14ac:dyDescent="0.25"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</row>
    <row r="419" spans="3:79" x14ac:dyDescent="0.25"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</row>
    <row r="420" spans="3:79" x14ac:dyDescent="0.25"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</row>
    <row r="421" spans="3:79" x14ac:dyDescent="0.25"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</row>
    <row r="422" spans="3:79" x14ac:dyDescent="0.25"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</row>
    <row r="423" spans="3:79" x14ac:dyDescent="0.25"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</row>
    <row r="424" spans="3:79" x14ac:dyDescent="0.25"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</row>
    <row r="425" spans="3:79" x14ac:dyDescent="0.25"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</row>
    <row r="426" spans="3:79" x14ac:dyDescent="0.25"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</row>
    <row r="427" spans="3:79" x14ac:dyDescent="0.25"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</row>
    <row r="428" spans="3:79" x14ac:dyDescent="0.25"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</row>
    <row r="429" spans="3:79" x14ac:dyDescent="0.25"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</row>
    <row r="430" spans="3:79" x14ac:dyDescent="0.25"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</row>
    <row r="431" spans="3:79" x14ac:dyDescent="0.25"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</row>
    <row r="432" spans="3:79" x14ac:dyDescent="0.25"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</row>
    <row r="433" spans="3:79" x14ac:dyDescent="0.25"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</row>
    <row r="434" spans="3:79" x14ac:dyDescent="0.25"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</row>
    <row r="435" spans="3:79" x14ac:dyDescent="0.25"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</row>
    <row r="436" spans="3:79" x14ac:dyDescent="0.25"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</row>
    <row r="437" spans="3:79" x14ac:dyDescent="0.25"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</row>
    <row r="438" spans="3:79" x14ac:dyDescent="0.25"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</row>
    <row r="439" spans="3:79" x14ac:dyDescent="0.25"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</row>
    <row r="440" spans="3:79" x14ac:dyDescent="0.25"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</row>
    <row r="441" spans="3:79" x14ac:dyDescent="0.25"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</row>
    <row r="442" spans="3:79" x14ac:dyDescent="0.25"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</row>
    <row r="443" spans="3:79" x14ac:dyDescent="0.25"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</row>
    <row r="444" spans="3:79" x14ac:dyDescent="0.25"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</row>
    <row r="445" spans="3:79" x14ac:dyDescent="0.25"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</row>
    <row r="446" spans="3:79" x14ac:dyDescent="0.25"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</row>
    <row r="447" spans="3:79" x14ac:dyDescent="0.25"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</row>
    <row r="448" spans="3:79" x14ac:dyDescent="0.25"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</row>
    <row r="449" spans="3:79" x14ac:dyDescent="0.25"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</row>
    <row r="450" spans="3:79" x14ac:dyDescent="0.25"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</row>
    <row r="451" spans="3:79" x14ac:dyDescent="0.25"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</row>
    <row r="452" spans="3:79" x14ac:dyDescent="0.25"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</row>
    <row r="453" spans="3:79" x14ac:dyDescent="0.25"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</row>
    <row r="454" spans="3:79" x14ac:dyDescent="0.25"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</row>
    <row r="455" spans="3:79" x14ac:dyDescent="0.25"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</row>
    <row r="456" spans="3:79" x14ac:dyDescent="0.25"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</row>
    <row r="457" spans="3:79" x14ac:dyDescent="0.25"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</row>
    <row r="458" spans="3:79" x14ac:dyDescent="0.25"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</row>
    <row r="459" spans="3:79" x14ac:dyDescent="0.25"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</row>
    <row r="460" spans="3:79" x14ac:dyDescent="0.25"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</row>
    <row r="461" spans="3:79" x14ac:dyDescent="0.25"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</row>
    <row r="462" spans="3:79" x14ac:dyDescent="0.25"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</row>
    <row r="463" spans="3:79" x14ac:dyDescent="0.25"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</row>
    <row r="464" spans="3:79" x14ac:dyDescent="0.25"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</row>
    <row r="465" spans="3:79" x14ac:dyDescent="0.25"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</row>
    <row r="466" spans="3:79" x14ac:dyDescent="0.25"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</row>
    <row r="467" spans="3:79" x14ac:dyDescent="0.25"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</row>
    <row r="468" spans="3:79" x14ac:dyDescent="0.25"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</row>
    <row r="469" spans="3:79" x14ac:dyDescent="0.25"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</row>
    <row r="470" spans="3:79" x14ac:dyDescent="0.25"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</row>
    <row r="471" spans="3:79" x14ac:dyDescent="0.25"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</row>
    <row r="472" spans="3:79" x14ac:dyDescent="0.25"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</row>
    <row r="473" spans="3:79" x14ac:dyDescent="0.25"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</row>
    <row r="474" spans="3:79" x14ac:dyDescent="0.25"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</row>
    <row r="475" spans="3:79" x14ac:dyDescent="0.25"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</row>
    <row r="476" spans="3:79" x14ac:dyDescent="0.25"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</row>
    <row r="477" spans="3:79" x14ac:dyDescent="0.25"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</row>
    <row r="478" spans="3:79" x14ac:dyDescent="0.25"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</row>
    <row r="479" spans="3:79" x14ac:dyDescent="0.25"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</row>
    <row r="480" spans="3:79" x14ac:dyDescent="0.25"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</row>
    <row r="481" spans="3:79" x14ac:dyDescent="0.25"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</row>
    <row r="482" spans="3:79" x14ac:dyDescent="0.25"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</row>
    <row r="483" spans="3:79" x14ac:dyDescent="0.25"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</row>
    <row r="484" spans="3:79" x14ac:dyDescent="0.25"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</row>
    <row r="485" spans="3:79" x14ac:dyDescent="0.25"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</row>
    <row r="486" spans="3:79" x14ac:dyDescent="0.25"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</row>
    <row r="487" spans="3:79" x14ac:dyDescent="0.25"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</row>
    <row r="488" spans="3:79" x14ac:dyDescent="0.25"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</row>
    <row r="489" spans="3:79" x14ac:dyDescent="0.25"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</row>
    <row r="490" spans="3:79" x14ac:dyDescent="0.25"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</row>
    <row r="491" spans="3:79" x14ac:dyDescent="0.25"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</row>
    <row r="492" spans="3:79" x14ac:dyDescent="0.25"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</row>
    <row r="493" spans="3:79" x14ac:dyDescent="0.25"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</row>
    <row r="494" spans="3:79" x14ac:dyDescent="0.25"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</row>
    <row r="495" spans="3:79" x14ac:dyDescent="0.25"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</row>
    <row r="496" spans="3:79" x14ac:dyDescent="0.25"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</row>
    <row r="497" spans="3:79" x14ac:dyDescent="0.25"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</row>
    <row r="498" spans="3:79" x14ac:dyDescent="0.25"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</row>
    <row r="499" spans="3:79" x14ac:dyDescent="0.25"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</row>
    <row r="500" spans="3:79" x14ac:dyDescent="0.25"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</row>
    <row r="501" spans="3:79" x14ac:dyDescent="0.25"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</row>
    <row r="502" spans="3:79" x14ac:dyDescent="0.25"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  <c r="AH502" s="20"/>
      <c r="AI502" s="20"/>
      <c r="AJ502" s="20"/>
      <c r="AK502" s="20"/>
      <c r="AL502" s="20"/>
      <c r="AM502" s="20"/>
      <c r="AN502" s="20"/>
      <c r="AO502" s="20"/>
      <c r="AP502" s="20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  <c r="BB502" s="20"/>
      <c r="BC502" s="20"/>
      <c r="BD502" s="20"/>
      <c r="BE502" s="20"/>
      <c r="BF502" s="20"/>
      <c r="BG502" s="20"/>
      <c r="BH502" s="20"/>
      <c r="BI502" s="20"/>
      <c r="BJ502" s="20"/>
      <c r="BK502" s="20"/>
      <c r="BL502" s="20"/>
      <c r="BM502" s="20"/>
      <c r="BN502" s="20"/>
      <c r="BO502" s="20"/>
      <c r="BP502" s="20"/>
      <c r="BQ502" s="20"/>
      <c r="BR502" s="20"/>
      <c r="BS502" s="20"/>
      <c r="BT502" s="20"/>
      <c r="BU502" s="20"/>
      <c r="BV502" s="20"/>
      <c r="BW502" s="20"/>
      <c r="BX502" s="20"/>
      <c r="BY502" s="20"/>
      <c r="BZ502" s="20"/>
      <c r="CA502" s="20"/>
    </row>
    <row r="503" spans="3:79" x14ac:dyDescent="0.25"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  <c r="BC503" s="20"/>
      <c r="BD503" s="20"/>
      <c r="BE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</row>
    <row r="504" spans="3:79" x14ac:dyDescent="0.25"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B504" s="20"/>
      <c r="BC504" s="20"/>
      <c r="BD504" s="20"/>
      <c r="BE504" s="20"/>
      <c r="BF504" s="20"/>
      <c r="BG504" s="20"/>
      <c r="BH504" s="20"/>
      <c r="BI504" s="20"/>
      <c r="BJ504" s="20"/>
      <c r="BK504" s="20"/>
      <c r="BL504" s="20"/>
      <c r="BM504" s="20"/>
      <c r="BN504" s="20"/>
      <c r="BO504" s="20"/>
      <c r="BP504" s="20"/>
      <c r="BQ504" s="20"/>
      <c r="BR504" s="20"/>
      <c r="BS504" s="20"/>
      <c r="BT504" s="20"/>
      <c r="BU504" s="20"/>
      <c r="BV504" s="20"/>
      <c r="BW504" s="20"/>
      <c r="BX504" s="20"/>
      <c r="BY504" s="20"/>
      <c r="BZ504" s="20"/>
      <c r="CA504" s="20"/>
    </row>
    <row r="505" spans="3:79" x14ac:dyDescent="0.25"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B505" s="20"/>
      <c r="BC505" s="20"/>
      <c r="BD505" s="20"/>
      <c r="BE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</row>
    <row r="506" spans="3:79" x14ac:dyDescent="0.25"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B506" s="20"/>
      <c r="BC506" s="20"/>
      <c r="BD506" s="20"/>
      <c r="BE506" s="20"/>
      <c r="BF506" s="20"/>
      <c r="BG506" s="20"/>
      <c r="BH506" s="20"/>
      <c r="BI506" s="20"/>
      <c r="BJ506" s="20"/>
      <c r="BK506" s="20"/>
      <c r="BL506" s="20"/>
      <c r="BM506" s="20"/>
      <c r="BN506" s="20"/>
      <c r="BO506" s="20"/>
      <c r="BP506" s="20"/>
      <c r="BQ506" s="20"/>
      <c r="BR506" s="20"/>
      <c r="BS506" s="20"/>
      <c r="BT506" s="20"/>
      <c r="BU506" s="20"/>
      <c r="BV506" s="20"/>
      <c r="BW506" s="20"/>
      <c r="BX506" s="20"/>
      <c r="BY506" s="20"/>
      <c r="BZ506" s="20"/>
      <c r="CA506" s="20"/>
    </row>
    <row r="507" spans="3:79" x14ac:dyDescent="0.25"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  <c r="BC507" s="20"/>
      <c r="BD507" s="20"/>
      <c r="BE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</row>
    <row r="508" spans="3:79" x14ac:dyDescent="0.25"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B508" s="20"/>
      <c r="BC508" s="20"/>
      <c r="BD508" s="20"/>
      <c r="BE508" s="20"/>
      <c r="BF508" s="20"/>
      <c r="BG508" s="20"/>
      <c r="BH508" s="20"/>
      <c r="BI508" s="20"/>
      <c r="BJ508" s="20"/>
      <c r="BK508" s="20"/>
      <c r="BL508" s="20"/>
      <c r="BM508" s="20"/>
      <c r="BN508" s="20"/>
      <c r="BO508" s="20"/>
      <c r="BP508" s="20"/>
      <c r="BQ508" s="20"/>
      <c r="BR508" s="20"/>
      <c r="BS508" s="20"/>
      <c r="BT508" s="20"/>
      <c r="BU508" s="20"/>
      <c r="BV508" s="20"/>
      <c r="BW508" s="20"/>
      <c r="BX508" s="20"/>
      <c r="BY508" s="20"/>
      <c r="BZ508" s="20"/>
      <c r="CA508" s="20"/>
    </row>
    <row r="509" spans="3:79" x14ac:dyDescent="0.25"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B509" s="20"/>
      <c r="BC509" s="20"/>
      <c r="BD509" s="20"/>
      <c r="BE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</row>
    <row r="510" spans="3:79" x14ac:dyDescent="0.25"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B510" s="20"/>
      <c r="BC510" s="20"/>
      <c r="BD510" s="20"/>
      <c r="BE510" s="20"/>
      <c r="BF510" s="20"/>
      <c r="BG510" s="20"/>
      <c r="BH510" s="20"/>
      <c r="BI510" s="20"/>
      <c r="BJ510" s="20"/>
      <c r="BK510" s="20"/>
      <c r="BL510" s="20"/>
      <c r="BM510" s="20"/>
      <c r="BN510" s="20"/>
      <c r="BO510" s="20"/>
      <c r="BP510" s="20"/>
      <c r="BQ510" s="20"/>
      <c r="BR510" s="20"/>
      <c r="BS510" s="20"/>
      <c r="BT510" s="20"/>
      <c r="BU510" s="20"/>
      <c r="BV510" s="20"/>
      <c r="BW510" s="20"/>
      <c r="BX510" s="20"/>
      <c r="BY510" s="20"/>
      <c r="BZ510" s="20"/>
      <c r="CA510" s="20"/>
    </row>
    <row r="511" spans="3:79" x14ac:dyDescent="0.25"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  <c r="BC511" s="20"/>
      <c r="BD511" s="20"/>
      <c r="BE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</row>
    <row r="512" spans="3:79" x14ac:dyDescent="0.25"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B512" s="20"/>
      <c r="BC512" s="20"/>
      <c r="BD512" s="20"/>
      <c r="BE512" s="20"/>
      <c r="BF512" s="20"/>
      <c r="BG512" s="20"/>
      <c r="BH512" s="20"/>
      <c r="BI512" s="20"/>
      <c r="BJ512" s="20"/>
      <c r="BK512" s="20"/>
      <c r="BL512" s="20"/>
      <c r="BM512" s="20"/>
      <c r="BN512" s="20"/>
      <c r="BO512" s="20"/>
      <c r="BP512" s="20"/>
      <c r="BQ512" s="20"/>
      <c r="BR512" s="20"/>
      <c r="BS512" s="20"/>
      <c r="BT512" s="20"/>
      <c r="BU512" s="20"/>
      <c r="BV512" s="20"/>
      <c r="BW512" s="20"/>
      <c r="BX512" s="20"/>
      <c r="BY512" s="20"/>
      <c r="BZ512" s="20"/>
      <c r="CA512" s="20"/>
    </row>
  </sheetData>
  <conditionalFormatting sqref="D3:E501 C2:E2 C3:C512">
    <cfRule type="expression" dxfId="22" priority="10">
      <formula>E2="TOTAL"</formula>
    </cfRule>
  </conditionalFormatting>
  <conditionalFormatting sqref="C4:E501 D3:E3 C2:C3">
    <cfRule type="containsText" dxfId="21" priority="11" operator="containsText" text="*">
      <formula>NOT(ISERROR(SEARCH("*",C2)))</formula>
    </cfRule>
  </conditionalFormatting>
  <conditionalFormatting sqref="C502:E512">
    <cfRule type="containsText" dxfId="20" priority="7" operator="containsText" text="*">
      <formula>NOT(ISERROR(SEARCH("*",C502)))</formula>
    </cfRule>
  </conditionalFormatting>
  <conditionalFormatting sqref="D502:D512">
    <cfRule type="expression" dxfId="19" priority="9">
      <formula>E502="TOTAL"</formula>
    </cfRule>
  </conditionalFormatting>
  <conditionalFormatting sqref="E502:E512 C1:E1">
    <cfRule type="containsText" dxfId="18" priority="8" operator="containsText" text="TOTAL">
      <formula>NOT(ISERROR(SEARCH("TOTAL",C1)))</formula>
    </cfRule>
  </conditionalFormatting>
  <conditionalFormatting sqref="F3:CA501">
    <cfRule type="cellIs" dxfId="17" priority="5" operator="between">
      <formula>0.1</formula>
      <formula>500000</formula>
    </cfRule>
    <cfRule type="containsText" dxfId="16" priority="6" operator="containsText" text="*">
      <formula>NOT(ISERROR(SEARCH("*",F3)))</formula>
    </cfRule>
  </conditionalFormatting>
  <conditionalFormatting sqref="C2:E2">
    <cfRule type="containsText" dxfId="15" priority="4" operator="containsText" text="*">
      <formula>NOT(ISERROR(SEARCH("*",C2)))</formula>
    </cfRule>
  </conditionalFormatting>
  <conditionalFormatting sqref="F2:CA2">
    <cfRule type="cellIs" dxfId="14" priority="2" operator="between">
      <formula>0.1</formula>
      <formula>500000</formula>
    </cfRule>
    <cfRule type="containsText" dxfId="13" priority="3" operator="containsText" text="*">
      <formula>NOT(ISERROR(SEARCH("*",F2)))</formula>
    </cfRule>
  </conditionalFormatting>
  <conditionalFormatting sqref="C2:C3">
    <cfRule type="expression" dxfId="12" priority="13">
      <formula>E3="TOTAL"</formula>
    </cfRule>
  </conditionalFormatting>
  <conditionalFormatting sqref="C3">
    <cfRule type="containsText" dxfId="11" priority="1" operator="containsText" text="*">
      <formula>NOT(ISERROR(SEARCH("*",C3)))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841A-E733-4880-AD83-580CADD27B5D}">
  <sheetPr codeName="Sheet2">
    <tabColor rgb="FFC00000"/>
  </sheetPr>
  <dimension ref="A1:HA130"/>
  <sheetViews>
    <sheetView workbookViewId="0">
      <selection activeCell="C17" sqref="C17"/>
    </sheetView>
  </sheetViews>
  <sheetFormatPr defaultColWidth="9.140625" defaultRowHeight="15" x14ac:dyDescent="0.25"/>
  <cols>
    <col min="1" max="1" width="4.7109375" bestFit="1" customWidth="1"/>
    <col min="2" max="2" width="9.85546875" bestFit="1" customWidth="1"/>
    <col min="3" max="3" width="53" bestFit="1" customWidth="1"/>
    <col min="4" max="4" width="9" bestFit="1" customWidth="1"/>
    <col min="5" max="5" width="10.42578125" bestFit="1" customWidth="1"/>
    <col min="6" max="7" width="10.42578125" customWidth="1"/>
    <col min="8" max="8" width="11.28515625" bestFit="1" customWidth="1"/>
    <col min="9" max="9" width="11.85546875" bestFit="1" customWidth="1"/>
    <col min="10" max="10" width="10.42578125" bestFit="1" customWidth="1"/>
    <col min="11" max="11" width="9.42578125" bestFit="1" customWidth="1"/>
    <col min="12" max="12" width="10.42578125" bestFit="1" customWidth="1"/>
    <col min="13" max="13" width="8.42578125" bestFit="1" customWidth="1"/>
    <col min="14" max="14" width="10.28515625" bestFit="1" customWidth="1"/>
    <col min="15" max="15" width="9.42578125" bestFit="1" customWidth="1"/>
    <col min="16" max="16" width="10.28515625" bestFit="1" customWidth="1"/>
    <col min="17" max="18" width="9.42578125" bestFit="1" customWidth="1"/>
    <col min="19" max="19" width="7.42578125" bestFit="1" customWidth="1"/>
    <col min="20" max="20" width="10.28515625" bestFit="1" customWidth="1"/>
    <col min="21" max="21" width="6" bestFit="1" customWidth="1"/>
    <col min="22" max="22" width="10.28515625" bestFit="1" customWidth="1"/>
    <col min="23" max="23" width="9.42578125" bestFit="1" customWidth="1"/>
    <col min="24" max="24" width="8.42578125" bestFit="1" customWidth="1"/>
    <col min="25" max="25" width="7" bestFit="1" customWidth="1"/>
    <col min="26" max="26" width="9.42578125" bestFit="1" customWidth="1"/>
    <col min="27" max="27" width="8" bestFit="1" customWidth="1"/>
    <col min="28" max="28" width="9.42578125" bestFit="1" customWidth="1"/>
    <col min="29" max="29" width="7" bestFit="1" customWidth="1"/>
    <col min="30" max="30" width="8.42578125" bestFit="1" customWidth="1"/>
    <col min="31" max="31" width="8" bestFit="1" customWidth="1"/>
    <col min="32" max="33" width="9.42578125" bestFit="1" customWidth="1"/>
    <col min="34" max="34" width="8.42578125" bestFit="1" customWidth="1"/>
    <col min="35" max="35" width="6" bestFit="1" customWidth="1"/>
    <col min="36" max="36" width="9.5703125" bestFit="1" customWidth="1"/>
    <col min="37" max="37" width="10.42578125" bestFit="1" customWidth="1"/>
    <col min="38" max="38" width="9.42578125" bestFit="1" customWidth="1"/>
    <col min="39" max="39" width="9" bestFit="1" customWidth="1"/>
    <col min="40" max="41" width="10.42578125" bestFit="1" customWidth="1"/>
    <col min="42" max="42" width="9.5703125" bestFit="1" customWidth="1"/>
    <col min="43" max="43" width="10.42578125" bestFit="1" customWidth="1"/>
    <col min="44" max="44" width="9.5703125" bestFit="1" customWidth="1"/>
    <col min="45" max="45" width="10.42578125" bestFit="1" customWidth="1"/>
    <col min="46" max="46" width="16.140625" bestFit="1" customWidth="1"/>
    <col min="47" max="47" width="6" bestFit="1" customWidth="1"/>
    <col min="48" max="48" width="9.5703125" bestFit="1" customWidth="1"/>
    <col min="49" max="49" width="13.85546875" bestFit="1" customWidth="1"/>
    <col min="50" max="50" width="10" bestFit="1" customWidth="1"/>
    <col min="51" max="51" width="10.42578125" bestFit="1" customWidth="1"/>
    <col min="52" max="52" width="7.42578125" bestFit="1" customWidth="1"/>
    <col min="53" max="53" width="7" bestFit="1" customWidth="1"/>
    <col min="54" max="54" width="8.42578125" bestFit="1" customWidth="1"/>
    <col min="55" max="55" width="7" bestFit="1" customWidth="1"/>
    <col min="56" max="56" width="8.42578125" bestFit="1" customWidth="1"/>
    <col min="57" max="57" width="6" bestFit="1" customWidth="1"/>
    <col min="58" max="58" width="7.42578125" bestFit="1" customWidth="1"/>
    <col min="59" max="59" width="6" bestFit="1" customWidth="1"/>
    <col min="60" max="60" width="9" bestFit="1" customWidth="1"/>
    <col min="61" max="61" width="10.42578125" bestFit="1" customWidth="1"/>
    <col min="62" max="62" width="9.5703125" bestFit="1" customWidth="1"/>
    <col min="63" max="63" width="10.42578125" bestFit="1" customWidth="1"/>
    <col min="64" max="64" width="8.42578125" bestFit="1" customWidth="1"/>
    <col min="65" max="65" width="6" bestFit="1" customWidth="1"/>
    <col min="66" max="66" width="7.42578125" bestFit="1" customWidth="1"/>
    <col min="67" max="67" width="6" bestFit="1" customWidth="1"/>
    <col min="68" max="68" width="9" bestFit="1" customWidth="1"/>
    <col min="69" max="69" width="10.42578125" bestFit="1" customWidth="1"/>
    <col min="70" max="70" width="7.42578125" bestFit="1" customWidth="1"/>
    <col min="71" max="71" width="6" bestFit="1" customWidth="1"/>
    <col min="72" max="72" width="7.42578125" bestFit="1" customWidth="1"/>
    <col min="73" max="73" width="6" bestFit="1" customWidth="1"/>
    <col min="74" max="74" width="7.42578125" bestFit="1" customWidth="1"/>
    <col min="75" max="75" width="10" bestFit="1" customWidth="1"/>
    <col min="76" max="76" width="7.42578125" bestFit="1" customWidth="1"/>
    <col min="77" max="77" width="8" customWidth="1"/>
    <col min="78" max="78" width="9.5703125" bestFit="1" customWidth="1"/>
    <col min="79" max="79" width="10.42578125" bestFit="1" customWidth="1"/>
    <col min="80" max="80" width="7.28515625" bestFit="1" customWidth="1"/>
    <col min="81" max="81" width="8" bestFit="1" customWidth="1"/>
    <col min="82" max="82" width="10.42578125" bestFit="1" customWidth="1"/>
    <col min="83" max="83" width="8" bestFit="1" customWidth="1"/>
    <col min="84" max="84" width="9.42578125" bestFit="1" customWidth="1"/>
    <col min="85" max="85" width="24.42578125" bestFit="1" customWidth="1"/>
    <col min="86" max="86" width="8.42578125" bestFit="1" customWidth="1"/>
    <col min="87" max="87" width="9" bestFit="1" customWidth="1"/>
    <col min="88" max="88" width="10.42578125" bestFit="1" customWidth="1"/>
    <col min="89" max="89" width="11.85546875" bestFit="1" customWidth="1"/>
    <col min="90" max="90" width="9.42578125" bestFit="1" customWidth="1"/>
    <col min="91" max="91" width="11.85546875" bestFit="1" customWidth="1"/>
    <col min="92" max="92" width="8.42578125" bestFit="1" customWidth="1"/>
    <col min="93" max="93" width="11.85546875" bestFit="1" customWidth="1"/>
    <col min="94" max="94" width="8.42578125" bestFit="1" customWidth="1"/>
    <col min="95" max="95" width="6.85546875" bestFit="1" customWidth="1"/>
    <col min="96" max="96" width="8.42578125" bestFit="1" customWidth="1"/>
    <col min="97" max="97" width="7" bestFit="1" customWidth="1"/>
    <col min="98" max="98" width="12.7109375" bestFit="1" customWidth="1"/>
    <col min="99" max="99" width="10" bestFit="1" customWidth="1"/>
    <col min="100" max="100" width="11.42578125" bestFit="1" customWidth="1"/>
    <col min="101" max="101" width="7" bestFit="1" customWidth="1"/>
    <col min="102" max="102" width="9.42578125" bestFit="1" customWidth="1"/>
    <col min="103" max="103" width="9.5703125" bestFit="1" customWidth="1"/>
    <col min="104" max="104" width="11.42578125" bestFit="1" customWidth="1"/>
    <col min="105" max="105" width="3.7109375" bestFit="1" customWidth="1"/>
    <col min="106" max="106" width="7.28515625" bestFit="1" customWidth="1"/>
    <col min="107" max="107" width="3.7109375" bestFit="1" customWidth="1"/>
    <col min="108" max="108" width="7.28515625" bestFit="1" customWidth="1"/>
    <col min="109" max="109" width="7" bestFit="1" customWidth="1"/>
    <col min="110" max="110" width="9.42578125" bestFit="1" customWidth="1"/>
    <col min="111" max="111" width="3.7109375" bestFit="1" customWidth="1"/>
    <col min="112" max="112" width="9.28515625" bestFit="1" customWidth="1"/>
    <col min="113" max="113" width="10.140625" bestFit="1" customWidth="1"/>
    <col min="114" max="114" width="7.28515625" bestFit="1" customWidth="1"/>
    <col min="115" max="115" width="8" bestFit="1" customWidth="1"/>
    <col min="116" max="116" width="9.42578125" bestFit="1" customWidth="1"/>
    <col min="117" max="117" width="9" bestFit="1" customWidth="1"/>
    <col min="118" max="118" width="10.42578125" bestFit="1" customWidth="1"/>
    <col min="119" max="119" width="10.5703125" bestFit="1" customWidth="1"/>
    <col min="120" max="120" width="11.42578125" bestFit="1" customWidth="1"/>
    <col min="121" max="121" width="10" bestFit="1" customWidth="1"/>
    <col min="122" max="122" width="7.42578125" bestFit="1" customWidth="1"/>
    <col min="123" max="123" width="8" bestFit="1" customWidth="1"/>
    <col min="124" max="124" width="9.42578125" bestFit="1" customWidth="1"/>
    <col min="125" max="125" width="3.7109375" bestFit="1" customWidth="1"/>
    <col min="126" max="126" width="7.28515625" bestFit="1" customWidth="1"/>
    <col min="127" max="127" width="8.42578125" customWidth="1"/>
    <col min="128" max="128" width="7.28515625" bestFit="1" customWidth="1"/>
    <col min="129" max="129" width="3.7109375" bestFit="1" customWidth="1"/>
    <col min="130" max="130" width="7.28515625" bestFit="1" customWidth="1"/>
    <col min="131" max="131" width="3.7109375" bestFit="1" customWidth="1"/>
    <col min="132" max="132" width="10" bestFit="1" customWidth="1"/>
    <col min="133" max="133" width="11.42578125" bestFit="1" customWidth="1"/>
    <col min="134" max="134" width="10.42578125" bestFit="1" customWidth="1"/>
    <col min="135" max="135" width="10" bestFit="1" customWidth="1"/>
    <col min="136" max="136" width="11.42578125" bestFit="1" customWidth="1"/>
    <col min="137" max="137" width="3.7109375" bestFit="1" customWidth="1"/>
    <col min="138" max="138" width="11.7109375" bestFit="1" customWidth="1"/>
    <col min="139" max="139" width="11.85546875" bestFit="1" customWidth="1"/>
    <col min="140" max="140" width="7.28515625" bestFit="1" customWidth="1"/>
    <col min="141" max="141" width="6" bestFit="1" customWidth="1"/>
    <col min="142" max="142" width="8.42578125" bestFit="1" customWidth="1"/>
    <col min="143" max="143" width="8" bestFit="1" customWidth="1"/>
    <col min="144" max="144" width="10.42578125" bestFit="1" customWidth="1"/>
    <col min="145" max="145" width="3.7109375" bestFit="1" customWidth="1"/>
    <col min="146" max="146" width="7.28515625" bestFit="1" customWidth="1"/>
    <col min="147" max="147" width="10.28515625" bestFit="1" customWidth="1"/>
    <col min="148" max="148" width="11.7109375" bestFit="1" customWidth="1"/>
    <col min="149" max="149" width="11.85546875" bestFit="1" customWidth="1"/>
    <col min="150" max="150" width="7.28515625" bestFit="1" customWidth="1"/>
    <col min="151" max="151" width="3.7109375" bestFit="1" customWidth="1"/>
    <col min="152" max="152" width="12.140625" bestFit="1" customWidth="1"/>
    <col min="153" max="153" width="6.85546875" bestFit="1" customWidth="1"/>
    <col min="154" max="154" width="8.42578125" bestFit="1" customWidth="1"/>
    <col min="155" max="155" width="8" bestFit="1" customWidth="1"/>
    <col min="156" max="156" width="11.7109375" bestFit="1" customWidth="1"/>
    <col min="157" max="157" width="11.85546875" bestFit="1" customWidth="1"/>
    <col min="158" max="158" width="7.28515625" bestFit="1" customWidth="1"/>
    <col min="159" max="159" width="3.7109375" bestFit="1" customWidth="1"/>
    <col min="160" max="160" width="11.7109375" bestFit="1" customWidth="1"/>
    <col min="161" max="161" width="11.42578125" bestFit="1" customWidth="1"/>
    <col min="162" max="162" width="7.28515625" bestFit="1" customWidth="1"/>
    <col min="163" max="163" width="8" bestFit="1" customWidth="1"/>
    <col min="164" max="164" width="9.42578125" bestFit="1" customWidth="1"/>
    <col min="165" max="165" width="7" bestFit="1" customWidth="1"/>
    <col min="166" max="166" width="9.42578125" bestFit="1" customWidth="1"/>
    <col min="167" max="167" width="8" bestFit="1" customWidth="1"/>
    <col min="168" max="168" width="9.42578125" bestFit="1" customWidth="1"/>
    <col min="169" max="169" width="3.7109375" bestFit="1" customWidth="1"/>
    <col min="170" max="170" width="10" bestFit="1" customWidth="1"/>
    <col min="171" max="171" width="11.42578125" bestFit="1" customWidth="1"/>
    <col min="172" max="172" width="12.7109375" bestFit="1" customWidth="1"/>
    <col min="173" max="173" width="11.42578125" bestFit="1" customWidth="1"/>
    <col min="174" max="174" width="7.28515625" bestFit="1" customWidth="1"/>
    <col min="175" max="175" width="6" bestFit="1" customWidth="1"/>
    <col min="176" max="176" width="7.42578125" bestFit="1" customWidth="1"/>
    <col min="177" max="177" width="8" bestFit="1" customWidth="1"/>
    <col min="178" max="178" width="10.42578125" bestFit="1" customWidth="1"/>
    <col min="179" max="179" width="3.7109375" bestFit="1" customWidth="1"/>
    <col min="180" max="180" width="11.7109375" bestFit="1" customWidth="1"/>
    <col min="181" max="181" width="11.42578125" bestFit="1" customWidth="1"/>
    <col min="182" max="182" width="7.28515625" bestFit="1" customWidth="1"/>
    <col min="183" max="183" width="3.7109375" bestFit="1" customWidth="1"/>
    <col min="184" max="184" width="7.28515625" bestFit="1" customWidth="1"/>
    <col min="185" max="185" width="9" bestFit="1" customWidth="1"/>
    <col min="186" max="186" width="10.42578125" bestFit="1" customWidth="1"/>
    <col min="187" max="187" width="8" bestFit="1" customWidth="1"/>
    <col min="188" max="188" width="9.42578125" bestFit="1" customWidth="1"/>
    <col min="189" max="189" width="9" bestFit="1" customWidth="1"/>
    <col min="190" max="190" width="10.42578125" bestFit="1" customWidth="1"/>
    <col min="191" max="191" width="3.7109375" bestFit="1" customWidth="1"/>
    <col min="192" max="192" width="7.28515625" bestFit="1" customWidth="1"/>
    <col min="193" max="193" width="3.7109375" bestFit="1" customWidth="1"/>
    <col min="194" max="194" width="7.28515625" bestFit="1" customWidth="1"/>
    <col min="195" max="195" width="3.7109375" bestFit="1" customWidth="1"/>
    <col min="196" max="196" width="7.28515625" bestFit="1" customWidth="1"/>
    <col min="197" max="197" width="3.7109375" bestFit="1" customWidth="1"/>
    <col min="198" max="198" width="10" bestFit="1" customWidth="1"/>
    <col min="199" max="199" width="11.42578125" bestFit="1" customWidth="1"/>
    <col min="200" max="200" width="9.42578125" bestFit="1" customWidth="1"/>
    <col min="201" max="201" width="8" bestFit="1" customWidth="1"/>
    <col min="202" max="202" width="9.42578125" bestFit="1" customWidth="1"/>
    <col min="203" max="203" width="9" bestFit="1" customWidth="1"/>
    <col min="204" max="204" width="10.42578125" bestFit="1" customWidth="1"/>
    <col min="205" max="205" width="8" bestFit="1" customWidth="1"/>
    <col min="206" max="206" width="9.42578125" bestFit="1" customWidth="1"/>
    <col min="207" max="207" width="9" bestFit="1" customWidth="1"/>
    <col min="208" max="208" width="10.42578125" bestFit="1" customWidth="1"/>
    <col min="209" max="209" width="6" bestFit="1" customWidth="1"/>
    <col min="210" max="210" width="7.42578125" bestFit="1" customWidth="1"/>
    <col min="211" max="211" width="8" bestFit="1" customWidth="1"/>
    <col min="212" max="212" width="9.42578125" bestFit="1" customWidth="1"/>
    <col min="213" max="213" width="3.7109375" bestFit="1" customWidth="1"/>
    <col min="214" max="214" width="7.28515625" bestFit="1" customWidth="1"/>
    <col min="215" max="215" width="8" bestFit="1" customWidth="1"/>
    <col min="216" max="216" width="9.42578125" bestFit="1" customWidth="1"/>
    <col min="217" max="217" width="8" bestFit="1" customWidth="1"/>
    <col min="218" max="218" width="9.42578125" bestFit="1" customWidth="1"/>
    <col min="219" max="219" width="8" bestFit="1" customWidth="1"/>
    <col min="220" max="220" width="9.42578125" bestFit="1" customWidth="1"/>
    <col min="221" max="221" width="8" bestFit="1" customWidth="1"/>
    <col min="222" max="222" width="9.42578125" bestFit="1" customWidth="1"/>
    <col min="223" max="223" width="8" bestFit="1" customWidth="1"/>
    <col min="224" max="224" width="9.42578125" bestFit="1" customWidth="1"/>
    <col min="225" max="225" width="3.7109375" bestFit="1" customWidth="1"/>
    <col min="226" max="226" width="7.28515625" bestFit="1" customWidth="1"/>
    <col min="227" max="227" width="6" bestFit="1" customWidth="1"/>
    <col min="228" max="228" width="7.42578125" bestFit="1" customWidth="1"/>
    <col min="229" max="229" width="3.7109375" bestFit="1" customWidth="1"/>
    <col min="230" max="230" width="7.28515625" bestFit="1" customWidth="1"/>
    <col min="231" max="231" width="3.7109375" bestFit="1" customWidth="1"/>
    <col min="232" max="232" width="7.28515625" bestFit="1" customWidth="1"/>
    <col min="233" max="233" width="8" bestFit="1" customWidth="1"/>
    <col min="234" max="234" width="9.42578125" bestFit="1" customWidth="1"/>
    <col min="235" max="235" width="7" bestFit="1" customWidth="1"/>
    <col min="236" max="236" width="8.42578125" bestFit="1" customWidth="1"/>
    <col min="237" max="237" width="3.7109375" bestFit="1" customWidth="1"/>
    <col min="238" max="238" width="7.28515625" bestFit="1" customWidth="1"/>
    <col min="239" max="239" width="3.7109375" bestFit="1" customWidth="1"/>
    <col min="240" max="240" width="7.28515625" bestFit="1" customWidth="1"/>
    <col min="241" max="241" width="3.7109375" bestFit="1" customWidth="1"/>
    <col min="242" max="242" width="7.28515625" bestFit="1" customWidth="1"/>
    <col min="243" max="243" width="7" bestFit="1" customWidth="1"/>
    <col min="244" max="244" width="8.42578125" bestFit="1" customWidth="1"/>
    <col min="245" max="245" width="8" bestFit="1" customWidth="1"/>
    <col min="246" max="246" width="9.42578125" bestFit="1" customWidth="1"/>
    <col min="247" max="247" width="3.7109375" bestFit="1" customWidth="1"/>
    <col min="248" max="248" width="7.28515625" bestFit="1" customWidth="1"/>
    <col min="249" max="249" width="3.7109375" bestFit="1" customWidth="1"/>
    <col min="250" max="250" width="7.28515625" bestFit="1" customWidth="1"/>
    <col min="251" max="251" width="3.7109375" bestFit="1" customWidth="1"/>
    <col min="252" max="252" width="7.28515625" bestFit="1" customWidth="1"/>
    <col min="253" max="253" width="3.7109375" bestFit="1" customWidth="1"/>
    <col min="254" max="254" width="7.28515625" bestFit="1" customWidth="1"/>
    <col min="255" max="255" width="7" bestFit="1" customWidth="1"/>
    <col min="256" max="256" width="8.42578125" bestFit="1" customWidth="1"/>
    <col min="257" max="257" width="3.7109375" bestFit="1" customWidth="1"/>
    <col min="258" max="258" width="7.28515625" bestFit="1" customWidth="1"/>
    <col min="259" max="259" width="3.7109375" bestFit="1" customWidth="1"/>
    <col min="260" max="260" width="7.28515625" bestFit="1" customWidth="1"/>
    <col min="261" max="261" width="7" bestFit="1" customWidth="1"/>
    <col min="262" max="262" width="8.42578125" bestFit="1" customWidth="1"/>
    <col min="263" max="263" width="3.7109375" bestFit="1" customWidth="1"/>
    <col min="264" max="264" width="7.28515625" bestFit="1" customWidth="1"/>
    <col min="265" max="265" width="3.7109375" bestFit="1" customWidth="1"/>
    <col min="266" max="266" width="7.28515625" bestFit="1" customWidth="1"/>
    <col min="267" max="267" width="3.7109375" bestFit="1" customWidth="1"/>
    <col min="268" max="268" width="7.28515625" bestFit="1" customWidth="1"/>
    <col min="269" max="269" width="9" bestFit="1" customWidth="1"/>
    <col min="270" max="270" width="10.42578125" bestFit="1" customWidth="1"/>
    <col min="271" max="271" width="3.7109375" bestFit="1" customWidth="1"/>
    <col min="272" max="272" width="7.28515625" bestFit="1" customWidth="1"/>
    <col min="273" max="273" width="3.7109375" bestFit="1" customWidth="1"/>
    <col min="274" max="274" width="7.28515625" bestFit="1" customWidth="1"/>
    <col min="275" max="275" width="3.7109375" bestFit="1" customWidth="1"/>
    <col min="276" max="276" width="7.28515625" bestFit="1" customWidth="1"/>
    <col min="277" max="277" width="9" bestFit="1" customWidth="1"/>
    <col min="278" max="278" width="10.42578125" bestFit="1" customWidth="1"/>
    <col min="279" max="279" width="3.7109375" bestFit="1" customWidth="1"/>
    <col min="280" max="280" width="7.28515625" bestFit="1" customWidth="1"/>
    <col min="281" max="281" width="6" bestFit="1" customWidth="1"/>
    <col min="282" max="282" width="7.42578125" bestFit="1" customWidth="1"/>
    <col min="283" max="283" width="3.7109375" bestFit="1" customWidth="1"/>
    <col min="284" max="284" width="7.28515625" bestFit="1" customWidth="1"/>
    <col min="285" max="285" width="3.7109375" bestFit="1" customWidth="1"/>
    <col min="286" max="286" width="7.28515625" bestFit="1" customWidth="1"/>
    <col min="287" max="287" width="3.7109375" bestFit="1" customWidth="1"/>
    <col min="288" max="288" width="7.28515625" bestFit="1" customWidth="1"/>
    <col min="289" max="289" width="3.7109375" bestFit="1" customWidth="1"/>
    <col min="290" max="290" width="7.28515625" bestFit="1" customWidth="1"/>
    <col min="291" max="291" width="6" bestFit="1" customWidth="1"/>
    <col min="292" max="292" width="7.42578125" bestFit="1" customWidth="1"/>
    <col min="293" max="293" width="3.7109375" bestFit="1" customWidth="1"/>
    <col min="294" max="294" width="7.28515625" bestFit="1" customWidth="1"/>
    <col min="295" max="295" width="7" bestFit="1" customWidth="1"/>
    <col min="296" max="296" width="8.42578125" bestFit="1" customWidth="1"/>
    <col min="297" max="297" width="3.7109375" bestFit="1" customWidth="1"/>
    <col min="298" max="298" width="7.28515625" bestFit="1" customWidth="1"/>
    <col min="299" max="299" width="3.7109375" bestFit="1" customWidth="1"/>
    <col min="300" max="300" width="7.28515625" bestFit="1" customWidth="1"/>
    <col min="301" max="301" width="3.7109375" bestFit="1" customWidth="1"/>
    <col min="302" max="302" width="7.28515625" bestFit="1" customWidth="1"/>
    <col min="303" max="303" width="3.7109375" bestFit="1" customWidth="1"/>
    <col min="304" max="304" width="7.28515625" bestFit="1" customWidth="1"/>
    <col min="305" max="305" width="10" bestFit="1" customWidth="1"/>
    <col min="306" max="306" width="11.42578125" bestFit="1" customWidth="1"/>
    <col min="307" max="307" width="8" bestFit="1" customWidth="1"/>
    <col min="308" max="308" width="7.28515625" bestFit="1" customWidth="1"/>
    <col min="309" max="309" width="9" bestFit="1" customWidth="1"/>
    <col min="310" max="310" width="10.42578125" bestFit="1" customWidth="1"/>
    <col min="311" max="311" width="8" bestFit="1" customWidth="1"/>
    <col min="312" max="312" width="7.28515625" bestFit="1" customWidth="1"/>
    <col min="313" max="313" width="7" bestFit="1" customWidth="1"/>
    <col min="314" max="314" width="8.42578125" bestFit="1" customWidth="1"/>
    <col min="315" max="315" width="6" bestFit="1" customWidth="1"/>
    <col min="316" max="316" width="7.42578125" bestFit="1" customWidth="1"/>
    <col min="317" max="317" width="3.7109375" bestFit="1" customWidth="1"/>
    <col min="318" max="318" width="7.28515625" bestFit="1" customWidth="1"/>
    <col min="319" max="319" width="3.7109375" bestFit="1" customWidth="1"/>
    <col min="320" max="320" width="7.28515625" bestFit="1" customWidth="1"/>
    <col min="321" max="321" width="3.7109375" bestFit="1" customWidth="1"/>
    <col min="322" max="322" width="7.28515625" bestFit="1" customWidth="1"/>
    <col min="323" max="323" width="10" bestFit="1" customWidth="1"/>
    <col min="324" max="324" width="11.42578125" bestFit="1" customWidth="1"/>
    <col min="325" max="325" width="10" bestFit="1" customWidth="1"/>
    <col min="326" max="326" width="11.42578125" bestFit="1" customWidth="1"/>
    <col min="327" max="327" width="10" bestFit="1" customWidth="1"/>
    <col min="328" max="328" width="11.42578125" bestFit="1" customWidth="1"/>
    <col min="329" max="329" width="9" bestFit="1" customWidth="1"/>
    <col min="330" max="330" width="10.42578125" bestFit="1" customWidth="1"/>
    <col min="331" max="331" width="3.7109375" bestFit="1" customWidth="1"/>
    <col min="332" max="332" width="7.28515625" bestFit="1" customWidth="1"/>
    <col min="333" max="333" width="3.7109375" bestFit="1" customWidth="1"/>
    <col min="334" max="334" width="7.28515625" bestFit="1" customWidth="1"/>
    <col min="335" max="335" width="8" bestFit="1" customWidth="1"/>
    <col min="336" max="336" width="9.42578125" bestFit="1" customWidth="1"/>
    <col min="337" max="337" width="8" bestFit="1" customWidth="1"/>
    <col min="338" max="338" width="9.42578125" bestFit="1" customWidth="1"/>
    <col min="339" max="339" width="3.7109375" bestFit="1" customWidth="1"/>
    <col min="340" max="340" width="7.28515625" bestFit="1" customWidth="1"/>
    <col min="341" max="341" width="3.7109375" bestFit="1" customWidth="1"/>
    <col min="342" max="342" width="7.28515625" bestFit="1" customWidth="1"/>
    <col min="343" max="343" width="3.7109375" bestFit="1" customWidth="1"/>
    <col min="344" max="344" width="7.28515625" bestFit="1" customWidth="1"/>
    <col min="345" max="345" width="3.7109375" bestFit="1" customWidth="1"/>
    <col min="346" max="346" width="7.28515625" bestFit="1" customWidth="1"/>
    <col min="347" max="347" width="8" bestFit="1" customWidth="1"/>
    <col min="348" max="348" width="9.42578125" bestFit="1" customWidth="1"/>
    <col min="349" max="349" width="3.7109375" bestFit="1" customWidth="1"/>
    <col min="350" max="350" width="7.28515625" bestFit="1" customWidth="1"/>
    <col min="351" max="351" width="3.7109375" bestFit="1" customWidth="1"/>
    <col min="352" max="352" width="7.28515625" bestFit="1" customWidth="1"/>
    <col min="353" max="353" width="8" bestFit="1" customWidth="1"/>
    <col min="354" max="354" width="9.42578125" bestFit="1" customWidth="1"/>
    <col min="355" max="355" width="3.7109375" bestFit="1" customWidth="1"/>
    <col min="356" max="356" width="7.28515625" bestFit="1" customWidth="1"/>
    <col min="357" max="357" width="3.7109375" bestFit="1" customWidth="1"/>
    <col min="358" max="358" width="7.28515625" bestFit="1" customWidth="1"/>
    <col min="359" max="359" width="9" bestFit="1" customWidth="1"/>
    <col min="360" max="360" width="11.42578125" bestFit="1" customWidth="1"/>
    <col min="361" max="361" width="3.7109375" bestFit="1" customWidth="1"/>
    <col min="362" max="362" width="7.28515625" bestFit="1" customWidth="1"/>
    <col min="363" max="363" width="8" bestFit="1" customWidth="1"/>
    <col min="364" max="364" width="7.28515625" bestFit="1" customWidth="1"/>
    <col min="365" max="365" width="3.7109375" bestFit="1" customWidth="1"/>
    <col min="366" max="366" width="7.28515625" bestFit="1" customWidth="1"/>
    <col min="367" max="367" width="9" bestFit="1" customWidth="1"/>
    <col min="368" max="368" width="10.42578125" bestFit="1" customWidth="1"/>
    <col min="369" max="369" width="3.7109375" bestFit="1" customWidth="1"/>
    <col min="370" max="370" width="7.28515625" bestFit="1" customWidth="1"/>
    <col min="371" max="371" width="3.7109375" bestFit="1" customWidth="1"/>
    <col min="372" max="372" width="7.28515625" bestFit="1" customWidth="1"/>
    <col min="373" max="373" width="3.7109375" bestFit="1" customWidth="1"/>
    <col min="374" max="374" width="7.28515625" bestFit="1" customWidth="1"/>
    <col min="375" max="375" width="3.7109375" bestFit="1" customWidth="1"/>
    <col min="376" max="376" width="7.28515625" bestFit="1" customWidth="1"/>
    <col min="377" max="377" width="9" bestFit="1" customWidth="1"/>
    <col min="378" max="378" width="10.42578125" bestFit="1" customWidth="1"/>
    <col min="379" max="379" width="3.7109375" bestFit="1" customWidth="1"/>
    <col min="380" max="380" width="7.28515625" bestFit="1" customWidth="1"/>
    <col min="381" max="381" width="3.7109375" bestFit="1" customWidth="1"/>
    <col min="382" max="382" width="7.28515625" bestFit="1" customWidth="1"/>
    <col min="383" max="383" width="7" bestFit="1" customWidth="1"/>
    <col min="384" max="384" width="7.28515625" bestFit="1" customWidth="1"/>
    <col min="385" max="385" width="3.7109375" bestFit="1" customWidth="1"/>
    <col min="386" max="386" width="7.28515625" bestFit="1" customWidth="1"/>
    <col min="387" max="387" width="3.7109375" bestFit="1" customWidth="1"/>
    <col min="388" max="388" width="7.28515625" bestFit="1" customWidth="1"/>
    <col min="389" max="389" width="8" bestFit="1" customWidth="1"/>
    <col min="390" max="390" width="9.42578125" bestFit="1" customWidth="1"/>
    <col min="391" max="391" width="9" bestFit="1" customWidth="1"/>
    <col min="392" max="392" width="10.42578125" bestFit="1" customWidth="1"/>
    <col min="393" max="393" width="3.7109375" bestFit="1" customWidth="1"/>
    <col min="394" max="394" width="7.28515625" bestFit="1" customWidth="1"/>
    <col min="395" max="395" width="3.7109375" bestFit="1" customWidth="1"/>
    <col min="396" max="396" width="7.28515625" bestFit="1" customWidth="1"/>
    <col min="397" max="397" width="8" bestFit="1" customWidth="1"/>
    <col min="398" max="398" width="9.42578125" bestFit="1" customWidth="1"/>
    <col min="399" max="399" width="8" bestFit="1" customWidth="1"/>
    <col min="400" max="400" width="9.42578125" bestFit="1" customWidth="1"/>
    <col min="401" max="401" width="3.7109375" bestFit="1" customWidth="1"/>
    <col min="402" max="402" width="7.28515625" bestFit="1" customWidth="1"/>
    <col min="403" max="403" width="7" bestFit="1" customWidth="1"/>
    <col min="404" max="404" width="7.28515625" bestFit="1" customWidth="1"/>
    <col min="405" max="405" width="8" bestFit="1" customWidth="1"/>
    <col min="406" max="406" width="9.42578125" bestFit="1" customWidth="1"/>
    <col min="407" max="407" width="3.7109375" bestFit="1" customWidth="1"/>
    <col min="408" max="408" width="7.28515625" bestFit="1" customWidth="1"/>
    <col min="409" max="409" width="3.7109375" bestFit="1" customWidth="1"/>
    <col min="410" max="410" width="7.28515625" bestFit="1" customWidth="1"/>
    <col min="411" max="411" width="9" bestFit="1" customWidth="1"/>
    <col min="412" max="412" width="10.42578125" bestFit="1" customWidth="1"/>
    <col min="413" max="413" width="3.7109375" bestFit="1" customWidth="1"/>
    <col min="414" max="414" width="7.28515625" bestFit="1" customWidth="1"/>
    <col min="415" max="415" width="3.7109375" bestFit="1" customWidth="1"/>
    <col min="416" max="416" width="7.28515625" bestFit="1" customWidth="1"/>
    <col min="417" max="417" width="11.5703125" bestFit="1" customWidth="1"/>
    <col min="418" max="418" width="12.42578125" bestFit="1" customWidth="1"/>
  </cols>
  <sheetData>
    <row r="1" spans="1:209" s="73" customFormat="1" x14ac:dyDescent="0.25">
      <c r="A1" s="1" t="s">
        <v>0</v>
      </c>
      <c r="B1" s="1" t="s">
        <v>1</v>
      </c>
      <c r="C1" s="2" t="s">
        <v>2</v>
      </c>
      <c r="D1" s="79" t="s">
        <v>161</v>
      </c>
      <c r="E1" s="80"/>
      <c r="F1" s="79" t="s">
        <v>173</v>
      </c>
      <c r="G1" s="80"/>
      <c r="H1" s="79" t="s">
        <v>180</v>
      </c>
      <c r="I1" s="80"/>
      <c r="J1" s="79" t="s">
        <v>543</v>
      </c>
      <c r="K1" s="80"/>
      <c r="L1" s="79" t="s">
        <v>90</v>
      </c>
      <c r="M1" s="80"/>
      <c r="N1" s="79" t="s">
        <v>100</v>
      </c>
      <c r="O1" s="80"/>
      <c r="P1" s="79" t="s">
        <v>544</v>
      </c>
      <c r="Q1" s="80"/>
      <c r="R1" s="79" t="s">
        <v>75</v>
      </c>
      <c r="S1" s="80"/>
      <c r="T1" s="79" t="s">
        <v>134</v>
      </c>
      <c r="U1" s="80"/>
      <c r="V1" s="79" t="s">
        <v>490</v>
      </c>
      <c r="W1" s="80"/>
      <c r="X1" s="79" t="s">
        <v>706</v>
      </c>
      <c r="Y1" s="80"/>
      <c r="Z1" s="79" t="s">
        <v>715</v>
      </c>
      <c r="AA1" s="80"/>
      <c r="AB1" s="79" t="s">
        <v>475</v>
      </c>
      <c r="AC1" s="80"/>
      <c r="AD1" s="79" t="s">
        <v>676</v>
      </c>
      <c r="AE1" s="80"/>
      <c r="AF1" s="79" t="s">
        <v>680</v>
      </c>
      <c r="AG1" s="80"/>
      <c r="AH1" s="79" t="s">
        <v>728</v>
      </c>
      <c r="AI1" s="80"/>
      <c r="AJ1" s="79" t="s">
        <v>732</v>
      </c>
      <c r="AK1" s="80"/>
      <c r="AL1" s="79" t="s">
        <v>488</v>
      </c>
      <c r="AM1" s="80"/>
      <c r="AN1" s="79" t="s">
        <v>594</v>
      </c>
      <c r="AO1" s="80"/>
      <c r="AP1" s="79" t="s">
        <v>469</v>
      </c>
      <c r="AQ1" s="80"/>
      <c r="AR1" s="79" t="s">
        <v>598</v>
      </c>
      <c r="AS1" s="80"/>
      <c r="AT1" s="79" t="s">
        <v>489</v>
      </c>
      <c r="AU1" s="80"/>
      <c r="AV1" s="79" t="s">
        <v>620</v>
      </c>
      <c r="AW1" s="80"/>
      <c r="AX1" s="79" t="s">
        <v>491</v>
      </c>
      <c r="AY1" s="80"/>
      <c r="AZ1" s="79" t="s">
        <v>721</v>
      </c>
      <c r="BA1" s="80"/>
      <c r="BB1" s="79" t="s">
        <v>723</v>
      </c>
      <c r="BC1" s="80"/>
      <c r="BD1" s="79" t="s">
        <v>34</v>
      </c>
      <c r="BE1" s="80"/>
      <c r="BF1" s="79" t="s">
        <v>40</v>
      </c>
      <c r="BG1" s="80"/>
      <c r="BH1" s="79" t="s">
        <v>495</v>
      </c>
      <c r="BI1" s="80"/>
      <c r="BJ1" s="79" t="s">
        <v>710</v>
      </c>
      <c r="BK1" s="80"/>
      <c r="BL1" s="79" t="s">
        <v>152</v>
      </c>
      <c r="BM1" s="80"/>
      <c r="BN1" s="79" t="s">
        <v>167</v>
      </c>
      <c r="BO1" s="80"/>
      <c r="BP1" s="79" t="s">
        <v>708</v>
      </c>
      <c r="BQ1" s="80"/>
      <c r="BR1" s="79" t="s">
        <v>709</v>
      </c>
      <c r="BS1" s="80"/>
      <c r="BT1" s="79" t="s">
        <v>64</v>
      </c>
      <c r="BU1" s="80"/>
      <c r="BV1" s="79" t="s">
        <v>81</v>
      </c>
      <c r="BW1" s="80"/>
      <c r="BX1" s="79" t="s">
        <v>84</v>
      </c>
      <c r="BY1" s="80"/>
      <c r="BZ1" s="79" t="s">
        <v>474</v>
      </c>
      <c r="CA1" s="80"/>
      <c r="CB1" s="79" t="s">
        <v>545</v>
      </c>
      <c r="CC1" s="80"/>
      <c r="CD1" s="79" t="s">
        <v>546</v>
      </c>
      <c r="CE1" s="80"/>
      <c r="CF1" s="79" t="s">
        <v>206</v>
      </c>
      <c r="CG1" s="80"/>
      <c r="CH1" s="79" t="s">
        <v>38</v>
      </c>
      <c r="CI1" s="80"/>
      <c r="CJ1" s="79" t="s">
        <v>15</v>
      </c>
      <c r="CK1" s="80"/>
      <c r="CL1" s="79" t="s">
        <v>31</v>
      </c>
      <c r="CM1" s="80"/>
      <c r="CN1" s="79" t="s">
        <v>714</v>
      </c>
      <c r="CO1" s="80"/>
      <c r="CP1" s="79" t="s">
        <v>534</v>
      </c>
      <c r="CQ1" s="80"/>
      <c r="CR1" s="79" t="s">
        <v>91</v>
      </c>
      <c r="CS1" s="80"/>
      <c r="CT1" s="79" t="s">
        <v>109</v>
      </c>
      <c r="CU1" s="80"/>
      <c r="CV1" s="79" t="s">
        <v>99</v>
      </c>
      <c r="CW1" s="80"/>
      <c r="CX1" s="79" t="s">
        <v>8</v>
      </c>
      <c r="CY1" s="80"/>
      <c r="CZ1" s="79" t="s">
        <v>705</v>
      </c>
      <c r="DA1" s="80"/>
      <c r="DB1" s="79" t="s">
        <v>522</v>
      </c>
      <c r="DC1" s="80"/>
      <c r="DD1" s="79" t="s">
        <v>590</v>
      </c>
      <c r="DE1" s="80"/>
      <c r="DF1" s="79" t="s">
        <v>591</v>
      </c>
      <c r="DG1" s="80"/>
      <c r="DH1" s="79" t="s">
        <v>178</v>
      </c>
      <c r="DI1" s="80"/>
      <c r="DJ1" s="79" t="s">
        <v>707</v>
      </c>
      <c r="DK1" s="80"/>
      <c r="DL1" s="79" t="s">
        <v>713</v>
      </c>
      <c r="DM1" s="80"/>
      <c r="DN1" s="79" t="s">
        <v>190</v>
      </c>
      <c r="DO1" s="80"/>
      <c r="DP1" s="79" t="s">
        <v>35</v>
      </c>
      <c r="DQ1" s="80"/>
      <c r="DR1" s="79" t="s">
        <v>101</v>
      </c>
      <c r="DS1" s="80"/>
      <c r="DT1" s="79" t="s">
        <v>524</v>
      </c>
      <c r="DU1" s="80"/>
      <c r="DV1" s="79" t="s">
        <v>621</v>
      </c>
      <c r="DW1" s="80"/>
      <c r="DX1" s="79" t="s">
        <v>176</v>
      </c>
      <c r="DY1" s="80"/>
      <c r="DZ1" s="79" t="s">
        <v>717</v>
      </c>
      <c r="EA1" s="80"/>
      <c r="EB1" s="79" t="s">
        <v>716</v>
      </c>
      <c r="EC1" s="80"/>
      <c r="ED1" s="79" t="s">
        <v>677</v>
      </c>
      <c r="EE1" s="80"/>
      <c r="EF1" s="79" t="s">
        <v>89</v>
      </c>
      <c r="EG1" s="80"/>
      <c r="EH1" s="79" t="s">
        <v>11</v>
      </c>
      <c r="EI1" s="80"/>
      <c r="EJ1" s="79" t="s">
        <v>700</v>
      </c>
      <c r="EK1" s="80"/>
      <c r="EL1" s="79" t="s">
        <v>739</v>
      </c>
      <c r="EM1" s="80"/>
      <c r="EN1" s="79" t="s">
        <v>733</v>
      </c>
      <c r="EO1" s="80"/>
      <c r="EP1" s="79" t="s">
        <v>737</v>
      </c>
      <c r="EQ1" s="80"/>
      <c r="ER1" s="79" t="s">
        <v>738</v>
      </c>
      <c r="ES1" s="80"/>
      <c r="ET1" s="79" t="s">
        <v>742</v>
      </c>
      <c r="EU1" s="80"/>
      <c r="EV1" s="79" t="s">
        <v>19</v>
      </c>
      <c r="EW1" s="80"/>
      <c r="EX1" s="79" t="s">
        <v>111</v>
      </c>
      <c r="EY1" s="80"/>
      <c r="EZ1" s="79" t="s">
        <v>140</v>
      </c>
      <c r="FA1" s="80"/>
      <c r="FB1" s="79" t="s">
        <v>492</v>
      </c>
      <c r="FC1" s="80"/>
      <c r="FD1" s="79" t="s">
        <v>32</v>
      </c>
      <c r="FE1" s="80"/>
      <c r="FF1" s="79" t="s">
        <v>126</v>
      </c>
      <c r="FG1" s="80"/>
      <c r="FH1" s="79" t="s">
        <v>127</v>
      </c>
      <c r="FI1" s="80"/>
      <c r="FJ1" s="79" t="s">
        <v>97</v>
      </c>
      <c r="FK1" s="80"/>
      <c r="FL1" s="79" t="s">
        <v>106</v>
      </c>
      <c r="FM1" s="80"/>
      <c r="FN1" s="79" t="s">
        <v>208</v>
      </c>
      <c r="FO1" s="80"/>
      <c r="FP1" s="79" t="s">
        <v>23</v>
      </c>
      <c r="FQ1" s="80"/>
      <c r="FR1" s="79" t="s">
        <v>209</v>
      </c>
      <c r="FS1" s="80"/>
      <c r="FT1" s="22"/>
      <c r="FU1" s="23"/>
      <c r="FV1" s="22"/>
      <c r="FW1" s="23"/>
      <c r="FX1" s="22"/>
      <c r="FY1" s="23"/>
      <c r="FZ1" s="22"/>
      <c r="GA1" s="23"/>
      <c r="GB1" s="22"/>
      <c r="GC1" s="23"/>
      <c r="GD1" s="22"/>
      <c r="GE1" s="23"/>
      <c r="GF1" s="22"/>
      <c r="GG1" s="23"/>
      <c r="GH1" s="22"/>
      <c r="GI1" s="23"/>
      <c r="GJ1" s="22"/>
      <c r="GK1" s="23"/>
      <c r="GL1" s="22"/>
      <c r="GM1" s="23"/>
      <c r="GN1" s="22"/>
      <c r="GO1" s="23"/>
      <c r="GP1" s="22"/>
      <c r="GQ1" s="23"/>
      <c r="GR1" s="22"/>
      <c r="GS1" s="23"/>
      <c r="GT1" s="22"/>
      <c r="GU1" s="23"/>
      <c r="GV1" s="22"/>
      <c r="GW1" s="23"/>
      <c r="GX1" s="22"/>
      <c r="GY1" s="23"/>
      <c r="GZ1" s="22"/>
      <c r="HA1" s="23"/>
    </row>
    <row r="2" spans="1:209" x14ac:dyDescent="0.25">
      <c r="A2" s="1" t="s">
        <v>757</v>
      </c>
      <c r="B2" s="1" t="s">
        <v>757</v>
      </c>
      <c r="C2" s="2" t="s">
        <v>757</v>
      </c>
      <c r="D2" s="1" t="s">
        <v>210</v>
      </c>
      <c r="E2" s="1" t="s">
        <v>211</v>
      </c>
      <c r="F2" s="1" t="s">
        <v>210</v>
      </c>
      <c r="G2" s="1" t="s">
        <v>211</v>
      </c>
      <c r="H2" s="1" t="s">
        <v>210</v>
      </c>
      <c r="I2" s="1" t="s">
        <v>211</v>
      </c>
      <c r="J2" s="1" t="s">
        <v>210</v>
      </c>
      <c r="K2" s="1" t="s">
        <v>211</v>
      </c>
      <c r="L2" s="1" t="s">
        <v>210</v>
      </c>
      <c r="M2" s="1" t="s">
        <v>211</v>
      </c>
      <c r="N2" s="1" t="s">
        <v>210</v>
      </c>
      <c r="O2" s="1" t="s">
        <v>211</v>
      </c>
      <c r="P2" s="1" t="s">
        <v>210</v>
      </c>
      <c r="Q2" s="1" t="s">
        <v>211</v>
      </c>
      <c r="R2" s="1" t="s">
        <v>210</v>
      </c>
      <c r="S2" s="1" t="s">
        <v>211</v>
      </c>
      <c r="T2" s="1" t="s">
        <v>210</v>
      </c>
      <c r="U2" s="1" t="s">
        <v>211</v>
      </c>
      <c r="V2" s="1" t="s">
        <v>210</v>
      </c>
      <c r="W2" s="1" t="s">
        <v>211</v>
      </c>
      <c r="X2" s="1" t="s">
        <v>210</v>
      </c>
      <c r="Y2" s="1" t="s">
        <v>211</v>
      </c>
      <c r="Z2" s="1" t="s">
        <v>210</v>
      </c>
      <c r="AA2" s="1" t="s">
        <v>211</v>
      </c>
      <c r="AB2" s="1" t="s">
        <v>210</v>
      </c>
      <c r="AC2" s="1" t="s">
        <v>211</v>
      </c>
      <c r="AD2" s="1" t="s">
        <v>210</v>
      </c>
      <c r="AE2" s="1" t="s">
        <v>211</v>
      </c>
      <c r="AF2" s="1" t="s">
        <v>210</v>
      </c>
      <c r="AG2" s="1" t="s">
        <v>211</v>
      </c>
      <c r="AH2" s="1" t="s">
        <v>210</v>
      </c>
      <c r="AI2" s="1" t="s">
        <v>211</v>
      </c>
      <c r="AJ2" s="1" t="s">
        <v>210</v>
      </c>
      <c r="AK2" s="1" t="s">
        <v>211</v>
      </c>
      <c r="AL2" s="1" t="s">
        <v>210</v>
      </c>
      <c r="AM2" s="1" t="s">
        <v>211</v>
      </c>
      <c r="AN2" s="1" t="s">
        <v>210</v>
      </c>
      <c r="AO2" s="1" t="s">
        <v>211</v>
      </c>
      <c r="AP2" s="1" t="s">
        <v>210</v>
      </c>
      <c r="AQ2" s="1" t="s">
        <v>211</v>
      </c>
      <c r="AR2" s="1" t="s">
        <v>210</v>
      </c>
      <c r="AS2" s="1" t="s">
        <v>211</v>
      </c>
      <c r="AT2" s="1" t="s">
        <v>210</v>
      </c>
      <c r="AU2" s="1" t="s">
        <v>211</v>
      </c>
      <c r="AV2" s="1" t="s">
        <v>210</v>
      </c>
      <c r="AW2" s="1" t="s">
        <v>211</v>
      </c>
      <c r="AX2" s="1" t="s">
        <v>210</v>
      </c>
      <c r="AY2" s="1" t="s">
        <v>211</v>
      </c>
      <c r="AZ2" s="1" t="s">
        <v>210</v>
      </c>
      <c r="BA2" s="1" t="s">
        <v>211</v>
      </c>
      <c r="BB2" s="1" t="s">
        <v>210</v>
      </c>
      <c r="BC2" s="1" t="s">
        <v>211</v>
      </c>
      <c r="BD2" s="1" t="s">
        <v>210</v>
      </c>
      <c r="BE2" s="1" t="s">
        <v>211</v>
      </c>
      <c r="BF2" s="1" t="s">
        <v>210</v>
      </c>
      <c r="BG2" s="1" t="s">
        <v>211</v>
      </c>
      <c r="BH2" s="1" t="s">
        <v>210</v>
      </c>
      <c r="BI2" s="1" t="s">
        <v>211</v>
      </c>
      <c r="BJ2" s="1" t="s">
        <v>210</v>
      </c>
      <c r="BK2" s="1" t="s">
        <v>211</v>
      </c>
      <c r="BL2" s="1" t="s">
        <v>210</v>
      </c>
      <c r="BM2" s="1" t="s">
        <v>211</v>
      </c>
      <c r="BN2" s="1" t="s">
        <v>210</v>
      </c>
      <c r="BO2" s="1" t="s">
        <v>211</v>
      </c>
      <c r="BP2" s="1" t="s">
        <v>210</v>
      </c>
      <c r="BQ2" s="1" t="s">
        <v>211</v>
      </c>
      <c r="BR2" s="1" t="s">
        <v>210</v>
      </c>
      <c r="BS2" s="1" t="s">
        <v>211</v>
      </c>
      <c r="BT2" s="1" t="s">
        <v>210</v>
      </c>
      <c r="BU2" s="1" t="s">
        <v>211</v>
      </c>
      <c r="BV2" s="1" t="s">
        <v>210</v>
      </c>
      <c r="BW2" s="1" t="s">
        <v>211</v>
      </c>
      <c r="BX2" s="1" t="s">
        <v>210</v>
      </c>
      <c r="BY2" s="1" t="s">
        <v>211</v>
      </c>
      <c r="BZ2" s="1" t="s">
        <v>210</v>
      </c>
      <c r="CA2" s="1" t="s">
        <v>211</v>
      </c>
      <c r="CB2" s="1" t="s">
        <v>210</v>
      </c>
      <c r="CC2" s="1" t="s">
        <v>211</v>
      </c>
      <c r="CD2" s="1" t="s">
        <v>210</v>
      </c>
      <c r="CE2" s="1" t="s">
        <v>211</v>
      </c>
      <c r="CF2" s="1" t="s">
        <v>210</v>
      </c>
      <c r="CG2" s="1" t="s">
        <v>211</v>
      </c>
      <c r="CH2" s="1" t="s">
        <v>210</v>
      </c>
      <c r="CI2" s="1" t="s">
        <v>211</v>
      </c>
      <c r="CJ2" s="1" t="s">
        <v>210</v>
      </c>
      <c r="CK2" s="1" t="s">
        <v>211</v>
      </c>
      <c r="CL2" s="1" t="s">
        <v>210</v>
      </c>
      <c r="CM2" s="1" t="s">
        <v>211</v>
      </c>
      <c r="CN2" s="1" t="s">
        <v>210</v>
      </c>
      <c r="CO2" s="1" t="s">
        <v>211</v>
      </c>
      <c r="CP2" s="1" t="s">
        <v>210</v>
      </c>
      <c r="CQ2" s="1" t="s">
        <v>211</v>
      </c>
      <c r="CR2" s="1" t="s">
        <v>210</v>
      </c>
      <c r="CS2" s="1" t="s">
        <v>211</v>
      </c>
      <c r="CT2" s="1" t="s">
        <v>210</v>
      </c>
      <c r="CU2" s="1" t="s">
        <v>211</v>
      </c>
      <c r="CV2" s="1" t="s">
        <v>210</v>
      </c>
      <c r="CW2" s="1" t="s">
        <v>211</v>
      </c>
      <c r="CX2" s="1" t="s">
        <v>210</v>
      </c>
      <c r="CY2" s="1" t="s">
        <v>211</v>
      </c>
      <c r="CZ2" s="1" t="s">
        <v>210</v>
      </c>
      <c r="DA2" s="1" t="s">
        <v>211</v>
      </c>
      <c r="DB2" s="1" t="s">
        <v>210</v>
      </c>
      <c r="DC2" s="1" t="s">
        <v>211</v>
      </c>
      <c r="DD2" s="1" t="s">
        <v>210</v>
      </c>
      <c r="DE2" s="1" t="s">
        <v>211</v>
      </c>
      <c r="DF2" s="1" t="s">
        <v>210</v>
      </c>
      <c r="DG2" s="1" t="s">
        <v>211</v>
      </c>
      <c r="DH2" s="1" t="s">
        <v>210</v>
      </c>
      <c r="DI2" s="1" t="s">
        <v>211</v>
      </c>
      <c r="DJ2" s="1" t="s">
        <v>210</v>
      </c>
      <c r="DK2" s="1" t="s">
        <v>211</v>
      </c>
      <c r="DL2" s="1" t="s">
        <v>210</v>
      </c>
      <c r="DM2" s="1" t="s">
        <v>211</v>
      </c>
      <c r="DN2" s="1" t="s">
        <v>210</v>
      </c>
      <c r="DO2" s="1" t="s">
        <v>211</v>
      </c>
      <c r="DP2" s="1" t="s">
        <v>210</v>
      </c>
      <c r="DQ2" s="1" t="s">
        <v>211</v>
      </c>
      <c r="DR2" s="1" t="s">
        <v>210</v>
      </c>
      <c r="DS2" s="1" t="s">
        <v>211</v>
      </c>
      <c r="DT2" s="1" t="s">
        <v>210</v>
      </c>
      <c r="DU2" s="1" t="s">
        <v>211</v>
      </c>
      <c r="DV2" s="1" t="s">
        <v>210</v>
      </c>
      <c r="DW2" s="1" t="s">
        <v>211</v>
      </c>
      <c r="DX2" s="1" t="s">
        <v>210</v>
      </c>
      <c r="DY2" s="1" t="s">
        <v>211</v>
      </c>
      <c r="DZ2" s="1" t="s">
        <v>210</v>
      </c>
      <c r="EA2" s="1" t="s">
        <v>211</v>
      </c>
      <c r="EB2" s="1" t="s">
        <v>210</v>
      </c>
      <c r="EC2" s="1" t="s">
        <v>211</v>
      </c>
      <c r="ED2" s="1" t="s">
        <v>210</v>
      </c>
      <c r="EE2" s="1" t="s">
        <v>211</v>
      </c>
      <c r="EF2" s="1" t="s">
        <v>210</v>
      </c>
      <c r="EG2" s="1" t="s">
        <v>211</v>
      </c>
      <c r="EH2" s="1" t="s">
        <v>210</v>
      </c>
      <c r="EI2" s="1" t="s">
        <v>211</v>
      </c>
      <c r="EJ2" s="1" t="s">
        <v>210</v>
      </c>
      <c r="EK2" s="1" t="s">
        <v>211</v>
      </c>
      <c r="EL2" s="1" t="s">
        <v>210</v>
      </c>
      <c r="EM2" s="1" t="s">
        <v>211</v>
      </c>
      <c r="EN2" s="1" t="s">
        <v>210</v>
      </c>
      <c r="EO2" s="1" t="s">
        <v>211</v>
      </c>
      <c r="EP2" s="1" t="s">
        <v>210</v>
      </c>
      <c r="EQ2" s="1" t="s">
        <v>211</v>
      </c>
      <c r="ER2" s="1" t="s">
        <v>210</v>
      </c>
      <c r="ES2" s="1" t="s">
        <v>211</v>
      </c>
      <c r="ET2" s="1" t="s">
        <v>210</v>
      </c>
      <c r="EU2" s="1" t="s">
        <v>211</v>
      </c>
      <c r="EV2" s="1" t="s">
        <v>210</v>
      </c>
      <c r="EW2" s="1" t="s">
        <v>211</v>
      </c>
      <c r="EX2" s="1" t="s">
        <v>210</v>
      </c>
      <c r="EY2" s="1" t="s">
        <v>211</v>
      </c>
      <c r="EZ2" s="1" t="s">
        <v>210</v>
      </c>
      <c r="FA2" s="1" t="s">
        <v>211</v>
      </c>
      <c r="FB2" s="1" t="s">
        <v>210</v>
      </c>
      <c r="FC2" s="1" t="s">
        <v>211</v>
      </c>
      <c r="FD2" s="1" t="s">
        <v>210</v>
      </c>
      <c r="FE2" s="1" t="s">
        <v>211</v>
      </c>
      <c r="FF2" s="1" t="s">
        <v>210</v>
      </c>
      <c r="FG2" s="1" t="s">
        <v>211</v>
      </c>
      <c r="FH2" s="1" t="s">
        <v>210</v>
      </c>
      <c r="FI2" s="1" t="s">
        <v>211</v>
      </c>
      <c r="FJ2" s="1" t="s">
        <v>210</v>
      </c>
      <c r="FK2" s="1" t="s">
        <v>211</v>
      </c>
      <c r="FL2" s="1" t="s">
        <v>210</v>
      </c>
      <c r="FM2" s="1" t="s">
        <v>211</v>
      </c>
      <c r="FN2" s="1" t="s">
        <v>210</v>
      </c>
      <c r="FO2" s="1" t="s">
        <v>211</v>
      </c>
      <c r="FP2" s="1" t="s">
        <v>210</v>
      </c>
      <c r="FQ2" s="1" t="s">
        <v>211</v>
      </c>
      <c r="FR2" s="2" t="s">
        <v>210</v>
      </c>
      <c r="FS2" s="1" t="s">
        <v>211</v>
      </c>
      <c r="FT2" s="1"/>
      <c r="FU2" s="1"/>
      <c r="FV2" s="1"/>
      <c r="FW2" s="1"/>
      <c r="FX2" s="1"/>
      <c r="FY2" s="1"/>
      <c r="FZ2" s="1"/>
      <c r="GA2" s="1"/>
      <c r="GB2" s="2"/>
      <c r="GC2" s="1"/>
      <c r="GD2" s="1"/>
      <c r="GE2" s="1"/>
      <c r="GF2" s="2"/>
      <c r="GG2" s="1"/>
      <c r="GH2" s="1"/>
      <c r="GI2" s="1"/>
      <c r="GJ2" s="2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2"/>
      <c r="HA2" s="1"/>
    </row>
    <row r="3" spans="1:209" x14ac:dyDescent="0.25">
      <c r="A3" s="60" t="s">
        <v>758</v>
      </c>
      <c r="B3" s="57" t="s">
        <v>760</v>
      </c>
      <c r="C3" s="72" t="s">
        <v>761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58"/>
      <c r="EH3" s="58"/>
      <c r="EI3" s="58"/>
      <c r="EJ3" s="58"/>
      <c r="EK3" s="58"/>
      <c r="EL3" s="58"/>
      <c r="EM3" s="58"/>
      <c r="EN3" s="58"/>
      <c r="EO3" s="58"/>
      <c r="EP3" s="58"/>
      <c r="EQ3" s="58"/>
      <c r="ER3" s="58"/>
      <c r="ES3" s="58"/>
      <c r="ET3" s="58"/>
      <c r="EU3" s="58"/>
      <c r="EV3" s="58"/>
      <c r="EW3" s="58"/>
      <c r="EX3" s="58"/>
      <c r="EY3" s="58"/>
      <c r="EZ3" s="58"/>
      <c r="FA3" s="58"/>
      <c r="FB3" s="58"/>
      <c r="FC3" s="58"/>
      <c r="FD3" s="58"/>
      <c r="FE3" s="58"/>
      <c r="FF3" s="58"/>
      <c r="FG3" s="58"/>
      <c r="FH3" s="58"/>
      <c r="FI3" s="58"/>
      <c r="FJ3" s="58"/>
      <c r="FK3" s="58"/>
      <c r="FL3" s="58"/>
      <c r="FM3" s="58"/>
      <c r="FN3" s="58"/>
      <c r="FO3" s="58"/>
      <c r="FP3" s="58"/>
      <c r="FQ3" s="58"/>
      <c r="FR3" s="58"/>
      <c r="FS3" s="58"/>
      <c r="FT3" s="58"/>
      <c r="FU3" s="58"/>
      <c r="FV3" s="58"/>
      <c r="FW3" s="58"/>
      <c r="FX3" s="58"/>
      <c r="FY3" s="58"/>
      <c r="FZ3" s="58"/>
      <c r="GA3" s="58"/>
      <c r="GB3" s="58"/>
      <c r="GC3" s="58"/>
      <c r="GD3" s="58"/>
      <c r="GE3" s="58"/>
      <c r="GF3" s="76"/>
      <c r="GG3" s="74"/>
      <c r="GH3" s="58"/>
      <c r="GI3" s="58"/>
      <c r="GJ3" s="58"/>
      <c r="GK3" s="58"/>
      <c r="GL3" s="58"/>
      <c r="GM3" s="58"/>
      <c r="GN3" s="58"/>
      <c r="GO3" s="58"/>
      <c r="GP3" s="58"/>
      <c r="GQ3" s="58"/>
      <c r="GR3" s="58"/>
      <c r="GS3" s="58"/>
      <c r="GT3" s="58"/>
      <c r="GU3" s="58"/>
      <c r="GV3" s="58"/>
      <c r="GW3" s="58"/>
      <c r="GX3" s="58"/>
      <c r="GY3" s="58"/>
      <c r="GZ3" s="75"/>
      <c r="HA3" s="74"/>
    </row>
    <row r="4" spans="1:209" x14ac:dyDescent="0.25">
      <c r="A4" s="3" t="s">
        <v>762</v>
      </c>
      <c r="B4" s="4" t="s">
        <v>763</v>
      </c>
      <c r="C4" s="5" t="s">
        <v>764</v>
      </c>
      <c r="D4" s="61">
        <v>100</v>
      </c>
      <c r="E4" s="7">
        <v>134286</v>
      </c>
      <c r="F4" s="61">
        <v>2</v>
      </c>
      <c r="G4" s="7">
        <v>3348.58</v>
      </c>
      <c r="H4" s="61">
        <v>5</v>
      </c>
      <c r="I4" s="7">
        <v>13714.3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1">
        <v>107</v>
      </c>
      <c r="FS4" s="7">
        <v>151348.88</v>
      </c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1"/>
      <c r="GK4" s="7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</row>
    <row r="5" spans="1:209" x14ac:dyDescent="0.25">
      <c r="A5" s="3" t="s">
        <v>765</v>
      </c>
      <c r="B5" s="4" t="s">
        <v>766</v>
      </c>
      <c r="C5" s="5" t="s">
        <v>767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1"/>
      <c r="GC5" s="7"/>
      <c r="GD5" s="6"/>
      <c r="GE5" s="6"/>
      <c r="GF5" s="61"/>
      <c r="GG5" s="7"/>
      <c r="GH5" s="6"/>
      <c r="GI5" s="6"/>
      <c r="GJ5" s="61"/>
      <c r="GK5" s="7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</row>
    <row r="6" spans="1:209" x14ac:dyDescent="0.25">
      <c r="A6" s="3" t="s">
        <v>768</v>
      </c>
      <c r="B6" s="4" t="s">
        <v>769</v>
      </c>
      <c r="C6" s="5" t="s">
        <v>770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1"/>
      <c r="GC6" s="7"/>
      <c r="GD6" s="6"/>
      <c r="GE6" s="6"/>
      <c r="GF6" s="13"/>
      <c r="GG6" s="7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</row>
    <row r="7" spans="1:209" x14ac:dyDescent="0.25">
      <c r="A7" s="3" t="s">
        <v>771</v>
      </c>
      <c r="B7" s="4" t="s">
        <v>772</v>
      </c>
      <c r="C7" s="5" t="s">
        <v>773</v>
      </c>
      <c r="D7" s="6"/>
      <c r="E7" s="6"/>
      <c r="F7" s="6"/>
      <c r="G7" s="6"/>
      <c r="H7" s="6"/>
      <c r="I7" s="6"/>
      <c r="J7" s="61">
        <v>30</v>
      </c>
      <c r="K7" s="7">
        <v>46085.7</v>
      </c>
      <c r="L7" s="61">
        <v>15</v>
      </c>
      <c r="M7" s="7">
        <v>22767.9</v>
      </c>
      <c r="N7" s="61">
        <v>10</v>
      </c>
      <c r="O7" s="7">
        <v>14642.9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1">
        <v>55</v>
      </c>
      <c r="FS7" s="7">
        <v>83496.5</v>
      </c>
      <c r="FT7" s="6"/>
      <c r="FU7" s="6"/>
      <c r="FV7" s="6"/>
      <c r="FW7" s="6"/>
      <c r="FX7" s="6"/>
      <c r="FY7" s="6"/>
      <c r="FZ7" s="6"/>
      <c r="GA7" s="6"/>
      <c r="GB7" s="61"/>
      <c r="GC7" s="7"/>
      <c r="GD7" s="6"/>
      <c r="GE7" s="6"/>
      <c r="GF7" s="13"/>
      <c r="GG7" s="7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1"/>
      <c r="HA7" s="7"/>
    </row>
    <row r="8" spans="1:209" x14ac:dyDescent="0.25">
      <c r="A8" s="3" t="s">
        <v>774</v>
      </c>
      <c r="B8" s="4" t="s">
        <v>775</v>
      </c>
      <c r="C8" s="5" t="s">
        <v>776</v>
      </c>
      <c r="D8" s="6"/>
      <c r="E8" s="6"/>
      <c r="F8" s="6"/>
      <c r="G8" s="6"/>
      <c r="H8" s="6"/>
      <c r="I8" s="6"/>
      <c r="J8" s="61">
        <v>40</v>
      </c>
      <c r="K8" s="7">
        <v>60952.4</v>
      </c>
      <c r="L8" s="61">
        <v>10</v>
      </c>
      <c r="M8" s="7">
        <v>15000</v>
      </c>
      <c r="N8" s="61">
        <v>15</v>
      </c>
      <c r="O8" s="7">
        <v>21696.45</v>
      </c>
      <c r="P8" s="61">
        <v>5</v>
      </c>
      <c r="Q8" s="7">
        <v>7619.05</v>
      </c>
      <c r="R8" s="61">
        <v>5</v>
      </c>
      <c r="S8" s="7">
        <v>16095.25</v>
      </c>
      <c r="T8" s="61">
        <v>5</v>
      </c>
      <c r="U8" s="7">
        <v>6380.95</v>
      </c>
      <c r="V8" s="61">
        <v>1</v>
      </c>
      <c r="W8" s="7">
        <v>2057.14</v>
      </c>
      <c r="X8" s="61">
        <v>2</v>
      </c>
      <c r="Y8" s="7">
        <v>2400</v>
      </c>
      <c r="Z8" s="61">
        <v>1</v>
      </c>
      <c r="AA8" s="7">
        <v>1219.05</v>
      </c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1">
        <v>84</v>
      </c>
      <c r="FS8" s="7">
        <v>133420.29</v>
      </c>
      <c r="FT8" s="6"/>
      <c r="FU8" s="6"/>
      <c r="FV8" s="6"/>
      <c r="FW8" s="6"/>
      <c r="FX8" s="6"/>
      <c r="FY8" s="6"/>
      <c r="FZ8" s="6"/>
      <c r="GA8" s="6"/>
      <c r="GB8" s="61"/>
      <c r="GC8" s="7"/>
      <c r="GD8" s="6"/>
      <c r="GE8" s="6"/>
      <c r="GF8" s="61"/>
      <c r="GG8" s="7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1"/>
      <c r="HA8" s="7"/>
    </row>
    <row r="9" spans="1:209" x14ac:dyDescent="0.25">
      <c r="A9" s="3" t="s">
        <v>777</v>
      </c>
      <c r="B9" s="4" t="s">
        <v>778</v>
      </c>
      <c r="C9" s="5" t="s">
        <v>779</v>
      </c>
      <c r="D9" s="6"/>
      <c r="E9" s="6"/>
      <c r="F9" s="6"/>
      <c r="G9" s="6"/>
      <c r="H9" s="6"/>
      <c r="I9" s="6"/>
      <c r="J9" s="61">
        <v>110</v>
      </c>
      <c r="K9" s="7">
        <v>169191</v>
      </c>
      <c r="L9" s="6"/>
      <c r="M9" s="6"/>
      <c r="N9" s="6"/>
      <c r="O9" s="6"/>
      <c r="P9" s="61">
        <v>10</v>
      </c>
      <c r="Q9" s="7">
        <v>15381</v>
      </c>
      <c r="R9" s="6"/>
      <c r="S9" s="6"/>
      <c r="T9" s="6"/>
      <c r="U9" s="6"/>
      <c r="V9" s="6"/>
      <c r="W9" s="6"/>
      <c r="X9" s="6"/>
      <c r="Y9" s="6"/>
      <c r="Z9" s="6"/>
      <c r="AA9" s="6"/>
      <c r="AB9" s="62">
        <v>5</v>
      </c>
      <c r="AC9" s="7">
        <v>9128.5499999999993</v>
      </c>
      <c r="AD9" s="62">
        <v>30</v>
      </c>
      <c r="AE9" s="7">
        <v>8142.9</v>
      </c>
      <c r="AF9" s="62">
        <v>5</v>
      </c>
      <c r="AG9" s="7">
        <v>5261.9</v>
      </c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1">
        <v>11</v>
      </c>
      <c r="BE9" s="7">
        <v>34152.36</v>
      </c>
      <c r="BF9" s="61">
        <v>5</v>
      </c>
      <c r="BG9" s="7">
        <v>15238.1</v>
      </c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13">
        <v>1546</v>
      </c>
      <c r="FS9" s="7">
        <v>256495.81</v>
      </c>
      <c r="FT9" s="6"/>
      <c r="FU9" s="6"/>
      <c r="FV9" s="6"/>
      <c r="FW9" s="6"/>
      <c r="FX9" s="6"/>
      <c r="FY9" s="6"/>
      <c r="FZ9" s="6"/>
      <c r="GA9" s="6"/>
      <c r="GB9" s="61"/>
      <c r="GC9" s="7"/>
      <c r="GD9" s="6"/>
      <c r="GE9" s="6"/>
      <c r="GF9" s="6"/>
      <c r="GG9" s="6"/>
      <c r="GH9" s="6"/>
      <c r="GI9" s="6"/>
      <c r="GJ9" s="61"/>
      <c r="GK9" s="7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1"/>
      <c r="HA9" s="7"/>
    </row>
    <row r="10" spans="1:209" x14ac:dyDescent="0.25">
      <c r="A10" s="3" t="s">
        <v>780</v>
      </c>
      <c r="B10" s="4" t="s">
        <v>781</v>
      </c>
      <c r="C10" s="5" t="s">
        <v>782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1"/>
      <c r="GC10" s="7"/>
      <c r="GD10" s="6"/>
      <c r="GE10" s="6"/>
      <c r="GF10" s="61"/>
      <c r="GG10" s="7"/>
      <c r="GH10" s="6"/>
      <c r="GI10" s="6"/>
      <c r="GJ10" s="61"/>
      <c r="GK10" s="7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</row>
    <row r="11" spans="1:209" x14ac:dyDescent="0.25">
      <c r="A11" s="3" t="s">
        <v>783</v>
      </c>
      <c r="B11" s="4" t="s">
        <v>784</v>
      </c>
      <c r="C11" s="5" t="s">
        <v>785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1"/>
      <c r="GC11" s="7"/>
      <c r="GD11" s="6"/>
      <c r="GE11" s="6"/>
      <c r="GF11" s="61"/>
      <c r="GG11" s="7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</row>
    <row r="12" spans="1:209" x14ac:dyDescent="0.25">
      <c r="A12" s="3" t="s">
        <v>786</v>
      </c>
      <c r="B12" s="4" t="s">
        <v>787</v>
      </c>
      <c r="C12" s="5" t="s">
        <v>788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</row>
    <row r="13" spans="1:209" x14ac:dyDescent="0.25">
      <c r="A13" s="3" t="s">
        <v>789</v>
      </c>
      <c r="B13" s="4" t="s">
        <v>790</v>
      </c>
      <c r="C13" s="5" t="s">
        <v>791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1">
        <v>1</v>
      </c>
      <c r="W13" s="7">
        <v>2031.43</v>
      </c>
      <c r="X13" s="6"/>
      <c r="Y13" s="6"/>
      <c r="Z13" s="6"/>
      <c r="AA13" s="6"/>
      <c r="AB13" s="6"/>
      <c r="AC13" s="6"/>
      <c r="AD13" s="6"/>
      <c r="AE13" s="6"/>
      <c r="AF13" s="62">
        <v>2</v>
      </c>
      <c r="AG13" s="7">
        <v>2247.62</v>
      </c>
      <c r="AH13" s="61">
        <v>1</v>
      </c>
      <c r="AI13" s="7">
        <v>2976.19</v>
      </c>
      <c r="AJ13" s="61">
        <v>1</v>
      </c>
      <c r="AK13" s="7">
        <v>1377.12</v>
      </c>
      <c r="AL13" s="61">
        <v>1</v>
      </c>
      <c r="AM13" s="7">
        <v>4465.71</v>
      </c>
      <c r="AN13" s="61">
        <v>1</v>
      </c>
      <c r="AO13" s="7">
        <v>4465.71</v>
      </c>
      <c r="AP13" s="61">
        <v>1</v>
      </c>
      <c r="AQ13" s="7">
        <v>4465.71</v>
      </c>
      <c r="AR13" s="61">
        <v>1</v>
      </c>
      <c r="AS13" s="7">
        <v>4465.71</v>
      </c>
      <c r="AT13" s="61">
        <v>1</v>
      </c>
      <c r="AU13" s="7">
        <v>2031.43</v>
      </c>
      <c r="AV13" s="61">
        <v>1</v>
      </c>
      <c r="AW13" s="7">
        <v>2031.43</v>
      </c>
      <c r="AX13" s="61">
        <v>1</v>
      </c>
      <c r="AY13" s="7">
        <v>2031.43</v>
      </c>
      <c r="AZ13" s="61">
        <v>1</v>
      </c>
      <c r="BA13" s="7">
        <v>2031.43</v>
      </c>
      <c r="BB13" s="61">
        <v>1</v>
      </c>
      <c r="BC13" s="7">
        <v>4465.71</v>
      </c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7">
        <v>39086.629999999997</v>
      </c>
      <c r="FT13" s="6"/>
      <c r="FU13" s="6"/>
      <c r="FV13" s="6"/>
      <c r="FW13" s="6"/>
      <c r="FX13" s="6"/>
      <c r="FY13" s="6"/>
      <c r="FZ13" s="6"/>
      <c r="GA13" s="6"/>
      <c r="GB13" s="61"/>
      <c r="GC13" s="7"/>
      <c r="GD13" s="6"/>
      <c r="GE13" s="6"/>
      <c r="GF13" s="61"/>
      <c r="GG13" s="7"/>
      <c r="GH13" s="6"/>
      <c r="GI13" s="6"/>
      <c r="GJ13" s="61"/>
      <c r="GK13" s="7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</row>
    <row r="14" spans="1:209" x14ac:dyDescent="0.25">
      <c r="A14" s="3" t="s">
        <v>792</v>
      </c>
      <c r="B14" s="4" t="s">
        <v>793</v>
      </c>
      <c r="C14" s="5" t="s">
        <v>794</v>
      </c>
      <c r="D14" s="61">
        <v>200</v>
      </c>
      <c r="E14" s="7">
        <v>268572</v>
      </c>
      <c r="F14" s="61">
        <v>20</v>
      </c>
      <c r="G14" s="7">
        <v>33485.800000000003</v>
      </c>
      <c r="H14" s="61">
        <v>25</v>
      </c>
      <c r="I14" s="7">
        <v>68095.25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1">
        <v>1</v>
      </c>
      <c r="AK14" s="7">
        <v>1377.12</v>
      </c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1">
        <v>5</v>
      </c>
      <c r="BI14" s="7">
        <v>3880.95</v>
      </c>
      <c r="BJ14" s="61">
        <v>5</v>
      </c>
      <c r="BK14" s="7">
        <v>4500</v>
      </c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1">
        <v>256</v>
      </c>
      <c r="FS14" s="7">
        <v>379911.12</v>
      </c>
      <c r="FT14" s="6"/>
      <c r="FU14" s="6"/>
      <c r="FV14" s="6"/>
      <c r="FW14" s="6"/>
      <c r="FX14" s="6"/>
      <c r="FY14" s="6"/>
      <c r="FZ14" s="6"/>
      <c r="GA14" s="6"/>
      <c r="GB14" s="61"/>
      <c r="GC14" s="7"/>
      <c r="GD14" s="6"/>
      <c r="GE14" s="6"/>
      <c r="GF14" s="6"/>
      <c r="GG14" s="6"/>
      <c r="GH14" s="6"/>
      <c r="GI14" s="6"/>
      <c r="GJ14" s="61"/>
      <c r="GK14" s="7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</row>
    <row r="15" spans="1:209" x14ac:dyDescent="0.25">
      <c r="A15" s="3" t="s">
        <v>795</v>
      </c>
      <c r="B15" s="4" t="s">
        <v>796</v>
      </c>
      <c r="C15" s="5" t="s">
        <v>797</v>
      </c>
      <c r="D15" s="61">
        <v>400</v>
      </c>
      <c r="E15" s="7">
        <v>534860</v>
      </c>
      <c r="F15" s="6"/>
      <c r="G15" s="6"/>
      <c r="H15" s="61">
        <v>10</v>
      </c>
      <c r="I15" s="7">
        <v>27219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1">
        <v>100</v>
      </c>
      <c r="BM15" s="7">
        <v>135143</v>
      </c>
      <c r="BN15" s="61">
        <v>5</v>
      </c>
      <c r="BO15" s="7">
        <v>6923.8</v>
      </c>
      <c r="BP15" s="61">
        <v>5</v>
      </c>
      <c r="BQ15" s="7">
        <v>5000</v>
      </c>
      <c r="BR15" s="61">
        <v>5</v>
      </c>
      <c r="BS15" s="7">
        <v>5000</v>
      </c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1">
        <v>525</v>
      </c>
      <c r="FS15" s="7">
        <v>714145.8</v>
      </c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1"/>
      <c r="GG15" s="7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</row>
    <row r="16" spans="1:209" x14ac:dyDescent="0.25">
      <c r="A16" s="3" t="s">
        <v>798</v>
      </c>
      <c r="B16" s="4" t="s">
        <v>799</v>
      </c>
      <c r="C16" s="5" t="s">
        <v>800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1"/>
      <c r="GG16" s="7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</row>
    <row r="17" spans="1:209" x14ac:dyDescent="0.25">
      <c r="A17" s="3" t="s">
        <v>801</v>
      </c>
      <c r="B17" s="4" t="s">
        <v>802</v>
      </c>
      <c r="C17" s="5" t="s">
        <v>803</v>
      </c>
      <c r="D17" s="61">
        <v>150</v>
      </c>
      <c r="E17" s="7">
        <v>197572.5</v>
      </c>
      <c r="F17" s="6"/>
      <c r="G17" s="6"/>
      <c r="H17" s="61">
        <v>10</v>
      </c>
      <c r="I17" s="7">
        <v>26533.3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1">
        <v>25</v>
      </c>
      <c r="BM17" s="7">
        <v>33285.75</v>
      </c>
      <c r="BN17" s="6"/>
      <c r="BO17" s="6"/>
      <c r="BP17" s="6"/>
      <c r="BQ17" s="6"/>
      <c r="BR17" s="6"/>
      <c r="BS17" s="6"/>
      <c r="BT17" s="61">
        <v>50</v>
      </c>
      <c r="BU17" s="7">
        <v>74666.5</v>
      </c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1">
        <v>235</v>
      </c>
      <c r="FS17" s="7">
        <v>332058.05</v>
      </c>
      <c r="FT17" s="6"/>
      <c r="FU17" s="6"/>
      <c r="FV17" s="6"/>
      <c r="FW17" s="6"/>
      <c r="FX17" s="6"/>
      <c r="FY17" s="6"/>
      <c r="FZ17" s="6"/>
      <c r="GA17" s="6"/>
      <c r="GB17" s="13"/>
      <c r="GC17" s="7"/>
      <c r="GD17" s="6"/>
      <c r="GE17" s="6"/>
      <c r="GF17" s="6"/>
      <c r="GG17" s="6"/>
      <c r="GH17" s="6"/>
      <c r="GI17" s="6"/>
      <c r="GJ17" s="61"/>
      <c r="GK17" s="7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</row>
    <row r="18" spans="1:209" x14ac:dyDescent="0.25">
      <c r="A18" s="3" t="s">
        <v>804</v>
      </c>
      <c r="B18" s="4" t="s">
        <v>805</v>
      </c>
      <c r="C18" s="5" t="s">
        <v>806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1"/>
      <c r="GG18" s="7"/>
      <c r="GH18" s="6"/>
      <c r="GI18" s="6"/>
      <c r="GJ18" s="61"/>
      <c r="GK18" s="7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1"/>
      <c r="HA18" s="7"/>
    </row>
    <row r="19" spans="1:209" x14ac:dyDescent="0.25">
      <c r="A19" s="3" t="s">
        <v>807</v>
      </c>
      <c r="B19" s="4" t="s">
        <v>808</v>
      </c>
      <c r="C19" s="5" t="s">
        <v>809</v>
      </c>
      <c r="D19" s="61">
        <v>120</v>
      </c>
      <c r="E19" s="7">
        <v>165600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1">
        <v>120</v>
      </c>
      <c r="FS19" s="7">
        <v>165600</v>
      </c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1"/>
      <c r="GG19" s="7"/>
      <c r="GH19" s="6"/>
      <c r="GI19" s="6"/>
      <c r="GJ19" s="61"/>
      <c r="GK19" s="7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7"/>
    </row>
    <row r="20" spans="1:209" x14ac:dyDescent="0.25">
      <c r="A20" s="3" t="s">
        <v>810</v>
      </c>
      <c r="B20" s="4" t="s">
        <v>811</v>
      </c>
      <c r="C20" s="5" t="s">
        <v>812</v>
      </c>
      <c r="D20" s="61">
        <v>80</v>
      </c>
      <c r="E20" s="7">
        <v>106666.4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1">
        <v>20</v>
      </c>
      <c r="BM20" s="7">
        <v>26952.400000000001</v>
      </c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1">
        <v>100</v>
      </c>
      <c r="FS20" s="7">
        <v>133618.79999999999</v>
      </c>
      <c r="FT20" s="6"/>
      <c r="FU20" s="6"/>
      <c r="FV20" s="6"/>
      <c r="FW20" s="6"/>
      <c r="FX20" s="6"/>
      <c r="FY20" s="6"/>
      <c r="FZ20" s="6"/>
      <c r="GA20" s="6"/>
      <c r="GB20" s="61"/>
      <c r="GC20" s="7"/>
      <c r="GD20" s="6"/>
      <c r="GE20" s="6"/>
      <c r="GF20" s="61"/>
      <c r="GG20" s="7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1"/>
      <c r="HA20" s="7"/>
    </row>
    <row r="21" spans="1:209" x14ac:dyDescent="0.25">
      <c r="A21" s="3" t="s">
        <v>813</v>
      </c>
      <c r="B21" s="4" t="s">
        <v>814</v>
      </c>
      <c r="C21" s="5" t="s">
        <v>815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1">
        <v>5</v>
      </c>
      <c r="U21" s="7">
        <v>6428.55</v>
      </c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1">
        <v>5</v>
      </c>
      <c r="FS21" s="7">
        <v>6428.55</v>
      </c>
      <c r="FT21" s="6"/>
      <c r="FU21" s="6"/>
      <c r="FV21" s="6"/>
      <c r="FW21" s="6"/>
      <c r="FX21" s="6"/>
      <c r="FY21" s="6"/>
      <c r="FZ21" s="6"/>
      <c r="GA21" s="6"/>
      <c r="GB21" s="61"/>
      <c r="GC21" s="7"/>
      <c r="GD21" s="6"/>
      <c r="GE21" s="6"/>
      <c r="GF21" s="61"/>
      <c r="GG21" s="7"/>
      <c r="GH21" s="6"/>
      <c r="GI21" s="6"/>
      <c r="GJ21" s="61"/>
      <c r="GK21" s="7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1"/>
      <c r="HA21" s="7"/>
    </row>
    <row r="22" spans="1:209" x14ac:dyDescent="0.25">
      <c r="A22" s="3" t="s">
        <v>816</v>
      </c>
      <c r="B22" s="4" t="s">
        <v>817</v>
      </c>
      <c r="C22" s="5" t="s">
        <v>818</v>
      </c>
      <c r="D22" s="61">
        <v>90</v>
      </c>
      <c r="E22" s="7">
        <v>119828.7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1">
        <v>20</v>
      </c>
      <c r="BM22" s="7">
        <v>26914.2</v>
      </c>
      <c r="BN22" s="6"/>
      <c r="BO22" s="6"/>
      <c r="BP22" s="6"/>
      <c r="BQ22" s="6"/>
      <c r="BR22" s="6"/>
      <c r="BS22" s="6"/>
      <c r="BT22" s="6"/>
      <c r="BU22" s="6"/>
      <c r="BV22" s="61">
        <v>25</v>
      </c>
      <c r="BW22" s="7">
        <v>37142.75</v>
      </c>
      <c r="BX22" s="61">
        <v>20</v>
      </c>
      <c r="BY22" s="7">
        <v>28190.400000000001</v>
      </c>
      <c r="BZ22" s="61">
        <v>5</v>
      </c>
      <c r="CA22" s="7">
        <v>7714.3</v>
      </c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1">
        <v>160</v>
      </c>
      <c r="FS22" s="7">
        <v>219790.35</v>
      </c>
      <c r="FT22" s="6"/>
      <c r="FU22" s="6"/>
      <c r="FV22" s="6"/>
      <c r="FW22" s="6"/>
      <c r="FX22" s="6"/>
      <c r="FY22" s="6"/>
      <c r="FZ22" s="6"/>
      <c r="GA22" s="6"/>
      <c r="GB22" s="61"/>
      <c r="GC22" s="7"/>
      <c r="GD22" s="6"/>
      <c r="GE22" s="6"/>
      <c r="GF22" s="6"/>
      <c r="GG22" s="6"/>
      <c r="GH22" s="6"/>
      <c r="GI22" s="6"/>
      <c r="GJ22" s="61"/>
      <c r="GK22" s="7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1"/>
      <c r="HA22" s="7"/>
    </row>
    <row r="23" spans="1:209" x14ac:dyDescent="0.25">
      <c r="A23" s="3" t="s">
        <v>819</v>
      </c>
      <c r="B23" s="4" t="s">
        <v>820</v>
      </c>
      <c r="C23" s="5" t="s">
        <v>821</v>
      </c>
      <c r="D23" s="61">
        <v>90</v>
      </c>
      <c r="E23" s="7">
        <v>119828.7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1">
        <v>20</v>
      </c>
      <c r="BM23" s="7">
        <v>26914.2</v>
      </c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1">
        <v>110</v>
      </c>
      <c r="FS23" s="7">
        <v>146742.9</v>
      </c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1"/>
      <c r="GK23" s="7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1"/>
      <c r="HA23" s="7"/>
    </row>
    <row r="24" spans="1:209" x14ac:dyDescent="0.25">
      <c r="A24" s="3" t="s">
        <v>822</v>
      </c>
      <c r="B24" s="4" t="s">
        <v>823</v>
      </c>
      <c r="C24" s="5" t="s">
        <v>824</v>
      </c>
      <c r="D24" s="61">
        <v>300</v>
      </c>
      <c r="E24" s="7">
        <v>401145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1">
        <v>300</v>
      </c>
      <c r="FS24" s="7">
        <v>401145</v>
      </c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1"/>
      <c r="GG24" s="7"/>
      <c r="GH24" s="6"/>
      <c r="GI24" s="6"/>
      <c r="GJ24" s="13"/>
      <c r="GK24" s="7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</row>
    <row r="25" spans="1:209" x14ac:dyDescent="0.25">
      <c r="A25" s="3" t="s">
        <v>825</v>
      </c>
      <c r="B25" s="4" t="s">
        <v>826</v>
      </c>
      <c r="C25" s="5" t="s">
        <v>827</v>
      </c>
      <c r="D25" s="61">
        <v>85</v>
      </c>
      <c r="E25" s="7">
        <v>113738.5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1">
        <v>25</v>
      </c>
      <c r="U25" s="7">
        <v>32142.75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1">
        <v>110</v>
      </c>
      <c r="FS25" s="7">
        <v>145881.25</v>
      </c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1"/>
      <c r="GG25" s="7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1"/>
      <c r="HA25" s="7"/>
    </row>
    <row r="26" spans="1:209" x14ac:dyDescent="0.25">
      <c r="A26" s="3" t="s">
        <v>828</v>
      </c>
      <c r="B26" s="4" t="s">
        <v>829</v>
      </c>
      <c r="C26" s="5" t="s">
        <v>830</v>
      </c>
      <c r="D26" s="61">
        <v>60</v>
      </c>
      <c r="E26" s="7">
        <v>80286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1">
        <v>40</v>
      </c>
      <c r="BM26" s="7">
        <v>54095.199999999997</v>
      </c>
      <c r="BN26" s="6"/>
      <c r="BO26" s="6"/>
      <c r="BP26" s="6"/>
      <c r="BQ26" s="6"/>
      <c r="BR26" s="6"/>
      <c r="BS26" s="6"/>
      <c r="BT26" s="6"/>
      <c r="BU26" s="6"/>
      <c r="BV26" s="61">
        <v>30</v>
      </c>
      <c r="BW26" s="7">
        <v>44142.9</v>
      </c>
      <c r="BX26" s="61">
        <v>15</v>
      </c>
      <c r="BY26" s="7">
        <v>21214.35</v>
      </c>
      <c r="BZ26" s="61">
        <v>5</v>
      </c>
      <c r="CA26" s="7">
        <v>7928.55</v>
      </c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1">
        <v>150</v>
      </c>
      <c r="FS26" s="7">
        <v>207667</v>
      </c>
      <c r="FT26" s="6"/>
      <c r="FU26" s="6"/>
      <c r="FV26" s="6"/>
      <c r="FW26" s="6"/>
      <c r="FX26" s="6"/>
      <c r="FY26" s="6"/>
      <c r="FZ26" s="6"/>
      <c r="GA26" s="6"/>
      <c r="GB26" s="61"/>
      <c r="GC26" s="7"/>
      <c r="GD26" s="6"/>
      <c r="GE26" s="6"/>
      <c r="GF26" s="13"/>
      <c r="GG26" s="7"/>
      <c r="GH26" s="6"/>
      <c r="GI26" s="6"/>
      <c r="GJ26" s="61"/>
      <c r="GK26" s="7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</row>
    <row r="27" spans="1:209" x14ac:dyDescent="0.25">
      <c r="A27" s="3" t="s">
        <v>831</v>
      </c>
      <c r="B27" s="4" t="s">
        <v>832</v>
      </c>
      <c r="C27" s="5" t="s">
        <v>833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1"/>
      <c r="GC27" s="7"/>
      <c r="GD27" s="6"/>
      <c r="GE27" s="6"/>
      <c r="GF27" s="61"/>
      <c r="GG27" s="7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</row>
    <row r="28" spans="1:209" x14ac:dyDescent="0.25">
      <c r="A28" s="3" t="s">
        <v>834</v>
      </c>
      <c r="B28" s="4" t="s">
        <v>835</v>
      </c>
      <c r="C28" s="5" t="s">
        <v>836</v>
      </c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1"/>
      <c r="GC28" s="7"/>
      <c r="GD28" s="6"/>
      <c r="GE28" s="6"/>
      <c r="GF28" s="6"/>
      <c r="GG28" s="7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</row>
    <row r="29" spans="1:209" x14ac:dyDescent="0.25">
      <c r="A29" s="3" t="s">
        <v>837</v>
      </c>
      <c r="B29" s="4" t="s">
        <v>838</v>
      </c>
      <c r="C29" s="5" t="s">
        <v>839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7"/>
      <c r="GH29" s="6"/>
      <c r="GI29" s="6"/>
      <c r="GJ29" s="61"/>
      <c r="GK29" s="7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</row>
    <row r="30" spans="1:209" x14ac:dyDescent="0.25">
      <c r="A30" s="3" t="s">
        <v>840</v>
      </c>
      <c r="B30" s="4" t="s">
        <v>841</v>
      </c>
      <c r="C30" s="5" t="s">
        <v>842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13"/>
      <c r="GG30" s="7"/>
      <c r="GH30" s="6"/>
      <c r="GI30" s="6"/>
      <c r="GJ30" s="61"/>
      <c r="GK30" s="7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</row>
    <row r="31" spans="1:209" x14ac:dyDescent="0.25">
      <c r="A31" s="3" t="s">
        <v>843</v>
      </c>
      <c r="B31" s="4" t="s">
        <v>844</v>
      </c>
      <c r="C31" s="5" t="s">
        <v>845</v>
      </c>
      <c r="D31" s="6"/>
      <c r="E31" s="6"/>
      <c r="F31" s="6"/>
      <c r="G31" s="6"/>
      <c r="H31" s="6"/>
      <c r="I31" s="6"/>
      <c r="J31" s="61">
        <v>650</v>
      </c>
      <c r="K31" s="7">
        <v>978094</v>
      </c>
      <c r="L31" s="6"/>
      <c r="M31" s="6"/>
      <c r="N31" s="6"/>
      <c r="O31" s="6"/>
      <c r="P31" s="61">
        <v>100</v>
      </c>
      <c r="Q31" s="7">
        <v>150477</v>
      </c>
      <c r="R31" s="6"/>
      <c r="S31" s="6"/>
      <c r="T31" s="61">
        <v>14</v>
      </c>
      <c r="U31" s="7">
        <v>17866.66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1">
        <v>5</v>
      </c>
      <c r="BW31" s="7">
        <v>7500</v>
      </c>
      <c r="BX31" s="61">
        <v>10</v>
      </c>
      <c r="BY31" s="7">
        <v>14238.1</v>
      </c>
      <c r="BZ31" s="6"/>
      <c r="CA31" s="6"/>
      <c r="CB31" s="61">
        <v>245</v>
      </c>
      <c r="CC31" s="7">
        <v>372167.25</v>
      </c>
      <c r="CD31" s="61">
        <v>5</v>
      </c>
      <c r="CE31" s="7">
        <v>7809.5</v>
      </c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1">
        <v>1029</v>
      </c>
      <c r="FS31" s="7">
        <v>1548152.51</v>
      </c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1"/>
      <c r="GG31" s="7"/>
      <c r="GH31" s="6"/>
      <c r="GI31" s="6"/>
      <c r="GJ31" s="61"/>
      <c r="GK31" s="7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</row>
    <row r="32" spans="1:209" x14ac:dyDescent="0.25">
      <c r="A32" s="3" t="s">
        <v>846</v>
      </c>
      <c r="B32" s="4" t="s">
        <v>847</v>
      </c>
      <c r="C32" s="5" t="s">
        <v>848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1"/>
      <c r="GG32" s="7"/>
      <c r="GH32" s="6"/>
      <c r="GI32" s="6"/>
      <c r="GJ32" s="61"/>
      <c r="GK32" s="7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1"/>
      <c r="HA32" s="7"/>
    </row>
    <row r="33" spans="1:209" x14ac:dyDescent="0.25">
      <c r="A33" s="3" t="s">
        <v>849</v>
      </c>
      <c r="B33" s="4" t="s">
        <v>850</v>
      </c>
      <c r="C33" s="5" t="s">
        <v>851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1"/>
      <c r="GC33" s="7"/>
      <c r="GD33" s="6"/>
      <c r="GE33" s="6"/>
      <c r="GF33" s="61"/>
      <c r="GG33" s="7"/>
      <c r="GH33" s="6"/>
      <c r="GI33" s="6"/>
      <c r="GJ33" s="61"/>
      <c r="GK33" s="7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1"/>
      <c r="HA33" s="7"/>
    </row>
    <row r="34" spans="1:209" x14ac:dyDescent="0.25">
      <c r="A34" s="3" t="s">
        <v>852</v>
      </c>
      <c r="B34" s="4" t="s">
        <v>853</v>
      </c>
      <c r="C34" s="5" t="s">
        <v>854</v>
      </c>
      <c r="D34" s="61">
        <v>699</v>
      </c>
      <c r="E34" s="7">
        <v>932004.66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1">
        <v>52</v>
      </c>
      <c r="U34" s="7">
        <v>64028.5</v>
      </c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1">
        <v>148</v>
      </c>
      <c r="BU34" s="7">
        <v>220076.2</v>
      </c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1">
        <v>27</v>
      </c>
      <c r="CG34" s="7">
        <v>22099.98</v>
      </c>
      <c r="CH34" s="61">
        <v>35</v>
      </c>
      <c r="CI34" s="7">
        <v>103333.3</v>
      </c>
      <c r="CJ34" s="61">
        <v>39</v>
      </c>
      <c r="CK34" s="7">
        <v>87790.61</v>
      </c>
      <c r="CL34" s="61">
        <v>22</v>
      </c>
      <c r="CM34" s="7">
        <v>65371.46</v>
      </c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1">
        <v>1022</v>
      </c>
      <c r="FS34" s="7">
        <v>1494704.71</v>
      </c>
      <c r="FT34" s="6"/>
      <c r="FU34" s="6"/>
      <c r="FV34" s="6"/>
      <c r="FW34" s="6"/>
      <c r="FX34" s="6"/>
      <c r="FY34" s="6"/>
      <c r="FZ34" s="6"/>
      <c r="GA34" s="6"/>
      <c r="GB34" s="13"/>
      <c r="GC34" s="7"/>
      <c r="GD34" s="6"/>
      <c r="GE34" s="6"/>
      <c r="GF34" s="6"/>
      <c r="GG34" s="6"/>
      <c r="GH34" s="6"/>
      <c r="GI34" s="6"/>
      <c r="GJ34" s="61"/>
      <c r="GK34" s="7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1"/>
      <c r="HA34" s="7"/>
    </row>
    <row r="35" spans="1:209" x14ac:dyDescent="0.25">
      <c r="A35" s="3" t="s">
        <v>855</v>
      </c>
      <c r="B35" s="4" t="s">
        <v>856</v>
      </c>
      <c r="C35" s="5" t="s">
        <v>857</v>
      </c>
      <c r="D35" s="61">
        <v>400</v>
      </c>
      <c r="E35" s="7">
        <v>536380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1">
        <v>200</v>
      </c>
      <c r="BM35" s="7">
        <v>271050</v>
      </c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1">
        <v>600</v>
      </c>
      <c r="FS35" s="7">
        <v>807430</v>
      </c>
      <c r="FT35" s="6"/>
      <c r="FU35" s="6"/>
      <c r="FV35" s="6"/>
      <c r="FW35" s="6"/>
      <c r="FX35" s="6"/>
      <c r="FY35" s="6"/>
      <c r="FZ35" s="6"/>
      <c r="GA35" s="6"/>
      <c r="GB35" s="61"/>
      <c r="GC35" s="7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</row>
    <row r="36" spans="1:209" x14ac:dyDescent="0.25">
      <c r="A36" s="3" t="s">
        <v>858</v>
      </c>
      <c r="B36" s="4" t="s">
        <v>859</v>
      </c>
      <c r="C36" s="5" t="s">
        <v>860</v>
      </c>
      <c r="D36" s="61">
        <v>50</v>
      </c>
      <c r="E36" s="7">
        <v>67047.5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1">
        <v>50</v>
      </c>
      <c r="FS36" s="7">
        <v>67047.5</v>
      </c>
      <c r="FT36" s="6"/>
      <c r="FU36" s="6"/>
      <c r="FV36" s="6"/>
      <c r="FW36" s="6"/>
      <c r="FX36" s="6"/>
      <c r="FY36" s="6"/>
      <c r="FZ36" s="6"/>
      <c r="GA36" s="6"/>
      <c r="GB36" s="13"/>
      <c r="GC36" s="7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</row>
    <row r="37" spans="1:209" x14ac:dyDescent="0.25">
      <c r="A37" s="3" t="s">
        <v>861</v>
      </c>
      <c r="B37" s="4" t="s">
        <v>862</v>
      </c>
      <c r="C37" s="5" t="s">
        <v>863</v>
      </c>
      <c r="D37" s="61">
        <v>50</v>
      </c>
      <c r="E37" s="7">
        <v>67381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1">
        <v>50</v>
      </c>
      <c r="FS37" s="7">
        <v>67381</v>
      </c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1"/>
      <c r="GG37" s="7"/>
      <c r="GH37" s="6"/>
      <c r="GI37" s="6"/>
      <c r="GJ37" s="61"/>
      <c r="GK37" s="7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</row>
    <row r="38" spans="1:209" x14ac:dyDescent="0.25">
      <c r="A38" s="3" t="s">
        <v>864</v>
      </c>
      <c r="B38" s="4" t="s">
        <v>865</v>
      </c>
      <c r="C38" s="5" t="s">
        <v>866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1"/>
      <c r="GK38" s="7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</row>
    <row r="39" spans="1:209" x14ac:dyDescent="0.25">
      <c r="A39" s="3" t="s">
        <v>867</v>
      </c>
      <c r="B39" s="4" t="s">
        <v>868</v>
      </c>
      <c r="C39" s="5" t="s">
        <v>869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1"/>
      <c r="GG39" s="7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</row>
    <row r="40" spans="1:209" x14ac:dyDescent="0.25">
      <c r="A40" s="3" t="s">
        <v>870</v>
      </c>
      <c r="B40" s="4" t="s">
        <v>871</v>
      </c>
      <c r="C40" s="5" t="s">
        <v>872</v>
      </c>
      <c r="D40" s="6"/>
      <c r="E40" s="6"/>
      <c r="F40" s="6"/>
      <c r="G40" s="6"/>
      <c r="H40" s="6"/>
      <c r="I40" s="6"/>
      <c r="J40" s="61">
        <v>40</v>
      </c>
      <c r="K40" s="7">
        <v>60380.800000000003</v>
      </c>
      <c r="L40" s="6"/>
      <c r="M40" s="6"/>
      <c r="N40" s="6"/>
      <c r="O40" s="6"/>
      <c r="P40" s="61">
        <v>10</v>
      </c>
      <c r="Q40" s="7">
        <v>15095.2</v>
      </c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1">
        <v>1</v>
      </c>
      <c r="CO40" s="7">
        <v>1205.3599999999999</v>
      </c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1">
        <v>51</v>
      </c>
      <c r="FS40" s="7">
        <v>76681.36</v>
      </c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1"/>
      <c r="GK40" s="7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</row>
    <row r="41" spans="1:209" x14ac:dyDescent="0.25">
      <c r="A41" s="3" t="s">
        <v>873</v>
      </c>
      <c r="B41" s="4" t="s">
        <v>874</v>
      </c>
      <c r="C41" s="5" t="s">
        <v>875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1"/>
      <c r="GK41" s="7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</row>
    <row r="42" spans="1:209" x14ac:dyDescent="0.25">
      <c r="A42" s="3" t="s">
        <v>876</v>
      </c>
      <c r="B42" s="4" t="s">
        <v>877</v>
      </c>
      <c r="C42" s="5" t="s">
        <v>878</v>
      </c>
      <c r="D42" s="6"/>
      <c r="E42" s="6"/>
      <c r="F42" s="6"/>
      <c r="G42" s="6"/>
      <c r="H42" s="6"/>
      <c r="I42" s="6"/>
      <c r="J42" s="6"/>
      <c r="K42" s="6"/>
      <c r="L42" s="61">
        <v>15</v>
      </c>
      <c r="M42" s="7">
        <v>22633.95</v>
      </c>
      <c r="N42" s="61">
        <v>10</v>
      </c>
      <c r="O42" s="7">
        <v>14553.6</v>
      </c>
      <c r="P42" s="6"/>
      <c r="Q42" s="6"/>
      <c r="R42" s="6"/>
      <c r="S42" s="6"/>
      <c r="T42" s="61">
        <v>30</v>
      </c>
      <c r="U42" s="7">
        <v>38571.300000000003</v>
      </c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1">
        <v>5</v>
      </c>
      <c r="BW42" s="7">
        <v>7452.4</v>
      </c>
      <c r="BX42" s="61">
        <v>45</v>
      </c>
      <c r="BY42" s="7">
        <v>63643.05</v>
      </c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1">
        <v>10</v>
      </c>
      <c r="CQ42" s="7">
        <v>15089.3</v>
      </c>
      <c r="CR42" s="61">
        <v>10</v>
      </c>
      <c r="CS42" s="7">
        <v>15089.3</v>
      </c>
      <c r="CT42" s="61">
        <v>5</v>
      </c>
      <c r="CU42" s="7">
        <v>8080.35</v>
      </c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1">
        <v>130</v>
      </c>
      <c r="FS42" s="7">
        <v>185113.25</v>
      </c>
      <c r="FT42" s="6"/>
      <c r="FU42" s="6"/>
      <c r="FV42" s="6"/>
      <c r="FW42" s="6"/>
      <c r="FX42" s="6"/>
      <c r="FY42" s="6"/>
      <c r="FZ42" s="6"/>
      <c r="GA42" s="6"/>
      <c r="GB42" s="13"/>
      <c r="GC42" s="7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1"/>
      <c r="HA42" s="7"/>
    </row>
    <row r="43" spans="1:209" x14ac:dyDescent="0.25">
      <c r="A43" s="3" t="s">
        <v>879</v>
      </c>
      <c r="B43" s="4" t="s">
        <v>880</v>
      </c>
      <c r="C43" s="5" t="s">
        <v>881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1">
        <v>12</v>
      </c>
      <c r="S43" s="7">
        <v>39542.879999999997</v>
      </c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1">
        <v>50</v>
      </c>
      <c r="BU43" s="7">
        <v>76190.5</v>
      </c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1">
        <v>40</v>
      </c>
      <c r="CG43" s="7">
        <v>26666.799999999999</v>
      </c>
      <c r="CH43" s="6"/>
      <c r="CI43" s="6"/>
      <c r="CJ43" s="61">
        <v>50</v>
      </c>
      <c r="CK43" s="7">
        <v>111905</v>
      </c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1">
        <v>60</v>
      </c>
      <c r="CW43" s="7">
        <v>84642.6</v>
      </c>
      <c r="CX43" s="61">
        <v>10</v>
      </c>
      <c r="CY43" s="7">
        <v>22571.4</v>
      </c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1">
        <v>222</v>
      </c>
      <c r="FS43" s="7">
        <v>361519.18</v>
      </c>
      <c r="FT43" s="6"/>
      <c r="FU43" s="6"/>
      <c r="FV43" s="6"/>
      <c r="FW43" s="6"/>
      <c r="FX43" s="6"/>
      <c r="FY43" s="6"/>
      <c r="FZ43" s="6"/>
      <c r="GA43" s="6"/>
      <c r="GB43" s="61"/>
      <c r="GC43" s="7"/>
      <c r="GD43" s="6"/>
      <c r="GE43" s="6"/>
      <c r="GF43" s="6"/>
      <c r="GG43" s="6"/>
      <c r="GH43" s="6"/>
      <c r="GI43" s="6"/>
      <c r="GJ43" s="61"/>
      <c r="GK43" s="7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</row>
    <row r="44" spans="1:209" x14ac:dyDescent="0.25">
      <c r="A44" s="3" t="s">
        <v>882</v>
      </c>
      <c r="B44" s="4" t="s">
        <v>883</v>
      </c>
      <c r="C44" s="5" t="s">
        <v>884</v>
      </c>
      <c r="D44" s="61">
        <v>180</v>
      </c>
      <c r="E44" s="7">
        <v>240514.2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2">
        <v>3</v>
      </c>
      <c r="AC44" s="7">
        <v>5491.44</v>
      </c>
      <c r="AD44" s="62">
        <v>10</v>
      </c>
      <c r="AE44" s="7">
        <v>2714.3</v>
      </c>
      <c r="AF44" s="62">
        <v>2</v>
      </c>
      <c r="AG44" s="7">
        <v>2247.62</v>
      </c>
      <c r="AH44" s="6"/>
      <c r="AI44" s="6"/>
      <c r="AJ44" s="61">
        <v>2</v>
      </c>
      <c r="AK44" s="7">
        <v>2742.38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1">
        <v>20</v>
      </c>
      <c r="BM44" s="7">
        <v>27009.599999999999</v>
      </c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2">
        <v>2</v>
      </c>
      <c r="DA44" s="7">
        <v>1238.0999999999999</v>
      </c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13">
        <v>1996</v>
      </c>
      <c r="FS44" s="7">
        <v>281957.64</v>
      </c>
      <c r="FT44" s="6"/>
      <c r="FU44" s="6"/>
      <c r="FV44" s="6"/>
      <c r="FW44" s="6"/>
      <c r="FX44" s="6"/>
      <c r="FY44" s="6"/>
      <c r="FZ44" s="6"/>
      <c r="GA44" s="6"/>
      <c r="GB44" s="61"/>
      <c r="GC44" s="7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</row>
    <row r="45" spans="1:209" x14ac:dyDescent="0.25">
      <c r="A45" s="3" t="s">
        <v>885</v>
      </c>
      <c r="B45" s="4" t="s">
        <v>886</v>
      </c>
      <c r="C45" s="5" t="s">
        <v>887</v>
      </c>
      <c r="D45" s="6"/>
      <c r="E45" s="6"/>
      <c r="F45" s="6"/>
      <c r="G45" s="6"/>
      <c r="H45" s="61">
        <v>10</v>
      </c>
      <c r="I45" s="7">
        <v>27428.6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2">
        <v>10</v>
      </c>
      <c r="AG45" s="7">
        <v>11238.1</v>
      </c>
      <c r="AH45" s="6"/>
      <c r="AI45" s="6"/>
      <c r="AJ45" s="61">
        <v>1</v>
      </c>
      <c r="AK45" s="7">
        <v>1377.12</v>
      </c>
      <c r="AL45" s="6"/>
      <c r="AM45" s="6"/>
      <c r="AN45" s="61">
        <v>1</v>
      </c>
      <c r="AO45" s="7">
        <v>4491.43</v>
      </c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1">
        <v>100</v>
      </c>
      <c r="BK45" s="7">
        <v>90000</v>
      </c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1">
        <v>1</v>
      </c>
      <c r="CO45" s="7">
        <v>1205.3599999999999</v>
      </c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1">
        <v>1</v>
      </c>
      <c r="DC45" s="7">
        <v>2285.71</v>
      </c>
      <c r="DD45" s="78">
        <v>1</v>
      </c>
      <c r="DE45" s="7">
        <v>1028.57</v>
      </c>
      <c r="DF45" s="61">
        <v>1</v>
      </c>
      <c r="DG45" s="7">
        <v>3619.05</v>
      </c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7">
        <v>142673.94</v>
      </c>
      <c r="FT45" s="6"/>
      <c r="FU45" s="6"/>
      <c r="FV45" s="6"/>
      <c r="FW45" s="6"/>
      <c r="FX45" s="6"/>
      <c r="FY45" s="6"/>
      <c r="FZ45" s="6"/>
      <c r="GA45" s="6"/>
      <c r="GB45" s="61"/>
      <c r="GC45" s="7"/>
      <c r="GD45" s="6"/>
      <c r="GE45" s="6"/>
      <c r="GF45" s="61"/>
      <c r="GG45" s="7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1"/>
      <c r="HA45" s="7"/>
    </row>
    <row r="46" spans="1:209" x14ac:dyDescent="0.25">
      <c r="A46" s="3" t="s">
        <v>888</v>
      </c>
      <c r="B46" s="4" t="s">
        <v>889</v>
      </c>
      <c r="C46" s="5" t="s">
        <v>890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2">
        <v>1</v>
      </c>
      <c r="AG46" s="7">
        <v>1123.81</v>
      </c>
      <c r="AH46" s="61">
        <v>1</v>
      </c>
      <c r="AI46" s="7">
        <v>2648.31</v>
      </c>
      <c r="AJ46" s="61">
        <v>1</v>
      </c>
      <c r="AK46" s="7">
        <v>1377.12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1">
        <v>85</v>
      </c>
      <c r="BK46" s="7">
        <v>76500</v>
      </c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1">
        <v>75</v>
      </c>
      <c r="CG46" s="7">
        <v>55714.5</v>
      </c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1">
        <v>1</v>
      </c>
      <c r="DC46" s="7">
        <v>2285.71</v>
      </c>
      <c r="DD46" s="6"/>
      <c r="DE46" s="6"/>
      <c r="DF46" s="6"/>
      <c r="DG46" s="6"/>
      <c r="DH46" s="61">
        <v>2</v>
      </c>
      <c r="DI46" s="7">
        <v>3619.04</v>
      </c>
      <c r="DJ46" s="61">
        <v>15</v>
      </c>
      <c r="DK46" s="7">
        <v>13500</v>
      </c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13">
        <v>1379</v>
      </c>
      <c r="FS46" s="7">
        <v>156768.49</v>
      </c>
      <c r="FT46" s="6"/>
      <c r="FU46" s="6"/>
      <c r="FV46" s="6"/>
      <c r="FW46" s="6"/>
      <c r="FX46" s="6"/>
      <c r="FY46" s="6"/>
      <c r="FZ46" s="6"/>
      <c r="GA46" s="6"/>
      <c r="GB46" s="61"/>
      <c r="GC46" s="7"/>
      <c r="GD46" s="6"/>
      <c r="GE46" s="6"/>
      <c r="GF46" s="61"/>
      <c r="GG46" s="7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1"/>
      <c r="HA46" s="7"/>
    </row>
    <row r="47" spans="1:209" x14ac:dyDescent="0.25">
      <c r="A47" s="3" t="s">
        <v>891</v>
      </c>
      <c r="B47" s="4" t="s">
        <v>892</v>
      </c>
      <c r="C47" s="5" t="s">
        <v>893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1"/>
      <c r="GC47" s="7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1"/>
      <c r="HA47" s="7"/>
    </row>
    <row r="48" spans="1:209" x14ac:dyDescent="0.25">
      <c r="A48" s="3" t="s">
        <v>894</v>
      </c>
      <c r="B48" s="4" t="s">
        <v>895</v>
      </c>
      <c r="C48" s="5" t="s">
        <v>896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13"/>
      <c r="GC48" s="7"/>
      <c r="GD48" s="6"/>
      <c r="GE48" s="6"/>
      <c r="GF48" s="13"/>
      <c r="GG48" s="7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1"/>
      <c r="HA48" s="7"/>
    </row>
    <row r="49" spans="1:209" x14ac:dyDescent="0.25">
      <c r="A49" s="3" t="s">
        <v>897</v>
      </c>
      <c r="B49" s="4" t="s">
        <v>898</v>
      </c>
      <c r="C49" s="5" t="s">
        <v>899</v>
      </c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13"/>
      <c r="GG49" s="7"/>
      <c r="GH49" s="6"/>
      <c r="GI49" s="6"/>
      <c r="GJ49" s="61"/>
      <c r="GK49" s="7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</row>
    <row r="50" spans="1:209" x14ac:dyDescent="0.25">
      <c r="A50" s="3" t="s">
        <v>900</v>
      </c>
      <c r="B50" s="4" t="s">
        <v>901</v>
      </c>
      <c r="C50" s="5" t="s">
        <v>902</v>
      </c>
      <c r="D50" s="61">
        <v>50</v>
      </c>
      <c r="E50" s="7">
        <v>66666.5</v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1">
        <v>50</v>
      </c>
      <c r="FS50" s="7">
        <v>66666.5</v>
      </c>
      <c r="FT50" s="6"/>
      <c r="FU50" s="6"/>
      <c r="FV50" s="6"/>
      <c r="FW50" s="6"/>
      <c r="FX50" s="6"/>
      <c r="FY50" s="6"/>
      <c r="FZ50" s="6"/>
      <c r="GA50" s="6"/>
      <c r="GB50" s="13"/>
      <c r="GC50" s="7"/>
      <c r="GD50" s="6"/>
      <c r="GE50" s="6"/>
      <c r="GF50" s="13"/>
      <c r="GG50" s="7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1"/>
      <c r="HA50" s="7"/>
    </row>
    <row r="51" spans="1:209" x14ac:dyDescent="0.25">
      <c r="A51" s="3" t="s">
        <v>903</v>
      </c>
      <c r="B51" s="4" t="s">
        <v>904</v>
      </c>
      <c r="C51" s="5" t="s">
        <v>905</v>
      </c>
      <c r="D51" s="61">
        <v>100</v>
      </c>
      <c r="E51" s="7">
        <v>134762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1">
        <v>100</v>
      </c>
      <c r="FS51" s="7">
        <v>134762</v>
      </c>
      <c r="FT51" s="6"/>
      <c r="FU51" s="6"/>
      <c r="FV51" s="6"/>
      <c r="FW51" s="6"/>
      <c r="FX51" s="6"/>
      <c r="FY51" s="6"/>
      <c r="FZ51" s="6"/>
      <c r="GA51" s="6"/>
      <c r="GB51" s="61"/>
      <c r="GC51" s="7"/>
      <c r="GD51" s="6"/>
      <c r="GE51" s="6"/>
      <c r="GF51" s="13"/>
      <c r="GG51" s="7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1"/>
      <c r="HA51" s="7"/>
    </row>
    <row r="52" spans="1:209" x14ac:dyDescent="0.25">
      <c r="A52" s="3" t="s">
        <v>906</v>
      </c>
      <c r="B52" s="4" t="s">
        <v>907</v>
      </c>
      <c r="C52" s="5" t="s">
        <v>908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1"/>
      <c r="GC52" s="7"/>
      <c r="GD52" s="6"/>
      <c r="GE52" s="6"/>
      <c r="GF52" s="13"/>
      <c r="GG52" s="7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1"/>
      <c r="HA52" s="7"/>
    </row>
    <row r="53" spans="1:209" x14ac:dyDescent="0.25">
      <c r="A53" s="3" t="s">
        <v>909</v>
      </c>
      <c r="B53" s="4" t="s">
        <v>910</v>
      </c>
      <c r="C53" s="5" t="s">
        <v>911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1"/>
      <c r="GC53" s="7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</row>
    <row r="54" spans="1:209" x14ac:dyDescent="0.25">
      <c r="A54" s="3" t="s">
        <v>912</v>
      </c>
      <c r="B54" s="4" t="s">
        <v>913</v>
      </c>
      <c r="C54" s="5" t="s">
        <v>914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2">
        <v>1</v>
      </c>
      <c r="AC54" s="7">
        <v>1830.48</v>
      </c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2">
        <v>1</v>
      </c>
      <c r="FS54" s="7">
        <v>1830.48</v>
      </c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1"/>
      <c r="GG54" s="7"/>
      <c r="GH54" s="6"/>
      <c r="GI54" s="6"/>
      <c r="GJ54" s="61"/>
      <c r="GK54" s="7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13"/>
      <c r="HA54" s="7"/>
    </row>
    <row r="55" spans="1:209" x14ac:dyDescent="0.25">
      <c r="A55" s="3" t="s">
        <v>915</v>
      </c>
      <c r="B55" s="4" t="s">
        <v>916</v>
      </c>
      <c r="C55" s="5" t="s">
        <v>917</v>
      </c>
      <c r="D55" s="61">
        <v>1000</v>
      </c>
      <c r="E55" s="7">
        <v>1328570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1">
        <v>200</v>
      </c>
      <c r="BM55" s="7">
        <v>268572</v>
      </c>
      <c r="BN55" s="6"/>
      <c r="BO55" s="6"/>
      <c r="BP55" s="6"/>
      <c r="BQ55" s="6"/>
      <c r="BR55" s="61">
        <v>5</v>
      </c>
      <c r="BS55" s="7">
        <v>5000</v>
      </c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1">
        <v>60</v>
      </c>
      <c r="CG55" s="7">
        <v>44571.6</v>
      </c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1">
        <v>1265</v>
      </c>
      <c r="FS55" s="7">
        <v>1646713.6</v>
      </c>
      <c r="FT55" s="6"/>
      <c r="FU55" s="6"/>
      <c r="FV55" s="6"/>
      <c r="FW55" s="6"/>
      <c r="FX55" s="6"/>
      <c r="FY55" s="6"/>
      <c r="FZ55" s="6"/>
      <c r="GA55" s="6"/>
      <c r="GB55" s="61"/>
      <c r="GC55" s="7"/>
      <c r="GD55" s="6"/>
      <c r="GE55" s="6"/>
      <c r="GF55" s="13"/>
      <c r="GG55" s="7"/>
      <c r="GH55" s="6"/>
      <c r="GI55" s="6"/>
      <c r="GJ55" s="13"/>
      <c r="GK55" s="7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1"/>
      <c r="HA55" s="7"/>
    </row>
    <row r="56" spans="1:209" x14ac:dyDescent="0.25">
      <c r="A56" s="3" t="s">
        <v>918</v>
      </c>
      <c r="B56" s="4" t="s">
        <v>919</v>
      </c>
      <c r="C56" s="5" t="s">
        <v>920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13"/>
      <c r="GG56" s="7"/>
      <c r="GH56" s="6"/>
      <c r="GI56" s="6"/>
      <c r="GJ56" s="61"/>
      <c r="GK56" s="7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1"/>
      <c r="HA56" s="7"/>
    </row>
    <row r="57" spans="1:209" x14ac:dyDescent="0.25">
      <c r="A57" s="3" t="s">
        <v>921</v>
      </c>
      <c r="B57" s="4" t="s">
        <v>922</v>
      </c>
      <c r="C57" s="5" t="s">
        <v>923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13"/>
      <c r="GC57" s="7"/>
      <c r="GD57" s="6"/>
      <c r="GE57" s="6"/>
      <c r="GF57" s="13"/>
      <c r="GG57" s="7"/>
      <c r="GH57" s="6"/>
      <c r="GI57" s="6"/>
      <c r="GJ57" s="61"/>
      <c r="GK57" s="7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13"/>
      <c r="HA57" s="7"/>
    </row>
    <row r="58" spans="1:209" x14ac:dyDescent="0.25">
      <c r="A58" s="3" t="s">
        <v>924</v>
      </c>
      <c r="B58" s="4" t="s">
        <v>925</v>
      </c>
      <c r="C58" s="5" t="s">
        <v>926</v>
      </c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1"/>
      <c r="GG58" s="7"/>
      <c r="GH58" s="6"/>
      <c r="GI58" s="6"/>
      <c r="GJ58" s="61"/>
      <c r="GK58" s="7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1"/>
      <c r="HA58" s="7"/>
    </row>
    <row r="59" spans="1:209" x14ac:dyDescent="0.25">
      <c r="A59" s="3" t="s">
        <v>927</v>
      </c>
      <c r="B59" s="4" t="s">
        <v>928</v>
      </c>
      <c r="C59" s="5" t="s">
        <v>929</v>
      </c>
      <c r="D59" s="61">
        <v>150</v>
      </c>
      <c r="E59" s="7">
        <v>201429</v>
      </c>
      <c r="F59" s="61">
        <v>2</v>
      </c>
      <c r="G59" s="7">
        <v>3348.58</v>
      </c>
      <c r="H59" s="61">
        <v>25</v>
      </c>
      <c r="I59" s="7">
        <v>68095.25</v>
      </c>
      <c r="J59" s="6"/>
      <c r="K59" s="6"/>
      <c r="L59" s="61">
        <v>90</v>
      </c>
      <c r="M59" s="7">
        <v>134196.29999999999</v>
      </c>
      <c r="N59" s="61">
        <v>50</v>
      </c>
      <c r="O59" s="7">
        <v>71875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2">
        <v>30</v>
      </c>
      <c r="AE59" s="7">
        <v>8142.9</v>
      </c>
      <c r="AF59" s="6"/>
      <c r="AG59" s="6"/>
      <c r="AH59" s="6"/>
      <c r="AI59" s="6"/>
      <c r="AJ59" s="61">
        <v>2</v>
      </c>
      <c r="AK59" s="7">
        <v>2754.24</v>
      </c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1">
        <v>25</v>
      </c>
      <c r="BK59" s="7">
        <v>22500</v>
      </c>
      <c r="BL59" s="61">
        <v>150</v>
      </c>
      <c r="BM59" s="7">
        <v>203571</v>
      </c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1">
        <v>1</v>
      </c>
      <c r="CO59" s="7">
        <v>1205.3599999999999</v>
      </c>
      <c r="CP59" s="61">
        <v>15</v>
      </c>
      <c r="CQ59" s="7">
        <v>22366.05</v>
      </c>
      <c r="CR59" s="61">
        <v>15</v>
      </c>
      <c r="CS59" s="7">
        <v>22366.05</v>
      </c>
      <c r="CT59" s="61">
        <v>15</v>
      </c>
      <c r="CU59" s="7">
        <v>23973.15</v>
      </c>
      <c r="CV59" s="6"/>
      <c r="CW59" s="6"/>
      <c r="CX59" s="6"/>
      <c r="CY59" s="6"/>
      <c r="CZ59" s="62">
        <v>5</v>
      </c>
      <c r="DA59" s="7">
        <v>3095.25</v>
      </c>
      <c r="DB59" s="6"/>
      <c r="DC59" s="6"/>
      <c r="DD59" s="6"/>
      <c r="DE59" s="6"/>
      <c r="DF59" s="6"/>
      <c r="DG59" s="6"/>
      <c r="DH59" s="6"/>
      <c r="DI59" s="6"/>
      <c r="DJ59" s="61">
        <v>25</v>
      </c>
      <c r="DK59" s="7">
        <v>22500</v>
      </c>
      <c r="DL59" s="61">
        <v>1</v>
      </c>
      <c r="DM59" s="7">
        <v>1205.3599999999999</v>
      </c>
      <c r="DN59" s="6"/>
      <c r="DO59" s="6"/>
      <c r="DP59" s="6"/>
      <c r="DQ59" s="6"/>
      <c r="DR59" s="61">
        <v>10</v>
      </c>
      <c r="DS59" s="7">
        <v>14375</v>
      </c>
      <c r="DT59" s="61">
        <v>10</v>
      </c>
      <c r="DU59" s="7">
        <v>14375</v>
      </c>
      <c r="DV59" s="61">
        <v>10</v>
      </c>
      <c r="DW59" s="7">
        <v>14375</v>
      </c>
      <c r="DX59" s="61">
        <v>3</v>
      </c>
      <c r="DY59" s="7">
        <v>5142.87</v>
      </c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1">
        <v>10</v>
      </c>
      <c r="FK59" s="7">
        <v>13437.5</v>
      </c>
      <c r="FL59" s="61">
        <v>10</v>
      </c>
      <c r="FM59" s="7">
        <v>13303.6</v>
      </c>
      <c r="FN59" s="6"/>
      <c r="FO59" s="6"/>
      <c r="FP59" s="6"/>
      <c r="FQ59" s="6"/>
      <c r="FR59" s="13">
        <v>5848</v>
      </c>
      <c r="FS59" s="7">
        <v>887632.46</v>
      </c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1"/>
      <c r="GG59" s="7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1"/>
      <c r="HA59" s="7"/>
    </row>
    <row r="60" spans="1:209" x14ac:dyDescent="0.25">
      <c r="A60" s="3" t="s">
        <v>930</v>
      </c>
      <c r="B60" s="4" t="s">
        <v>931</v>
      </c>
      <c r="C60" s="5" t="s">
        <v>932</v>
      </c>
      <c r="D60" s="61">
        <v>400</v>
      </c>
      <c r="E60" s="7">
        <v>536380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1">
        <v>10</v>
      </c>
      <c r="BK60" s="7">
        <v>9000</v>
      </c>
      <c r="BL60" s="61">
        <v>200</v>
      </c>
      <c r="BM60" s="7">
        <v>271050</v>
      </c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1">
        <v>40</v>
      </c>
      <c r="DK60" s="7">
        <v>36000</v>
      </c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1">
        <v>650</v>
      </c>
      <c r="FS60" s="7">
        <v>852430</v>
      </c>
      <c r="FT60" s="6"/>
      <c r="FU60" s="6"/>
      <c r="FV60" s="6"/>
      <c r="FW60" s="6"/>
      <c r="FX60" s="6"/>
      <c r="FY60" s="6"/>
      <c r="FZ60" s="6"/>
      <c r="GA60" s="6"/>
      <c r="GB60" s="61"/>
      <c r="GC60" s="7"/>
      <c r="GD60" s="6"/>
      <c r="GE60" s="6"/>
      <c r="GF60" s="61"/>
      <c r="GG60" s="7"/>
      <c r="GH60" s="6"/>
      <c r="GI60" s="6"/>
      <c r="GJ60" s="61"/>
      <c r="GK60" s="7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</row>
    <row r="61" spans="1:209" x14ac:dyDescent="0.25">
      <c r="A61" s="3" t="s">
        <v>933</v>
      </c>
      <c r="B61" s="4" t="s">
        <v>934</v>
      </c>
      <c r="C61" s="5" t="s">
        <v>935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13"/>
      <c r="GC61" s="7"/>
      <c r="GD61" s="6"/>
      <c r="GE61" s="6"/>
      <c r="GF61" s="61"/>
      <c r="GG61" s="7"/>
      <c r="GH61" s="6"/>
      <c r="GI61" s="6"/>
      <c r="GJ61" s="63"/>
      <c r="GK61" s="7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</row>
    <row r="62" spans="1:209" x14ac:dyDescent="0.25">
      <c r="A62" s="3" t="s">
        <v>936</v>
      </c>
      <c r="B62" s="4" t="s">
        <v>937</v>
      </c>
      <c r="C62" s="5" t="s">
        <v>938</v>
      </c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1"/>
      <c r="GC62" s="7"/>
      <c r="GD62" s="6"/>
      <c r="GE62" s="6"/>
      <c r="GF62" s="61"/>
      <c r="GG62" s="7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</row>
    <row r="63" spans="1:209" x14ac:dyDescent="0.25">
      <c r="A63" s="3" t="s">
        <v>939</v>
      </c>
      <c r="B63" s="4" t="s">
        <v>940</v>
      </c>
      <c r="C63" s="5" t="s">
        <v>941</v>
      </c>
      <c r="D63" s="61">
        <v>150</v>
      </c>
      <c r="E63" s="7">
        <v>201429</v>
      </c>
      <c r="F63" s="6"/>
      <c r="G63" s="6"/>
      <c r="H63" s="61">
        <v>15</v>
      </c>
      <c r="I63" s="7">
        <v>40857.15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1">
        <v>50</v>
      </c>
      <c r="BM63" s="7">
        <v>67857</v>
      </c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1">
        <v>215</v>
      </c>
      <c r="FS63" s="7">
        <v>310143.15000000002</v>
      </c>
      <c r="FT63" s="6"/>
      <c r="FU63" s="6"/>
      <c r="FV63" s="6"/>
      <c r="FW63" s="6"/>
      <c r="FX63" s="6"/>
      <c r="FY63" s="6"/>
      <c r="FZ63" s="6"/>
      <c r="GA63" s="6"/>
      <c r="GB63" s="13"/>
      <c r="GC63" s="7"/>
      <c r="GD63" s="6"/>
      <c r="GE63" s="6"/>
      <c r="GF63" s="6"/>
      <c r="GG63" s="6"/>
      <c r="GH63" s="6"/>
      <c r="GI63" s="6"/>
      <c r="GJ63" s="61"/>
      <c r="GK63" s="7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</row>
    <row r="64" spans="1:209" x14ac:dyDescent="0.25">
      <c r="A64" s="3" t="s">
        <v>942</v>
      </c>
      <c r="B64" s="4" t="s">
        <v>943</v>
      </c>
      <c r="C64" s="5" t="s">
        <v>944</v>
      </c>
      <c r="D64" s="61">
        <v>70</v>
      </c>
      <c r="E64" s="7">
        <v>94000.2</v>
      </c>
      <c r="F64" s="6"/>
      <c r="G64" s="6"/>
      <c r="H64" s="61">
        <v>15</v>
      </c>
      <c r="I64" s="7">
        <v>40857.15</v>
      </c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2">
        <v>2</v>
      </c>
      <c r="AC64" s="7">
        <v>3660.96</v>
      </c>
      <c r="AD64" s="62">
        <v>30</v>
      </c>
      <c r="AE64" s="7">
        <v>8142.9</v>
      </c>
      <c r="AF64" s="6"/>
      <c r="AG64" s="6"/>
      <c r="AH64" s="6"/>
      <c r="AI64" s="6"/>
      <c r="AJ64" s="61">
        <v>1</v>
      </c>
      <c r="AK64" s="7">
        <v>1377.12</v>
      </c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1">
        <v>10</v>
      </c>
      <c r="BK64" s="7">
        <v>9000</v>
      </c>
      <c r="BL64" s="61">
        <v>30</v>
      </c>
      <c r="BM64" s="7">
        <v>40714.199999999997</v>
      </c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1">
        <v>1</v>
      </c>
      <c r="CO64" s="7">
        <v>1205.3599999999999</v>
      </c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2">
        <v>2</v>
      </c>
      <c r="DA64" s="7">
        <v>1238.0999999999999</v>
      </c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1">
        <v>1</v>
      </c>
      <c r="DM64" s="7">
        <v>1205.3599999999999</v>
      </c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13">
        <v>1447</v>
      </c>
      <c r="FS64" s="7">
        <v>201401.35</v>
      </c>
      <c r="FT64" s="6"/>
      <c r="FU64" s="6"/>
      <c r="FV64" s="6"/>
      <c r="FW64" s="6"/>
      <c r="FX64" s="6"/>
      <c r="FY64" s="6"/>
      <c r="FZ64" s="6"/>
      <c r="GA64" s="6"/>
      <c r="GB64" s="61"/>
      <c r="GC64" s="7"/>
      <c r="GD64" s="6"/>
      <c r="GE64" s="6"/>
      <c r="GF64" s="61"/>
      <c r="GG64" s="7"/>
      <c r="GH64" s="6"/>
      <c r="GI64" s="6"/>
      <c r="GJ64" s="61"/>
      <c r="GK64" s="7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</row>
    <row r="65" spans="1:209" x14ac:dyDescent="0.25">
      <c r="A65" s="3" t="s">
        <v>945</v>
      </c>
      <c r="B65" s="4" t="s">
        <v>946</v>
      </c>
      <c r="C65" s="5" t="s">
        <v>947</v>
      </c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</row>
    <row r="66" spans="1:209" x14ac:dyDescent="0.25">
      <c r="A66" s="3" t="s">
        <v>948</v>
      </c>
      <c r="B66" s="4" t="s">
        <v>949</v>
      </c>
      <c r="C66" s="5" t="s">
        <v>950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</row>
    <row r="67" spans="1:209" x14ac:dyDescent="0.25">
      <c r="A67" s="3" t="s">
        <v>951</v>
      </c>
      <c r="B67" s="4" t="s">
        <v>952</v>
      </c>
      <c r="C67" s="5" t="s">
        <v>953</v>
      </c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1"/>
      <c r="GK67" s="7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</row>
    <row r="68" spans="1:209" x14ac:dyDescent="0.25">
      <c r="A68" s="3" t="s">
        <v>954</v>
      </c>
      <c r="B68" s="4" t="s">
        <v>955</v>
      </c>
      <c r="C68" s="5" t="s">
        <v>956</v>
      </c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1"/>
      <c r="GC68" s="7"/>
      <c r="GD68" s="6"/>
      <c r="GE68" s="6"/>
      <c r="GF68" s="61"/>
      <c r="GG68" s="7"/>
      <c r="GH68" s="6"/>
      <c r="GI68" s="6"/>
      <c r="GJ68" s="13"/>
      <c r="GK68" s="7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</row>
    <row r="69" spans="1:209" x14ac:dyDescent="0.25">
      <c r="A69" s="3" t="s">
        <v>957</v>
      </c>
      <c r="B69" s="4" t="s">
        <v>958</v>
      </c>
      <c r="C69" s="5" t="s">
        <v>959</v>
      </c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1"/>
      <c r="GC69" s="7"/>
      <c r="GD69" s="6"/>
      <c r="GE69" s="6"/>
      <c r="GF69" s="6"/>
      <c r="GG69" s="6"/>
      <c r="GH69" s="6"/>
      <c r="GI69" s="6"/>
      <c r="GJ69" s="13"/>
      <c r="GK69" s="7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</row>
    <row r="70" spans="1:209" x14ac:dyDescent="0.25">
      <c r="A70" s="3" t="s">
        <v>960</v>
      </c>
      <c r="B70" s="4" t="s">
        <v>961</v>
      </c>
      <c r="C70" s="5" t="s">
        <v>962</v>
      </c>
      <c r="D70" s="61">
        <v>300</v>
      </c>
      <c r="E70" s="7">
        <v>401430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2">
        <v>10</v>
      </c>
      <c r="AC70" s="7">
        <v>18209.5</v>
      </c>
      <c r="AD70" s="6"/>
      <c r="AE70" s="6"/>
      <c r="AF70" s="6"/>
      <c r="AG70" s="6"/>
      <c r="AH70" s="6"/>
      <c r="AI70" s="6"/>
      <c r="AJ70" s="61">
        <v>1</v>
      </c>
      <c r="AK70" s="7">
        <v>1377.12</v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13">
        <v>3035</v>
      </c>
      <c r="FS70" s="7">
        <v>421016.62</v>
      </c>
      <c r="FT70" s="6"/>
      <c r="FU70" s="6"/>
      <c r="FV70" s="6"/>
      <c r="FW70" s="6"/>
      <c r="FX70" s="6"/>
      <c r="FY70" s="6"/>
      <c r="FZ70" s="6"/>
      <c r="GA70" s="6"/>
      <c r="GB70" s="61"/>
      <c r="GC70" s="7"/>
      <c r="GD70" s="6"/>
      <c r="GE70" s="6"/>
      <c r="GF70" s="61"/>
      <c r="GG70" s="7"/>
      <c r="GH70" s="6"/>
      <c r="GI70" s="6"/>
      <c r="GJ70" s="61"/>
      <c r="GK70" s="7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</row>
    <row r="71" spans="1:209" x14ac:dyDescent="0.25">
      <c r="A71" s="3" t="s">
        <v>963</v>
      </c>
      <c r="B71" s="4" t="s">
        <v>964</v>
      </c>
      <c r="C71" s="5" t="s">
        <v>965</v>
      </c>
      <c r="D71" s="61">
        <v>40</v>
      </c>
      <c r="E71" s="7">
        <v>53524</v>
      </c>
      <c r="F71" s="61">
        <v>5</v>
      </c>
      <c r="G71" s="7">
        <v>8371.4500000000007</v>
      </c>
      <c r="H71" s="61">
        <v>30</v>
      </c>
      <c r="I71" s="7">
        <v>81714.3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1">
        <v>1</v>
      </c>
      <c r="AK71" s="7">
        <v>1377.12</v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1">
        <v>20</v>
      </c>
      <c r="BK71" s="7">
        <v>18000</v>
      </c>
      <c r="BL71" s="61">
        <v>70</v>
      </c>
      <c r="BM71" s="7">
        <v>94666.6</v>
      </c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1">
        <v>15</v>
      </c>
      <c r="DK71" s="7">
        <v>13500</v>
      </c>
      <c r="DL71" s="6"/>
      <c r="DM71" s="6"/>
      <c r="DN71" s="61">
        <v>5</v>
      </c>
      <c r="DO71" s="7">
        <v>14857.15</v>
      </c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1">
        <v>186</v>
      </c>
      <c r="FS71" s="7">
        <v>286010.62</v>
      </c>
      <c r="FT71" s="6"/>
      <c r="FU71" s="6"/>
      <c r="FV71" s="6"/>
      <c r="FW71" s="6"/>
      <c r="FX71" s="6"/>
      <c r="FY71" s="6"/>
      <c r="FZ71" s="6"/>
      <c r="GA71" s="6"/>
      <c r="GB71" s="13"/>
      <c r="GC71" s="7"/>
      <c r="GD71" s="6"/>
      <c r="GE71" s="6"/>
      <c r="GF71" s="13"/>
      <c r="GG71" s="7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</row>
    <row r="72" spans="1:209" x14ac:dyDescent="0.25">
      <c r="A72" s="3" t="s">
        <v>966</v>
      </c>
      <c r="B72" s="4" t="s">
        <v>967</v>
      </c>
      <c r="C72" s="5" t="s">
        <v>968</v>
      </c>
      <c r="D72" s="6"/>
      <c r="E72" s="6"/>
      <c r="F72" s="6"/>
      <c r="G72" s="6"/>
      <c r="H72" s="6"/>
      <c r="I72" s="6"/>
      <c r="J72" s="6"/>
      <c r="K72" s="6"/>
      <c r="L72" s="61">
        <v>15</v>
      </c>
      <c r="M72" s="7">
        <v>22366.05</v>
      </c>
      <c r="N72" s="61">
        <v>35</v>
      </c>
      <c r="O72" s="7">
        <v>50312.5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1">
        <v>50</v>
      </c>
      <c r="BW72" s="7">
        <v>74047.5</v>
      </c>
      <c r="BX72" s="61">
        <v>50</v>
      </c>
      <c r="BY72" s="7">
        <v>70238</v>
      </c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1">
        <v>10</v>
      </c>
      <c r="CQ72" s="7">
        <v>14910.7</v>
      </c>
      <c r="CR72" s="61">
        <v>10</v>
      </c>
      <c r="CS72" s="7">
        <v>14910.7</v>
      </c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1">
        <v>6</v>
      </c>
      <c r="DQ72" s="7">
        <v>18857.16</v>
      </c>
      <c r="DR72" s="61">
        <v>10</v>
      </c>
      <c r="DS72" s="7">
        <v>14375</v>
      </c>
      <c r="DT72" s="61">
        <v>10</v>
      </c>
      <c r="DU72" s="7">
        <v>14375</v>
      </c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1">
        <v>196</v>
      </c>
      <c r="FS72" s="7">
        <v>294392.61</v>
      </c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13"/>
      <c r="GG72" s="7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</row>
    <row r="73" spans="1:209" x14ac:dyDescent="0.25">
      <c r="A73" s="3" t="s">
        <v>969</v>
      </c>
      <c r="B73" s="4" t="s">
        <v>970</v>
      </c>
      <c r="C73" s="5" t="s">
        <v>971</v>
      </c>
      <c r="D73" s="6"/>
      <c r="E73" s="6"/>
      <c r="F73" s="6"/>
      <c r="G73" s="6"/>
      <c r="H73" s="6"/>
      <c r="I73" s="6"/>
      <c r="J73" s="6"/>
      <c r="K73" s="6"/>
      <c r="L73" s="61">
        <v>5</v>
      </c>
      <c r="M73" s="7">
        <v>7544.65</v>
      </c>
      <c r="N73" s="61">
        <v>30</v>
      </c>
      <c r="O73" s="7">
        <v>43660.800000000003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1">
        <v>5</v>
      </c>
      <c r="BW73" s="7">
        <v>7571.45</v>
      </c>
      <c r="BX73" s="61">
        <v>5</v>
      </c>
      <c r="BY73" s="7">
        <v>7190.5</v>
      </c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1">
        <v>1</v>
      </c>
      <c r="CO73" s="7">
        <v>1205.3599999999999</v>
      </c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1">
        <v>1</v>
      </c>
      <c r="DM73" s="7">
        <v>1205.3599999999999</v>
      </c>
      <c r="DN73" s="6"/>
      <c r="DO73" s="6"/>
      <c r="DP73" s="6"/>
      <c r="DQ73" s="6"/>
      <c r="DR73" s="61">
        <v>5</v>
      </c>
      <c r="DS73" s="7">
        <v>7276.8</v>
      </c>
      <c r="DT73" s="61">
        <v>5</v>
      </c>
      <c r="DU73" s="7">
        <v>7276.8</v>
      </c>
      <c r="DV73" s="61">
        <v>5</v>
      </c>
      <c r="DW73" s="7">
        <v>7276.8</v>
      </c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1">
        <v>62</v>
      </c>
      <c r="FS73" s="7">
        <v>90208.52</v>
      </c>
      <c r="FT73" s="6"/>
      <c r="FU73" s="6"/>
      <c r="FV73" s="6"/>
      <c r="FW73" s="6"/>
      <c r="FX73" s="6"/>
      <c r="FY73" s="6"/>
      <c r="FZ73" s="6"/>
      <c r="GA73" s="6"/>
      <c r="GB73" s="61"/>
      <c r="GC73" s="7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</row>
    <row r="74" spans="1:209" x14ac:dyDescent="0.25">
      <c r="A74" s="3" t="s">
        <v>972</v>
      </c>
      <c r="B74" s="4" t="s">
        <v>973</v>
      </c>
      <c r="C74" s="5" t="s">
        <v>974</v>
      </c>
      <c r="D74" s="61">
        <v>200</v>
      </c>
      <c r="E74" s="7">
        <v>265714</v>
      </c>
      <c r="F74" s="6"/>
      <c r="G74" s="6"/>
      <c r="H74" s="6"/>
      <c r="I74" s="6"/>
      <c r="J74" s="61">
        <v>80</v>
      </c>
      <c r="K74" s="7">
        <v>123048</v>
      </c>
      <c r="L74" s="61">
        <v>10</v>
      </c>
      <c r="M74" s="7">
        <v>15178.6</v>
      </c>
      <c r="N74" s="61">
        <v>10</v>
      </c>
      <c r="O74" s="7">
        <v>14642.9</v>
      </c>
      <c r="P74" s="61">
        <v>20</v>
      </c>
      <c r="Q74" s="7">
        <v>30762</v>
      </c>
      <c r="R74" s="6"/>
      <c r="S74" s="6"/>
      <c r="T74" s="61">
        <v>10</v>
      </c>
      <c r="U74" s="7">
        <v>12857.1</v>
      </c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1">
        <v>17</v>
      </c>
      <c r="BK74" s="7">
        <v>15138.16</v>
      </c>
      <c r="BL74" s="61">
        <v>100</v>
      </c>
      <c r="BM74" s="7">
        <v>134286</v>
      </c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1">
        <v>5</v>
      </c>
      <c r="CU74" s="7">
        <v>8125</v>
      </c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1">
        <v>13</v>
      </c>
      <c r="DK74" s="7">
        <v>11576.24</v>
      </c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1">
        <v>465</v>
      </c>
      <c r="FS74" s="7">
        <v>631328</v>
      </c>
      <c r="FT74" s="6"/>
      <c r="FU74" s="6"/>
      <c r="FV74" s="6"/>
      <c r="FW74" s="6"/>
      <c r="FX74" s="6"/>
      <c r="FY74" s="6"/>
      <c r="FZ74" s="6"/>
      <c r="GA74" s="6"/>
      <c r="GB74" s="61"/>
      <c r="GC74" s="7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1"/>
      <c r="HA74" s="7"/>
    </row>
    <row r="75" spans="1:209" x14ac:dyDescent="0.25">
      <c r="A75" s="3" t="s">
        <v>975</v>
      </c>
      <c r="B75" s="4" t="s">
        <v>976</v>
      </c>
      <c r="C75" s="5" t="s">
        <v>977</v>
      </c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1"/>
      <c r="GC75" s="7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1"/>
      <c r="HA75" s="7"/>
    </row>
    <row r="76" spans="1:209" x14ac:dyDescent="0.25">
      <c r="A76" s="3" t="s">
        <v>978</v>
      </c>
      <c r="B76" s="4" t="s">
        <v>979</v>
      </c>
      <c r="C76" s="5" t="s">
        <v>980</v>
      </c>
      <c r="D76" s="61">
        <v>50</v>
      </c>
      <c r="E76" s="7">
        <v>66428.5</v>
      </c>
      <c r="F76" s="61">
        <v>5</v>
      </c>
      <c r="G76" s="7">
        <v>8142.85</v>
      </c>
      <c r="H76" s="61">
        <v>40</v>
      </c>
      <c r="I76" s="7">
        <v>108190.39999999999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1">
        <v>15</v>
      </c>
      <c r="BW76" s="7">
        <v>22357.200000000001</v>
      </c>
      <c r="BX76" s="61">
        <v>35</v>
      </c>
      <c r="BY76" s="7">
        <v>49500.15</v>
      </c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1">
        <v>145</v>
      </c>
      <c r="FS76" s="7">
        <v>254619.1</v>
      </c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1"/>
      <c r="GG76" s="7"/>
      <c r="GH76" s="6"/>
      <c r="GI76" s="6"/>
      <c r="GJ76" s="61"/>
      <c r="GK76" s="7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1"/>
      <c r="HA76" s="7"/>
    </row>
    <row r="77" spans="1:209" x14ac:dyDescent="0.25">
      <c r="A77" s="3" t="s">
        <v>981</v>
      </c>
      <c r="B77" s="4" t="s">
        <v>982</v>
      </c>
      <c r="C77" s="5" t="s">
        <v>983</v>
      </c>
      <c r="D77" s="61">
        <v>500</v>
      </c>
      <c r="E77" s="7">
        <v>655240</v>
      </c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1">
        <v>100</v>
      </c>
      <c r="U77" s="7">
        <v>122476</v>
      </c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1">
        <v>600</v>
      </c>
      <c r="FS77" s="7">
        <v>777716</v>
      </c>
      <c r="FT77" s="6"/>
      <c r="FU77" s="6"/>
      <c r="FV77" s="6"/>
      <c r="FW77" s="6"/>
      <c r="FX77" s="6"/>
      <c r="FY77" s="6"/>
      <c r="FZ77" s="6"/>
      <c r="GA77" s="6"/>
      <c r="GB77" s="61"/>
      <c r="GC77" s="7"/>
      <c r="GD77" s="6"/>
      <c r="GE77" s="6"/>
      <c r="GF77" s="13"/>
      <c r="GG77" s="7"/>
      <c r="GH77" s="6"/>
      <c r="GI77" s="6"/>
      <c r="GJ77" s="61"/>
      <c r="GK77" s="7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61"/>
      <c r="HA77" s="7"/>
    </row>
    <row r="78" spans="1:209" x14ac:dyDescent="0.25">
      <c r="A78" s="3" t="s">
        <v>984</v>
      </c>
      <c r="B78" s="4" t="s">
        <v>985</v>
      </c>
      <c r="C78" s="5" t="s">
        <v>986</v>
      </c>
      <c r="D78" s="61">
        <v>240</v>
      </c>
      <c r="E78" s="7">
        <v>322286.40000000002</v>
      </c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1">
        <v>1</v>
      </c>
      <c r="AK78" s="7">
        <v>1377.12</v>
      </c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1">
        <v>10</v>
      </c>
      <c r="BK78" s="7">
        <v>9000</v>
      </c>
      <c r="BL78" s="61">
        <v>60</v>
      </c>
      <c r="BM78" s="7">
        <v>81428.399999999994</v>
      </c>
      <c r="BN78" s="61">
        <v>5</v>
      </c>
      <c r="BO78" s="7">
        <v>7000</v>
      </c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1">
        <v>10</v>
      </c>
      <c r="DK78" s="7">
        <v>9000</v>
      </c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1">
        <v>326</v>
      </c>
      <c r="FS78" s="7">
        <v>430091.92</v>
      </c>
      <c r="FT78" s="61"/>
      <c r="FU78" s="7"/>
      <c r="FV78" s="6"/>
      <c r="FW78" s="6"/>
      <c r="FX78" s="6"/>
      <c r="FY78" s="6"/>
      <c r="FZ78" s="6"/>
      <c r="GA78" s="6"/>
      <c r="GB78" s="61"/>
      <c r="GC78" s="7"/>
      <c r="GD78" s="6"/>
      <c r="GE78" s="6"/>
      <c r="GF78" s="13"/>
      <c r="GG78" s="7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61"/>
      <c r="HA78" s="7"/>
    </row>
    <row r="79" spans="1:209" x14ac:dyDescent="0.25">
      <c r="A79" s="3" t="s">
        <v>987</v>
      </c>
      <c r="B79" s="4" t="s">
        <v>988</v>
      </c>
      <c r="C79" s="5" t="s">
        <v>989</v>
      </c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1"/>
      <c r="GC79" s="7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1"/>
      <c r="HA79" s="7"/>
    </row>
    <row r="80" spans="1:209" x14ac:dyDescent="0.25">
      <c r="A80" s="3" t="s">
        <v>990</v>
      </c>
      <c r="B80" s="4" t="s">
        <v>991</v>
      </c>
      <c r="C80" s="5" t="s">
        <v>992</v>
      </c>
      <c r="D80" s="61">
        <v>200</v>
      </c>
      <c r="E80" s="7">
        <v>268572</v>
      </c>
      <c r="F80" s="6"/>
      <c r="G80" s="6"/>
      <c r="H80" s="61">
        <v>5</v>
      </c>
      <c r="I80" s="7">
        <v>13619.05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1">
        <v>10</v>
      </c>
      <c r="BK80" s="7">
        <v>9000</v>
      </c>
      <c r="BL80" s="6"/>
      <c r="BM80" s="6"/>
      <c r="BN80" s="61">
        <v>5</v>
      </c>
      <c r="BO80" s="7">
        <v>7000</v>
      </c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1">
        <v>10</v>
      </c>
      <c r="DK80" s="7">
        <v>9000</v>
      </c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1">
        <v>5</v>
      </c>
      <c r="DY80" s="7">
        <v>8571.4500000000007</v>
      </c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1">
        <v>235</v>
      </c>
      <c r="FS80" s="7">
        <v>315762.5</v>
      </c>
      <c r="FT80" s="61"/>
      <c r="FU80" s="7"/>
      <c r="FV80" s="61"/>
      <c r="FW80" s="7"/>
      <c r="FX80" s="61"/>
      <c r="FY80" s="7"/>
      <c r="FZ80" s="61"/>
      <c r="GA80" s="7"/>
      <c r="GB80" s="61"/>
      <c r="GC80" s="7"/>
      <c r="GD80" s="6"/>
      <c r="GE80" s="6"/>
      <c r="GF80" s="6"/>
      <c r="GG80" s="6"/>
      <c r="GH80" s="6"/>
      <c r="GI80" s="6"/>
      <c r="GJ80" s="61"/>
      <c r="GK80" s="7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1"/>
      <c r="HA80" s="7"/>
    </row>
    <row r="81" spans="1:209" x14ac:dyDescent="0.25">
      <c r="A81" s="3" t="s">
        <v>993</v>
      </c>
      <c r="B81" s="4" t="s">
        <v>994</v>
      </c>
      <c r="C81" s="5" t="s">
        <v>995</v>
      </c>
      <c r="D81" s="6"/>
      <c r="E81" s="6"/>
      <c r="F81" s="6"/>
      <c r="G81" s="6"/>
      <c r="H81" s="6"/>
      <c r="I81" s="6"/>
      <c r="J81" s="6"/>
      <c r="K81" s="6"/>
      <c r="L81" s="61">
        <v>20</v>
      </c>
      <c r="M81" s="7">
        <v>30000</v>
      </c>
      <c r="N81" s="61">
        <v>10</v>
      </c>
      <c r="O81" s="7">
        <v>14464.3</v>
      </c>
      <c r="P81" s="6"/>
      <c r="Q81" s="6"/>
      <c r="R81" s="6"/>
      <c r="S81" s="6"/>
      <c r="T81" s="61">
        <v>20</v>
      </c>
      <c r="U81" s="7">
        <v>25523.8</v>
      </c>
      <c r="V81" s="6"/>
      <c r="W81" s="6"/>
      <c r="X81" s="6"/>
      <c r="Y81" s="6"/>
      <c r="Z81" s="6"/>
      <c r="AA81" s="6"/>
      <c r="AB81" s="62">
        <v>15</v>
      </c>
      <c r="AC81" s="7">
        <v>27242.85</v>
      </c>
      <c r="AD81" s="6"/>
      <c r="AE81" s="6"/>
      <c r="AF81" s="62">
        <v>18</v>
      </c>
      <c r="AG81" s="7">
        <v>20228.580000000002</v>
      </c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1">
        <v>13</v>
      </c>
      <c r="BE81" s="7">
        <v>40423.760000000002</v>
      </c>
      <c r="BF81" s="61">
        <v>1</v>
      </c>
      <c r="BG81" s="7">
        <v>3052.38</v>
      </c>
      <c r="BH81" s="61">
        <v>20</v>
      </c>
      <c r="BI81" s="7">
        <v>14476.2</v>
      </c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1">
        <v>3</v>
      </c>
      <c r="BW81" s="7">
        <v>4542.87</v>
      </c>
      <c r="BX81" s="61">
        <v>7</v>
      </c>
      <c r="BY81" s="7">
        <v>10066.700000000001</v>
      </c>
      <c r="BZ81" s="6"/>
      <c r="CA81" s="6"/>
      <c r="CB81" s="6"/>
      <c r="CC81" s="6"/>
      <c r="CD81" s="6"/>
      <c r="CE81" s="6"/>
      <c r="CF81" s="61">
        <v>180</v>
      </c>
      <c r="CG81" s="7">
        <v>133714.79999999999</v>
      </c>
      <c r="CH81" s="6"/>
      <c r="CI81" s="6"/>
      <c r="CJ81" s="6"/>
      <c r="CK81" s="6"/>
      <c r="CL81" s="6"/>
      <c r="CM81" s="6"/>
      <c r="CN81" s="61">
        <v>5</v>
      </c>
      <c r="CO81" s="7">
        <v>5803.55</v>
      </c>
      <c r="CP81" s="61">
        <v>10</v>
      </c>
      <c r="CQ81" s="7">
        <v>15000</v>
      </c>
      <c r="CR81" s="61">
        <v>10</v>
      </c>
      <c r="CS81" s="7">
        <v>15000</v>
      </c>
      <c r="CT81" s="61">
        <v>10</v>
      </c>
      <c r="CU81" s="7">
        <v>16071.4</v>
      </c>
      <c r="CV81" s="6"/>
      <c r="CW81" s="6"/>
      <c r="CX81" s="6"/>
      <c r="CY81" s="6"/>
      <c r="CZ81" s="62">
        <v>17</v>
      </c>
      <c r="DA81" s="7">
        <v>10309.5</v>
      </c>
      <c r="DB81" s="6"/>
      <c r="DC81" s="6"/>
      <c r="DD81" s="6"/>
      <c r="DE81" s="6"/>
      <c r="DF81" s="61">
        <v>1</v>
      </c>
      <c r="DG81" s="7">
        <v>3619.05</v>
      </c>
      <c r="DH81" s="6"/>
      <c r="DI81" s="6"/>
      <c r="DJ81" s="6"/>
      <c r="DK81" s="6"/>
      <c r="DL81" s="61">
        <v>10</v>
      </c>
      <c r="DM81" s="7">
        <v>11607.1</v>
      </c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1">
        <v>2</v>
      </c>
      <c r="EA81" s="7">
        <v>3628.58</v>
      </c>
      <c r="EB81" s="61">
        <v>30</v>
      </c>
      <c r="EC81" s="7">
        <v>24428.7</v>
      </c>
      <c r="ED81" s="62">
        <v>2</v>
      </c>
      <c r="EE81" s="7">
        <v>3600</v>
      </c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13">
        <v>4069</v>
      </c>
      <c r="FS81" s="7">
        <v>432804.12</v>
      </c>
      <c r="FT81" s="6"/>
      <c r="FU81" s="6"/>
      <c r="FV81" s="6"/>
      <c r="FW81" s="6"/>
      <c r="FX81" s="6"/>
      <c r="FY81" s="6"/>
      <c r="FZ81" s="6"/>
      <c r="GA81" s="6"/>
      <c r="GB81" s="13"/>
      <c r="GC81" s="7"/>
      <c r="GD81" s="6"/>
      <c r="GE81" s="6"/>
      <c r="GF81" s="6"/>
      <c r="GG81" s="6"/>
      <c r="GH81" s="6"/>
      <c r="GI81" s="6"/>
      <c r="GJ81" s="61"/>
      <c r="GK81" s="7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1"/>
      <c r="HA81" s="7"/>
    </row>
    <row r="82" spans="1:209" x14ac:dyDescent="0.25">
      <c r="A82" s="3" t="s">
        <v>996</v>
      </c>
      <c r="B82" s="4" t="s">
        <v>997</v>
      </c>
      <c r="C82" s="5" t="s">
        <v>998</v>
      </c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2">
        <v>15</v>
      </c>
      <c r="AC82" s="7">
        <v>27242.85</v>
      </c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1">
        <v>25</v>
      </c>
      <c r="BI82" s="7">
        <v>18095.25</v>
      </c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1">
        <v>175</v>
      </c>
      <c r="CG82" s="7">
        <v>130000.5</v>
      </c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2">
        <v>15</v>
      </c>
      <c r="DA82" s="7">
        <v>9071.4</v>
      </c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13">
        <v>2600</v>
      </c>
      <c r="FS82" s="7">
        <v>184410</v>
      </c>
      <c r="FT82" s="6"/>
      <c r="FU82" s="6"/>
      <c r="FV82" s="6"/>
      <c r="FW82" s="6"/>
      <c r="FX82" s="6"/>
      <c r="FY82" s="6"/>
      <c r="FZ82" s="6"/>
      <c r="GA82" s="6"/>
      <c r="GB82" s="61"/>
      <c r="GC82" s="7"/>
      <c r="GD82" s="6"/>
      <c r="GE82" s="6"/>
      <c r="GF82" s="61"/>
      <c r="GG82" s="7"/>
      <c r="GH82" s="6"/>
      <c r="GI82" s="6"/>
      <c r="GJ82" s="61"/>
      <c r="GK82" s="7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</row>
    <row r="83" spans="1:209" x14ac:dyDescent="0.25">
      <c r="A83" s="3" t="s">
        <v>999</v>
      </c>
      <c r="B83" s="4" t="s">
        <v>1000</v>
      </c>
      <c r="C83" s="5" t="s">
        <v>1001</v>
      </c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1"/>
      <c r="GG83" s="7"/>
      <c r="GH83" s="6"/>
      <c r="GI83" s="6"/>
      <c r="GJ83" s="61"/>
      <c r="GK83" s="7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</row>
    <row r="84" spans="1:209" x14ac:dyDescent="0.25">
      <c r="A84" s="3" t="s">
        <v>1002</v>
      </c>
      <c r="B84" s="4" t="s">
        <v>1003</v>
      </c>
      <c r="C84" s="5" t="s">
        <v>1004</v>
      </c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1"/>
      <c r="GG84" s="7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1"/>
      <c r="HA84" s="7"/>
    </row>
    <row r="85" spans="1:209" x14ac:dyDescent="0.25">
      <c r="A85" s="3" t="s">
        <v>1005</v>
      </c>
      <c r="B85" s="4" t="s">
        <v>1006</v>
      </c>
      <c r="C85" s="5" t="s">
        <v>1007</v>
      </c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1"/>
      <c r="GC85" s="7"/>
      <c r="GD85" s="6"/>
      <c r="GE85" s="6"/>
      <c r="GF85" s="61"/>
      <c r="GG85" s="7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61"/>
      <c r="HA85" s="7"/>
    </row>
    <row r="86" spans="1:209" x14ac:dyDescent="0.25">
      <c r="A86" s="3" t="s">
        <v>1008</v>
      </c>
      <c r="B86" s="4" t="s">
        <v>1009</v>
      </c>
      <c r="C86" s="5" t="s">
        <v>1010</v>
      </c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13"/>
      <c r="GC86" s="7"/>
      <c r="GD86" s="6"/>
      <c r="GE86" s="6"/>
      <c r="GF86" s="61"/>
      <c r="GG86" s="7"/>
      <c r="GH86" s="6"/>
      <c r="GI86" s="6"/>
      <c r="GJ86" s="61"/>
      <c r="GK86" s="7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13"/>
      <c r="HA86" s="7"/>
    </row>
    <row r="87" spans="1:209" x14ac:dyDescent="0.25">
      <c r="A87" s="3" t="s">
        <v>1011</v>
      </c>
      <c r="B87" s="4" t="s">
        <v>1012</v>
      </c>
      <c r="C87" s="5" t="s">
        <v>1013</v>
      </c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1"/>
      <c r="GC87" s="7"/>
      <c r="GD87" s="6"/>
      <c r="GE87" s="6"/>
      <c r="GF87" s="6"/>
      <c r="GG87" s="6"/>
      <c r="GH87" s="6"/>
      <c r="GI87" s="6"/>
      <c r="GJ87" s="61"/>
      <c r="GK87" s="7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1"/>
      <c r="HA87" s="7"/>
    </row>
    <row r="88" spans="1:209" x14ac:dyDescent="0.25">
      <c r="A88" s="3" t="s">
        <v>1014</v>
      </c>
      <c r="B88" s="4" t="s">
        <v>1015</v>
      </c>
      <c r="C88" s="5" t="s">
        <v>1016</v>
      </c>
      <c r="D88" s="61">
        <v>150</v>
      </c>
      <c r="E88" s="7">
        <v>199999.5</v>
      </c>
      <c r="F88" s="6"/>
      <c r="G88" s="6"/>
      <c r="H88" s="61">
        <v>28</v>
      </c>
      <c r="I88" s="7">
        <v>76266.679999999993</v>
      </c>
      <c r="J88" s="6"/>
      <c r="K88" s="6"/>
      <c r="L88" s="6"/>
      <c r="M88" s="6"/>
      <c r="N88" s="6"/>
      <c r="O88" s="6"/>
      <c r="P88" s="6"/>
      <c r="Q88" s="6"/>
      <c r="R88" s="61">
        <v>6</v>
      </c>
      <c r="S88" s="7">
        <v>19771.439999999999</v>
      </c>
      <c r="T88" s="61">
        <v>20</v>
      </c>
      <c r="U88" s="7">
        <v>24952.400000000001</v>
      </c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1">
        <v>66</v>
      </c>
      <c r="BU88" s="7">
        <v>100571.46</v>
      </c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1">
        <v>20</v>
      </c>
      <c r="CG88" s="7">
        <v>13333.4</v>
      </c>
      <c r="CH88" s="61">
        <v>4</v>
      </c>
      <c r="CI88" s="7">
        <v>12000</v>
      </c>
      <c r="CJ88" s="61">
        <v>10</v>
      </c>
      <c r="CK88" s="7">
        <v>25238.1</v>
      </c>
      <c r="CL88" s="61">
        <v>2</v>
      </c>
      <c r="CM88" s="7">
        <v>6038.1</v>
      </c>
      <c r="CN88" s="6"/>
      <c r="CO88" s="6"/>
      <c r="CP88" s="6"/>
      <c r="CQ88" s="6"/>
      <c r="CR88" s="6"/>
      <c r="CS88" s="6"/>
      <c r="CT88" s="6"/>
      <c r="CU88" s="6"/>
      <c r="CV88" s="61">
        <v>8</v>
      </c>
      <c r="CW88" s="7">
        <v>11285.68</v>
      </c>
      <c r="CX88" s="61">
        <v>5</v>
      </c>
      <c r="CY88" s="7">
        <v>12714.3</v>
      </c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1">
        <v>9</v>
      </c>
      <c r="EG88" s="7">
        <v>13178.61</v>
      </c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1">
        <v>328</v>
      </c>
      <c r="FS88" s="7">
        <v>515349.67</v>
      </c>
      <c r="FT88" s="65"/>
      <c r="FU88" s="12"/>
      <c r="FV88" s="65"/>
      <c r="FW88" s="12"/>
      <c r="FX88" s="65"/>
      <c r="FY88" s="12"/>
      <c r="FZ88" s="65"/>
      <c r="GA88" s="12"/>
      <c r="GB88" s="11"/>
      <c r="GC88" s="12"/>
      <c r="GD88" s="6"/>
      <c r="GE88" s="6"/>
      <c r="GF88" s="6"/>
      <c r="GG88" s="6"/>
      <c r="GH88" s="6"/>
      <c r="GI88" s="6"/>
      <c r="GJ88" s="61"/>
      <c r="GK88" s="7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1"/>
      <c r="HA88" s="7"/>
    </row>
    <row r="89" spans="1:209" x14ac:dyDescent="0.25">
      <c r="A89" s="3" t="s">
        <v>1017</v>
      </c>
      <c r="B89" s="4" t="s">
        <v>1018</v>
      </c>
      <c r="C89" s="5" t="s">
        <v>1019</v>
      </c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1">
        <v>15</v>
      </c>
      <c r="CK89" s="7">
        <v>37428.6</v>
      </c>
      <c r="CL89" s="6"/>
      <c r="CM89" s="6"/>
      <c r="CN89" s="61">
        <v>1</v>
      </c>
      <c r="CO89" s="7">
        <v>1205.3599999999999</v>
      </c>
      <c r="CP89" s="6"/>
      <c r="CQ89" s="6"/>
      <c r="CR89" s="6"/>
      <c r="CS89" s="6"/>
      <c r="CT89" s="6"/>
      <c r="CU89" s="6"/>
      <c r="CV89" s="6"/>
      <c r="CW89" s="6"/>
      <c r="CX89" s="61">
        <v>5</v>
      </c>
      <c r="CY89" s="7">
        <v>12547.6</v>
      </c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1">
        <v>1</v>
      </c>
      <c r="DM89" s="7">
        <v>1205.3599999999999</v>
      </c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1">
        <v>5</v>
      </c>
      <c r="EI89" s="7">
        <v>13190.5</v>
      </c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1">
        <v>27</v>
      </c>
      <c r="FS89" s="7">
        <v>65577.42</v>
      </c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1"/>
      <c r="GK89" s="7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1"/>
      <c r="HA89" s="7"/>
    </row>
    <row r="90" spans="1:209" x14ac:dyDescent="0.25">
      <c r="A90" s="3" t="s">
        <v>1020</v>
      </c>
      <c r="B90" s="4" t="s">
        <v>1021</v>
      </c>
      <c r="C90" s="5" t="s">
        <v>1022</v>
      </c>
      <c r="D90" s="6"/>
      <c r="E90" s="6"/>
      <c r="F90" s="6"/>
      <c r="G90" s="6"/>
      <c r="H90" s="6"/>
      <c r="I90" s="6"/>
      <c r="J90" s="61">
        <v>170</v>
      </c>
      <c r="K90" s="7">
        <v>260666.1</v>
      </c>
      <c r="L90" s="61">
        <v>20</v>
      </c>
      <c r="M90" s="7">
        <v>30357.200000000001</v>
      </c>
      <c r="N90" s="6"/>
      <c r="O90" s="6"/>
      <c r="P90" s="6"/>
      <c r="Q90" s="6"/>
      <c r="R90" s="6"/>
      <c r="S90" s="6"/>
      <c r="T90" s="6"/>
      <c r="U90" s="6"/>
      <c r="V90" s="61">
        <v>1</v>
      </c>
      <c r="W90" s="7">
        <v>2038.1</v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1">
        <v>1</v>
      </c>
      <c r="AQ90" s="7">
        <v>4472.38</v>
      </c>
      <c r="AR90" s="6"/>
      <c r="AS90" s="6"/>
      <c r="AT90" s="6"/>
      <c r="AU90" s="6"/>
      <c r="AV90" s="6"/>
      <c r="AW90" s="6"/>
      <c r="AX90" s="61">
        <v>1</v>
      </c>
      <c r="AY90" s="7">
        <v>2038.1</v>
      </c>
      <c r="AZ90" s="61">
        <v>1</v>
      </c>
      <c r="BA90" s="7">
        <v>2038.1</v>
      </c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1">
        <v>25</v>
      </c>
      <c r="BY90" s="7">
        <v>35595.25</v>
      </c>
      <c r="BZ90" s="6"/>
      <c r="CA90" s="6"/>
      <c r="CB90" s="61">
        <v>50</v>
      </c>
      <c r="CC90" s="7">
        <v>77381</v>
      </c>
      <c r="CD90" s="61">
        <v>30</v>
      </c>
      <c r="CE90" s="7">
        <v>46428.6</v>
      </c>
      <c r="CF90" s="6"/>
      <c r="CG90" s="6"/>
      <c r="CH90" s="6"/>
      <c r="CI90" s="6"/>
      <c r="CJ90" s="6"/>
      <c r="CK90" s="6"/>
      <c r="CL90" s="6"/>
      <c r="CM90" s="6"/>
      <c r="CN90" s="61">
        <v>2</v>
      </c>
      <c r="CO90" s="7">
        <v>2410.7199999999998</v>
      </c>
      <c r="CP90" s="6"/>
      <c r="CQ90" s="6"/>
      <c r="CR90" s="6"/>
      <c r="CS90" s="6"/>
      <c r="CT90" s="61">
        <v>5</v>
      </c>
      <c r="CU90" s="7">
        <v>8125</v>
      </c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1">
        <v>2</v>
      </c>
      <c r="DM90" s="7">
        <v>2410.7199999999998</v>
      </c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1">
        <v>1</v>
      </c>
      <c r="EK90" s="7">
        <v>2038.1</v>
      </c>
      <c r="EL90" s="61">
        <v>1</v>
      </c>
      <c r="EM90" s="7">
        <v>2038.1</v>
      </c>
      <c r="EN90" s="61">
        <v>1</v>
      </c>
      <c r="EO90" s="7">
        <v>4472.38</v>
      </c>
      <c r="EP90" s="61">
        <v>1</v>
      </c>
      <c r="EQ90" s="7">
        <v>2038.1</v>
      </c>
      <c r="ER90" s="61">
        <v>1</v>
      </c>
      <c r="ES90" s="7">
        <v>2038.1</v>
      </c>
      <c r="ET90" s="61">
        <v>1</v>
      </c>
      <c r="EU90" s="7">
        <v>4472.38</v>
      </c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1">
        <v>314</v>
      </c>
      <c r="FS90" s="7">
        <v>491058.43</v>
      </c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1"/>
      <c r="GG90" s="7"/>
      <c r="GH90" s="6"/>
      <c r="GI90" s="6"/>
      <c r="GJ90" s="61"/>
      <c r="GK90" s="7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1"/>
      <c r="HA90" s="7"/>
    </row>
    <row r="91" spans="1:209" x14ac:dyDescent="0.25">
      <c r="A91" s="3" t="s">
        <v>1023</v>
      </c>
      <c r="B91" s="4" t="s">
        <v>1024</v>
      </c>
      <c r="C91" s="5" t="s">
        <v>1025</v>
      </c>
      <c r="D91" s="6"/>
      <c r="E91" s="6"/>
      <c r="F91" s="6"/>
      <c r="G91" s="6"/>
      <c r="H91" s="6"/>
      <c r="I91" s="6"/>
      <c r="J91" s="61">
        <v>65</v>
      </c>
      <c r="K91" s="7">
        <v>99976.5</v>
      </c>
      <c r="L91" s="61">
        <v>12</v>
      </c>
      <c r="M91" s="7">
        <v>18214.32</v>
      </c>
      <c r="N91" s="61">
        <v>8</v>
      </c>
      <c r="O91" s="7">
        <v>11714.32</v>
      </c>
      <c r="P91" s="61">
        <v>5</v>
      </c>
      <c r="Q91" s="7">
        <v>7690.5</v>
      </c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1">
        <v>25</v>
      </c>
      <c r="CC91" s="7">
        <v>38809.5</v>
      </c>
      <c r="CD91" s="61">
        <v>5</v>
      </c>
      <c r="CE91" s="7">
        <v>7761.9</v>
      </c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1">
        <v>5</v>
      </c>
      <c r="CU91" s="7">
        <v>8125</v>
      </c>
      <c r="CV91" s="6"/>
      <c r="CW91" s="6"/>
      <c r="CX91" s="6"/>
      <c r="CY91" s="6"/>
      <c r="CZ91" s="6"/>
      <c r="DA91" s="6"/>
      <c r="DB91" s="61">
        <v>2</v>
      </c>
      <c r="DC91" s="7">
        <v>4571.42</v>
      </c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1">
        <v>127</v>
      </c>
      <c r="FS91" s="7">
        <v>196863.46</v>
      </c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1"/>
      <c r="GG91" s="7"/>
      <c r="GH91" s="6"/>
      <c r="GI91" s="6"/>
      <c r="GJ91" s="61"/>
      <c r="GK91" s="7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</row>
    <row r="92" spans="1:209" x14ac:dyDescent="0.25">
      <c r="A92" s="3" t="s">
        <v>1026</v>
      </c>
      <c r="B92" s="4" t="s">
        <v>1027</v>
      </c>
      <c r="C92" s="5" t="s">
        <v>1028</v>
      </c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1">
        <v>200</v>
      </c>
      <c r="U92" s="7">
        <v>249524</v>
      </c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1">
        <v>40</v>
      </c>
      <c r="BE92" s="7">
        <v>123428.4</v>
      </c>
      <c r="BF92" s="61">
        <v>46</v>
      </c>
      <c r="BG92" s="7">
        <v>139314.22</v>
      </c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1">
        <v>286</v>
      </c>
      <c r="FS92" s="7">
        <v>512266.62</v>
      </c>
      <c r="FT92" s="6"/>
      <c r="FU92" s="6"/>
      <c r="FV92" s="6"/>
      <c r="FW92" s="6"/>
      <c r="FX92" s="6"/>
      <c r="FY92" s="6"/>
      <c r="FZ92" s="61"/>
      <c r="GA92" s="7"/>
      <c r="GB92" s="6"/>
      <c r="GC92" s="6"/>
      <c r="GD92" s="6"/>
      <c r="GE92" s="6"/>
      <c r="GF92" s="13"/>
      <c r="GG92" s="7"/>
      <c r="GH92" s="6"/>
      <c r="GI92" s="6"/>
      <c r="GJ92" s="61"/>
      <c r="GK92" s="7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</row>
    <row r="93" spans="1:209" x14ac:dyDescent="0.25">
      <c r="A93" s="3" t="s">
        <v>1029</v>
      </c>
      <c r="B93" s="4" t="s">
        <v>1030</v>
      </c>
      <c r="C93" s="5" t="s">
        <v>1031</v>
      </c>
      <c r="D93" s="61">
        <v>275</v>
      </c>
      <c r="E93" s="7">
        <v>367977.5</v>
      </c>
      <c r="F93" s="6"/>
      <c r="G93" s="6"/>
      <c r="H93" s="6"/>
      <c r="I93" s="6"/>
      <c r="J93" s="6"/>
      <c r="K93" s="6"/>
      <c r="L93" s="61">
        <v>5</v>
      </c>
      <c r="M93" s="7">
        <v>7424.1</v>
      </c>
      <c r="N93" s="61">
        <v>5</v>
      </c>
      <c r="O93" s="7">
        <v>7388.4</v>
      </c>
      <c r="P93" s="6"/>
      <c r="Q93" s="6"/>
      <c r="R93" s="6"/>
      <c r="S93" s="6"/>
      <c r="T93" s="61">
        <v>5</v>
      </c>
      <c r="U93" s="7">
        <v>6285.7</v>
      </c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1">
        <v>75</v>
      </c>
      <c r="BM93" s="7">
        <v>101428.5</v>
      </c>
      <c r="BN93" s="6"/>
      <c r="BO93" s="6"/>
      <c r="BP93" s="6"/>
      <c r="BQ93" s="6"/>
      <c r="BR93" s="6"/>
      <c r="BS93" s="6"/>
      <c r="BT93" s="6"/>
      <c r="BU93" s="6"/>
      <c r="BV93" s="61">
        <v>2</v>
      </c>
      <c r="BW93" s="7">
        <v>3009.52</v>
      </c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1">
        <v>15</v>
      </c>
      <c r="EI93" s="7">
        <v>40000.050000000003</v>
      </c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1">
        <v>10</v>
      </c>
      <c r="EW93" s="7">
        <v>26000</v>
      </c>
      <c r="EX93" s="61">
        <v>2</v>
      </c>
      <c r="EY93" s="7">
        <v>3250</v>
      </c>
      <c r="EZ93" s="61">
        <v>5</v>
      </c>
      <c r="FA93" s="7">
        <v>6666.65</v>
      </c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1">
        <v>399</v>
      </c>
      <c r="FS93" s="7">
        <v>569430.42000000004</v>
      </c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13"/>
      <c r="GG93" s="7"/>
      <c r="GH93" s="6"/>
      <c r="GI93" s="6"/>
      <c r="GJ93" s="61"/>
      <c r="GK93" s="7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</row>
    <row r="94" spans="1:209" x14ac:dyDescent="0.25">
      <c r="A94" s="3" t="s">
        <v>1032</v>
      </c>
      <c r="B94" s="4" t="s">
        <v>1033</v>
      </c>
      <c r="C94" s="5" t="s">
        <v>1034</v>
      </c>
      <c r="D94" s="61">
        <v>310</v>
      </c>
      <c r="E94" s="7">
        <v>414811</v>
      </c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1">
        <v>20</v>
      </c>
      <c r="BM94" s="7">
        <v>27047.599999999999</v>
      </c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1">
        <v>330</v>
      </c>
      <c r="FS94" s="7">
        <v>441858.6</v>
      </c>
      <c r="FT94" s="6"/>
      <c r="FU94" s="6"/>
      <c r="FV94" s="6"/>
      <c r="FW94" s="6"/>
      <c r="FX94" s="6"/>
      <c r="FY94" s="6"/>
      <c r="FZ94" s="6"/>
      <c r="GA94" s="6"/>
      <c r="GB94" s="61"/>
      <c r="GC94" s="7"/>
      <c r="GD94" s="61"/>
      <c r="GE94" s="7"/>
      <c r="GF94" s="61"/>
      <c r="GG94" s="7"/>
      <c r="GH94" s="6"/>
      <c r="GI94" s="6"/>
      <c r="GJ94" s="61"/>
      <c r="GK94" s="7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</row>
    <row r="95" spans="1:209" x14ac:dyDescent="0.25">
      <c r="A95" s="3" t="s">
        <v>1035</v>
      </c>
      <c r="B95" s="4" t="s">
        <v>1036</v>
      </c>
      <c r="C95" s="5" t="s">
        <v>1037</v>
      </c>
      <c r="D95" s="61">
        <v>110</v>
      </c>
      <c r="E95" s="7">
        <v>147191</v>
      </c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1">
        <v>110</v>
      </c>
      <c r="FS95" s="7">
        <v>147191</v>
      </c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13"/>
      <c r="GG95" s="7"/>
      <c r="GH95" s="6"/>
      <c r="GI95" s="6"/>
      <c r="GJ95" s="61"/>
      <c r="GK95" s="7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</row>
    <row r="96" spans="1:209" x14ac:dyDescent="0.25">
      <c r="A96" s="3" t="s">
        <v>1038</v>
      </c>
      <c r="B96" s="4" t="s">
        <v>1039</v>
      </c>
      <c r="C96" s="5" t="s">
        <v>1040</v>
      </c>
      <c r="D96" s="61">
        <v>200</v>
      </c>
      <c r="E96" s="7">
        <v>267430</v>
      </c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1">
        <v>50</v>
      </c>
      <c r="BM96" s="7">
        <v>67571.5</v>
      </c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1">
        <v>250</v>
      </c>
      <c r="FS96" s="7">
        <v>335001.5</v>
      </c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1"/>
      <c r="GG96" s="7"/>
      <c r="GH96" s="6"/>
      <c r="GI96" s="6"/>
      <c r="GJ96" s="61"/>
      <c r="GK96" s="7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</row>
    <row r="97" spans="1:209" x14ac:dyDescent="0.25">
      <c r="A97" s="3" t="s">
        <v>1041</v>
      </c>
      <c r="B97" s="4" t="s">
        <v>1042</v>
      </c>
      <c r="C97" s="5" t="s">
        <v>1043</v>
      </c>
      <c r="D97" s="6"/>
      <c r="E97" s="6"/>
      <c r="F97" s="6"/>
      <c r="G97" s="6"/>
      <c r="H97" s="6"/>
      <c r="I97" s="6"/>
      <c r="J97" s="61">
        <v>100</v>
      </c>
      <c r="K97" s="7">
        <v>152381</v>
      </c>
      <c r="L97" s="6"/>
      <c r="M97" s="6"/>
      <c r="N97" s="6"/>
      <c r="O97" s="6"/>
      <c r="P97" s="61">
        <v>50</v>
      </c>
      <c r="Q97" s="7">
        <v>77857</v>
      </c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1">
        <v>50</v>
      </c>
      <c r="CC97" s="7">
        <v>78571.5</v>
      </c>
      <c r="CD97" s="6"/>
      <c r="CE97" s="6"/>
      <c r="CF97" s="61">
        <v>100</v>
      </c>
      <c r="CG97" s="7">
        <v>72857</v>
      </c>
      <c r="CH97" s="6"/>
      <c r="CI97" s="6"/>
      <c r="CJ97" s="61">
        <v>50</v>
      </c>
      <c r="CK97" s="7">
        <v>120238</v>
      </c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2">
        <v>2</v>
      </c>
      <c r="DA97" s="7">
        <v>1238.0999999999999</v>
      </c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1">
        <v>10</v>
      </c>
      <c r="DQ97" s="7">
        <v>30952.400000000001</v>
      </c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1">
        <v>2</v>
      </c>
      <c r="FC97" s="7">
        <v>7085.72</v>
      </c>
      <c r="FD97" s="61">
        <v>10</v>
      </c>
      <c r="FE97" s="7">
        <v>29857.1</v>
      </c>
      <c r="FF97" s="61">
        <v>100</v>
      </c>
      <c r="FG97" s="7">
        <v>146667</v>
      </c>
      <c r="FH97" s="61">
        <v>100</v>
      </c>
      <c r="FI97" s="7">
        <v>145238</v>
      </c>
      <c r="FJ97" s="6"/>
      <c r="FK97" s="6"/>
      <c r="FL97" s="6"/>
      <c r="FM97" s="6"/>
      <c r="FN97" s="6"/>
      <c r="FO97" s="6"/>
      <c r="FP97" s="6"/>
      <c r="FQ97" s="6"/>
      <c r="FR97" s="13">
        <v>5295</v>
      </c>
      <c r="FS97" s="7">
        <v>862942.82</v>
      </c>
      <c r="FT97" s="65"/>
      <c r="FU97" s="12"/>
      <c r="FV97" s="65"/>
      <c r="FW97" s="12"/>
      <c r="FX97" s="65"/>
      <c r="FY97" s="12"/>
      <c r="FZ97" s="65"/>
      <c r="GA97" s="12"/>
      <c r="GB97" s="65"/>
      <c r="GC97" s="12"/>
      <c r="GD97" s="65"/>
      <c r="GE97" s="12"/>
      <c r="GF97" s="11"/>
      <c r="GG97" s="12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13"/>
      <c r="HA97" s="7"/>
    </row>
    <row r="98" spans="1:209" x14ac:dyDescent="0.25">
      <c r="A98" s="3" t="s">
        <v>1044</v>
      </c>
      <c r="B98" s="4" t="s">
        <v>1045</v>
      </c>
      <c r="C98" s="5" t="s">
        <v>1046</v>
      </c>
      <c r="D98" s="61">
        <v>40</v>
      </c>
      <c r="E98" s="7">
        <v>56000</v>
      </c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1">
        <v>40</v>
      </c>
      <c r="FS98" s="7">
        <v>56000</v>
      </c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1"/>
      <c r="GK98" s="7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1"/>
      <c r="HA98" s="7"/>
    </row>
    <row r="99" spans="1:209" x14ac:dyDescent="0.25">
      <c r="A99" s="3" t="s">
        <v>1047</v>
      </c>
      <c r="B99" s="4" t="s">
        <v>1048</v>
      </c>
      <c r="C99" s="5" t="s">
        <v>1049</v>
      </c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13"/>
      <c r="GK99" s="7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1"/>
      <c r="HA99" s="7"/>
    </row>
    <row r="100" spans="1:209" x14ac:dyDescent="0.25">
      <c r="A100" s="3" t="s">
        <v>1050</v>
      </c>
      <c r="B100" s="4" t="s">
        <v>1051</v>
      </c>
      <c r="C100" s="5" t="s">
        <v>1052</v>
      </c>
      <c r="D100" s="61">
        <v>250</v>
      </c>
      <c r="E100" s="7">
        <v>335715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1">
        <v>50</v>
      </c>
      <c r="BK100" s="7">
        <v>45000</v>
      </c>
      <c r="BL100" s="61">
        <v>50</v>
      </c>
      <c r="BM100" s="7">
        <v>67857</v>
      </c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1">
        <v>350</v>
      </c>
      <c r="FS100" s="7">
        <v>448572</v>
      </c>
      <c r="FT100" s="70"/>
      <c r="FU100" s="7"/>
      <c r="FV100" s="64"/>
      <c r="FW100" s="7"/>
      <c r="FX100" s="70"/>
      <c r="FY100" s="7"/>
      <c r="FZ100" s="64"/>
      <c r="GA100" s="7"/>
      <c r="GB100" s="63"/>
      <c r="GC100" s="7"/>
      <c r="GD100" s="63"/>
      <c r="GE100" s="7"/>
      <c r="GF100" s="64"/>
      <c r="GG100" s="7"/>
      <c r="GH100" s="63"/>
      <c r="GI100" s="7"/>
      <c r="GJ100" s="13"/>
      <c r="GK100" s="7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1"/>
      <c r="HA100" s="7"/>
    </row>
    <row r="101" spans="1:209" x14ac:dyDescent="0.25">
      <c r="A101" s="3" t="s">
        <v>1053</v>
      </c>
      <c r="B101" s="4" t="s">
        <v>1054</v>
      </c>
      <c r="C101" s="5" t="s">
        <v>1055</v>
      </c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1"/>
      <c r="GK101" s="7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1"/>
      <c r="HA101" s="7"/>
    </row>
    <row r="102" spans="1:209" x14ac:dyDescent="0.25">
      <c r="A102" s="3" t="s">
        <v>1056</v>
      </c>
      <c r="B102" s="4" t="s">
        <v>1057</v>
      </c>
      <c r="C102" s="5" t="s">
        <v>1058</v>
      </c>
      <c r="D102" s="61">
        <v>300</v>
      </c>
      <c r="E102" s="7">
        <v>402858</v>
      </c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1">
        <v>25</v>
      </c>
      <c r="BM102" s="7">
        <v>33928.5</v>
      </c>
      <c r="BN102" s="61">
        <v>10</v>
      </c>
      <c r="BO102" s="7">
        <v>14238.1</v>
      </c>
      <c r="BP102" s="61">
        <v>35</v>
      </c>
      <c r="BQ102" s="7">
        <v>34666.800000000003</v>
      </c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1">
        <v>370</v>
      </c>
      <c r="FS102" s="7">
        <v>485691.4</v>
      </c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1"/>
      <c r="GK102" s="7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1"/>
      <c r="HA102" s="7"/>
    </row>
    <row r="103" spans="1:209" x14ac:dyDescent="0.25">
      <c r="A103" s="3" t="s">
        <v>1059</v>
      </c>
      <c r="B103" s="4" t="s">
        <v>1060</v>
      </c>
      <c r="C103" s="5" t="s">
        <v>1061</v>
      </c>
      <c r="D103" s="6"/>
      <c r="E103" s="6"/>
      <c r="F103" s="6"/>
      <c r="G103" s="6"/>
      <c r="H103" s="6"/>
      <c r="I103" s="6"/>
      <c r="J103" s="61">
        <v>300</v>
      </c>
      <c r="K103" s="7">
        <v>458571</v>
      </c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1">
        <v>2</v>
      </c>
      <c r="CA103" s="7">
        <v>3438.1</v>
      </c>
      <c r="CB103" s="61">
        <v>50</v>
      </c>
      <c r="CC103" s="7">
        <v>77143</v>
      </c>
      <c r="CD103" s="61">
        <v>2</v>
      </c>
      <c r="CE103" s="7">
        <v>3171.42</v>
      </c>
      <c r="CF103" s="6"/>
      <c r="CG103" s="6"/>
      <c r="CH103" s="6"/>
      <c r="CI103" s="6"/>
      <c r="CJ103" s="6"/>
      <c r="CK103" s="6"/>
      <c r="CL103" s="6"/>
      <c r="CM103" s="6"/>
      <c r="CN103" s="61">
        <v>8</v>
      </c>
      <c r="CO103" s="7">
        <v>9642.8799999999992</v>
      </c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1">
        <v>2</v>
      </c>
      <c r="DM103" s="7">
        <v>2410.7199999999998</v>
      </c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1">
        <v>364</v>
      </c>
      <c r="FS103" s="7">
        <v>554377.12</v>
      </c>
      <c r="FT103" s="71"/>
      <c r="FU103" s="12"/>
      <c r="FV103" s="66"/>
      <c r="FW103" s="12"/>
      <c r="FX103" s="71"/>
      <c r="FY103" s="12"/>
      <c r="FZ103" s="66"/>
      <c r="GA103" s="12"/>
      <c r="GB103" s="67"/>
      <c r="GC103" s="12"/>
      <c r="GD103" s="67"/>
      <c r="GE103" s="12"/>
      <c r="GF103" s="66"/>
      <c r="GG103" s="12"/>
      <c r="GH103" s="67"/>
      <c r="GI103" s="12"/>
      <c r="GJ103" s="11"/>
      <c r="GK103" s="12"/>
      <c r="GL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61"/>
      <c r="HA103" s="7"/>
    </row>
    <row r="104" spans="1:209" x14ac:dyDescent="0.25">
      <c r="A104" s="3" t="s">
        <v>1062</v>
      </c>
      <c r="B104" s="4" t="s">
        <v>1063</v>
      </c>
      <c r="C104" s="5" t="s">
        <v>1064</v>
      </c>
      <c r="D104" s="61">
        <v>180</v>
      </c>
      <c r="E104" s="7">
        <v>241714.8</v>
      </c>
      <c r="F104" s="6"/>
      <c r="G104" s="6"/>
      <c r="H104" s="61">
        <v>10</v>
      </c>
      <c r="I104" s="7">
        <v>27238.1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2">
        <v>2</v>
      </c>
      <c r="AG104" s="7">
        <v>2247.62</v>
      </c>
      <c r="AH104" s="6"/>
      <c r="AI104" s="6"/>
      <c r="AJ104" s="61">
        <v>1</v>
      </c>
      <c r="AK104" s="7">
        <v>1377.12</v>
      </c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1">
        <v>20</v>
      </c>
      <c r="BM104" s="7">
        <v>27142.799999999999</v>
      </c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13">
        <v>2027</v>
      </c>
      <c r="FS104" s="7">
        <v>299720.44</v>
      </c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  <c r="GW104" s="6"/>
      <c r="GX104" s="6"/>
      <c r="GY104" s="6"/>
      <c r="GZ104" s="6"/>
      <c r="HA104" s="6"/>
    </row>
    <row r="105" spans="1:209" x14ac:dyDescent="0.25">
      <c r="A105" s="3" t="s">
        <v>1065</v>
      </c>
      <c r="B105" s="4" t="s">
        <v>1066</v>
      </c>
      <c r="C105" s="5" t="s">
        <v>1067</v>
      </c>
      <c r="D105" s="61">
        <v>130</v>
      </c>
      <c r="E105" s="7">
        <v>173332.9</v>
      </c>
      <c r="F105" s="6"/>
      <c r="G105" s="6"/>
      <c r="H105" s="61">
        <v>30</v>
      </c>
      <c r="I105" s="7">
        <v>81714.3</v>
      </c>
      <c r="J105" s="6"/>
      <c r="K105" s="6"/>
      <c r="L105" s="6"/>
      <c r="M105" s="6"/>
      <c r="N105" s="6"/>
      <c r="O105" s="6"/>
      <c r="P105" s="6"/>
      <c r="Q105" s="6"/>
      <c r="R105" s="61">
        <v>13</v>
      </c>
      <c r="S105" s="7">
        <v>42838.12</v>
      </c>
      <c r="T105" s="61">
        <v>50</v>
      </c>
      <c r="U105" s="7">
        <v>62381</v>
      </c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1">
        <v>85</v>
      </c>
      <c r="BU105" s="7">
        <v>129523.85</v>
      </c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1">
        <v>13</v>
      </c>
      <c r="CG105" s="7">
        <v>8666.7099999999991</v>
      </c>
      <c r="CH105" s="61">
        <v>5</v>
      </c>
      <c r="CI105" s="7">
        <v>15000</v>
      </c>
      <c r="CJ105" s="61">
        <v>60</v>
      </c>
      <c r="CK105" s="7">
        <v>134286</v>
      </c>
      <c r="CL105" s="61">
        <v>2</v>
      </c>
      <c r="CM105" s="7">
        <v>6038.1</v>
      </c>
      <c r="CN105" s="6"/>
      <c r="CO105" s="6"/>
      <c r="CP105" s="6"/>
      <c r="CQ105" s="6"/>
      <c r="CR105" s="6"/>
      <c r="CS105" s="6"/>
      <c r="CT105" s="6"/>
      <c r="CU105" s="6"/>
      <c r="CV105" s="61">
        <v>35</v>
      </c>
      <c r="CW105" s="7">
        <v>49374.85</v>
      </c>
      <c r="CX105" s="61">
        <v>30</v>
      </c>
      <c r="CY105" s="7">
        <v>67714.2</v>
      </c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1">
        <v>7</v>
      </c>
      <c r="EG105" s="7">
        <v>10250.030000000001</v>
      </c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1">
        <v>460</v>
      </c>
      <c r="FS105" s="7">
        <v>781120.06</v>
      </c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  <c r="GW105" s="6"/>
      <c r="GX105" s="6"/>
      <c r="GY105" s="6"/>
      <c r="GZ105" s="61"/>
      <c r="HA105" s="7"/>
    </row>
    <row r="106" spans="1:209" x14ac:dyDescent="0.25">
      <c r="A106" s="3" t="s">
        <v>1068</v>
      </c>
      <c r="B106" s="4" t="s">
        <v>1069</v>
      </c>
      <c r="C106" s="5" t="s">
        <v>1070</v>
      </c>
      <c r="D106" s="61">
        <v>80</v>
      </c>
      <c r="E106" s="7">
        <v>106666.4</v>
      </c>
      <c r="F106" s="6"/>
      <c r="G106" s="6"/>
      <c r="H106" s="61">
        <v>30</v>
      </c>
      <c r="I106" s="7">
        <v>81714.3</v>
      </c>
      <c r="J106" s="6"/>
      <c r="K106" s="6"/>
      <c r="L106" s="6"/>
      <c r="M106" s="6"/>
      <c r="N106" s="6"/>
      <c r="O106" s="6"/>
      <c r="P106" s="6"/>
      <c r="Q106" s="6"/>
      <c r="R106" s="61">
        <v>6</v>
      </c>
      <c r="S106" s="7">
        <v>19771.439999999999</v>
      </c>
      <c r="T106" s="61">
        <v>30</v>
      </c>
      <c r="U106" s="7">
        <v>37428.6</v>
      </c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1">
        <v>40</v>
      </c>
      <c r="BU106" s="7">
        <v>60952.4</v>
      </c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1">
        <v>40</v>
      </c>
      <c r="CK106" s="7">
        <v>89524</v>
      </c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1">
        <v>30</v>
      </c>
      <c r="CY106" s="7">
        <v>67714.2</v>
      </c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/>
      <c r="FB106" s="6"/>
      <c r="FC106" s="6"/>
      <c r="FD106" s="6"/>
      <c r="FE106" s="6"/>
      <c r="FF106" s="6"/>
      <c r="FG106" s="6"/>
      <c r="FH106" s="6"/>
      <c r="FI106" s="6"/>
      <c r="FJ106" s="6"/>
      <c r="FK106" s="6"/>
      <c r="FL106" s="6"/>
      <c r="FM106" s="6"/>
      <c r="FN106" s="6"/>
      <c r="FO106" s="6"/>
      <c r="FP106" s="6"/>
      <c r="FQ106" s="6"/>
      <c r="FR106" s="61">
        <v>256</v>
      </c>
      <c r="FS106" s="7">
        <v>463771.34</v>
      </c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  <c r="GM106" s="6"/>
      <c r="GN106" s="6"/>
      <c r="GO106" s="6"/>
      <c r="GP106" s="6"/>
      <c r="GQ106" s="6"/>
      <c r="GR106" s="6"/>
      <c r="GS106" s="6"/>
      <c r="GT106" s="6"/>
      <c r="GU106" s="6"/>
      <c r="GV106" s="6"/>
      <c r="GW106" s="6"/>
      <c r="GX106" s="6"/>
      <c r="GY106" s="6"/>
      <c r="GZ106" s="6"/>
      <c r="HA106" s="6"/>
    </row>
    <row r="107" spans="1:209" x14ac:dyDescent="0.25">
      <c r="A107" s="3" t="s">
        <v>1071</v>
      </c>
      <c r="B107" s="4" t="s">
        <v>1072</v>
      </c>
      <c r="C107" s="5" t="s">
        <v>1073</v>
      </c>
      <c r="D107" s="61">
        <v>80</v>
      </c>
      <c r="E107" s="7">
        <v>109714.4</v>
      </c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61">
        <v>80</v>
      </c>
      <c r="FS107" s="7">
        <v>109714.4</v>
      </c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  <c r="GW107" s="6"/>
      <c r="GX107" s="6"/>
      <c r="GY107" s="6"/>
      <c r="GZ107" s="6"/>
      <c r="HA107" s="6"/>
    </row>
    <row r="108" spans="1:209" x14ac:dyDescent="0.25">
      <c r="A108" s="3" t="s">
        <v>1074</v>
      </c>
      <c r="B108" s="4" t="s">
        <v>1075</v>
      </c>
      <c r="C108" s="5" t="s">
        <v>1076</v>
      </c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1">
        <v>50</v>
      </c>
      <c r="CK108" s="7">
        <v>110952.5</v>
      </c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1">
        <v>50</v>
      </c>
      <c r="FS108" s="7">
        <v>110952.5</v>
      </c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  <c r="GW108" s="6"/>
      <c r="GX108" s="6"/>
      <c r="GY108" s="6"/>
      <c r="GZ108" s="61"/>
      <c r="HA108" s="7"/>
    </row>
    <row r="109" spans="1:209" x14ac:dyDescent="0.25">
      <c r="A109" s="3" t="s">
        <v>1077</v>
      </c>
      <c r="B109" s="4" t="s">
        <v>1078</v>
      </c>
      <c r="C109" s="5" t="s">
        <v>1079</v>
      </c>
      <c r="D109" s="6"/>
      <c r="E109" s="6"/>
      <c r="F109" s="6"/>
      <c r="G109" s="6"/>
      <c r="H109" s="61">
        <v>916</v>
      </c>
      <c r="I109" s="7">
        <v>2458200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1">
        <v>215</v>
      </c>
      <c r="DS109" s="7">
        <v>311750</v>
      </c>
      <c r="DT109" s="61">
        <v>200</v>
      </c>
      <c r="DU109" s="7">
        <v>290000</v>
      </c>
      <c r="DV109" s="61">
        <v>112</v>
      </c>
      <c r="DW109" s="7">
        <v>162400</v>
      </c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1">
        <v>1443</v>
      </c>
      <c r="FS109" s="7">
        <v>3222350</v>
      </c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  <c r="GU109" s="6"/>
      <c r="GV109" s="6"/>
      <c r="GW109" s="6"/>
      <c r="GX109" s="6"/>
      <c r="GY109" s="6"/>
      <c r="GZ109" s="13"/>
      <c r="HA109" s="7"/>
    </row>
    <row r="110" spans="1:209" x14ac:dyDescent="0.25">
      <c r="A110" s="3" t="s">
        <v>1080</v>
      </c>
      <c r="B110" s="4" t="s">
        <v>1081</v>
      </c>
      <c r="C110" s="5" t="s">
        <v>1082</v>
      </c>
      <c r="D110" s="61">
        <v>1350</v>
      </c>
      <c r="E110" s="7">
        <v>1773250</v>
      </c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1">
        <v>25</v>
      </c>
      <c r="FO110" s="7">
        <v>24525</v>
      </c>
      <c r="FP110" s="6"/>
      <c r="FQ110" s="6"/>
      <c r="FR110" s="61">
        <v>1375</v>
      </c>
      <c r="FS110" s="7">
        <v>1797775</v>
      </c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  <c r="GU110" s="6"/>
      <c r="GV110" s="6"/>
      <c r="GW110" s="6"/>
      <c r="GX110" s="6"/>
      <c r="GY110" s="6"/>
      <c r="GZ110" s="13"/>
      <c r="HA110" s="7"/>
    </row>
    <row r="111" spans="1:209" x14ac:dyDescent="0.25">
      <c r="A111" s="3" t="s">
        <v>1083</v>
      </c>
      <c r="B111" s="4" t="s">
        <v>1084</v>
      </c>
      <c r="C111" s="5" t="s">
        <v>1085</v>
      </c>
      <c r="D111" s="61">
        <v>900</v>
      </c>
      <c r="E111" s="7">
        <v>1182100</v>
      </c>
      <c r="F111" s="6"/>
      <c r="G111" s="6"/>
      <c r="H111" s="6"/>
      <c r="I111" s="6"/>
      <c r="J111" s="61">
        <v>200</v>
      </c>
      <c r="K111" s="7">
        <v>297200</v>
      </c>
      <c r="L111" s="6"/>
      <c r="M111" s="6"/>
      <c r="N111" s="6"/>
      <c r="O111" s="6"/>
      <c r="P111" s="61">
        <v>100</v>
      </c>
      <c r="Q111" s="7">
        <v>148600</v>
      </c>
      <c r="R111" s="61">
        <v>20</v>
      </c>
      <c r="S111" s="7">
        <v>61440</v>
      </c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2">
        <v>60</v>
      </c>
      <c r="AE111" s="7">
        <v>15540</v>
      </c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1">
        <v>500</v>
      </c>
      <c r="BM111" s="7">
        <v>663500</v>
      </c>
      <c r="BN111" s="61">
        <v>100</v>
      </c>
      <c r="BO111" s="7">
        <v>135900</v>
      </c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1">
        <v>200</v>
      </c>
      <c r="CK111" s="7">
        <v>481800</v>
      </c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1">
        <v>50</v>
      </c>
      <c r="CY111" s="7">
        <v>121150</v>
      </c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1">
        <v>5</v>
      </c>
      <c r="EW111" s="7">
        <v>12405</v>
      </c>
      <c r="EX111" s="6"/>
      <c r="EY111" s="6"/>
      <c r="EZ111" s="61">
        <v>20</v>
      </c>
      <c r="FA111" s="7">
        <v>26000</v>
      </c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1">
        <v>40</v>
      </c>
      <c r="FQ111" s="7">
        <v>105800</v>
      </c>
      <c r="FR111" s="13">
        <v>19827</v>
      </c>
      <c r="FS111" s="7">
        <v>3251435</v>
      </c>
      <c r="FT111" s="62"/>
      <c r="FU111" s="7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  <c r="GU111" s="6"/>
      <c r="GV111" s="6"/>
      <c r="GW111" s="6"/>
      <c r="GX111" s="6"/>
      <c r="GY111" s="6"/>
      <c r="GZ111" s="13"/>
      <c r="HA111" s="7"/>
    </row>
    <row r="112" spans="1:209" x14ac:dyDescent="0.25">
      <c r="A112" s="8" t="s">
        <v>757</v>
      </c>
      <c r="B112" s="9" t="s">
        <v>757</v>
      </c>
      <c r="C112" s="10" t="s">
        <v>212</v>
      </c>
      <c r="D112" s="65">
        <v>10859</v>
      </c>
      <c r="E112" s="12">
        <v>14460903.26</v>
      </c>
      <c r="F112" s="65">
        <v>34</v>
      </c>
      <c r="G112" s="12">
        <v>56697.26</v>
      </c>
      <c r="H112" s="65">
        <v>1204</v>
      </c>
      <c r="I112" s="12">
        <v>3241457.13</v>
      </c>
      <c r="J112" s="65">
        <v>1785</v>
      </c>
      <c r="K112" s="12">
        <v>2706546.5</v>
      </c>
      <c r="L112" s="65">
        <v>217</v>
      </c>
      <c r="M112" s="12">
        <v>325683.07</v>
      </c>
      <c r="N112" s="65">
        <v>183</v>
      </c>
      <c r="O112" s="12">
        <v>264951.17</v>
      </c>
      <c r="P112" s="65">
        <v>300</v>
      </c>
      <c r="Q112" s="12">
        <v>453481.75</v>
      </c>
      <c r="R112" s="65">
        <v>62</v>
      </c>
      <c r="S112" s="12">
        <v>199459.13</v>
      </c>
      <c r="T112" s="65">
        <v>566</v>
      </c>
      <c r="U112" s="12">
        <v>706847.31</v>
      </c>
      <c r="V112" s="65">
        <v>3</v>
      </c>
      <c r="W112" s="12">
        <v>6126.67</v>
      </c>
      <c r="X112" s="65">
        <v>2</v>
      </c>
      <c r="Y112" s="12">
        <v>2400</v>
      </c>
      <c r="Z112" s="65">
        <v>1</v>
      </c>
      <c r="AA112" s="12">
        <v>1219.05</v>
      </c>
      <c r="AB112" s="68">
        <v>51</v>
      </c>
      <c r="AC112" s="12">
        <v>92806.63</v>
      </c>
      <c r="AD112" s="68">
        <v>160</v>
      </c>
      <c r="AE112" s="12">
        <v>42683</v>
      </c>
      <c r="AF112" s="68">
        <v>40</v>
      </c>
      <c r="AG112" s="12">
        <v>44595.25</v>
      </c>
      <c r="AH112" s="65">
        <v>2</v>
      </c>
      <c r="AI112" s="12">
        <v>5624.5</v>
      </c>
      <c r="AJ112" s="65">
        <v>13</v>
      </c>
      <c r="AK112" s="12">
        <v>17890.7</v>
      </c>
      <c r="AL112" s="65">
        <v>1</v>
      </c>
      <c r="AM112" s="12">
        <v>4465.71</v>
      </c>
      <c r="AN112" s="65">
        <v>2</v>
      </c>
      <c r="AO112" s="12">
        <v>8957.14</v>
      </c>
      <c r="AP112" s="65">
        <v>2</v>
      </c>
      <c r="AQ112" s="12">
        <v>8938.09</v>
      </c>
      <c r="AR112" s="65">
        <v>1</v>
      </c>
      <c r="AS112" s="12">
        <v>4465.71</v>
      </c>
      <c r="AT112" s="65">
        <v>1</v>
      </c>
      <c r="AU112" s="12">
        <v>2031.43</v>
      </c>
      <c r="AV112" s="65">
        <v>1</v>
      </c>
      <c r="AW112" s="12">
        <v>2031.43</v>
      </c>
      <c r="AX112" s="65">
        <v>2</v>
      </c>
      <c r="AY112" s="12">
        <v>4069.53</v>
      </c>
      <c r="AZ112" s="65">
        <v>2</v>
      </c>
      <c r="BA112" s="12">
        <v>4069.53</v>
      </c>
      <c r="BB112" s="65">
        <v>1</v>
      </c>
      <c r="BC112" s="12">
        <v>4465.71</v>
      </c>
      <c r="BD112" s="65">
        <v>64</v>
      </c>
      <c r="BE112" s="12">
        <v>198004.52</v>
      </c>
      <c r="BF112" s="65">
        <v>52</v>
      </c>
      <c r="BG112" s="12">
        <v>157604.70000000001</v>
      </c>
      <c r="BH112" s="65">
        <v>50</v>
      </c>
      <c r="BI112" s="12">
        <v>36452.400000000001</v>
      </c>
      <c r="BJ112" s="65">
        <v>342</v>
      </c>
      <c r="BK112" s="12">
        <v>307638.15999999997</v>
      </c>
      <c r="BL112" s="65">
        <v>2045</v>
      </c>
      <c r="BM112" s="12">
        <v>2751985.45</v>
      </c>
      <c r="BN112" s="65">
        <v>125</v>
      </c>
      <c r="BO112" s="12">
        <v>171061.9</v>
      </c>
      <c r="BP112" s="65">
        <v>40</v>
      </c>
      <c r="BQ112" s="12">
        <v>39666.800000000003</v>
      </c>
      <c r="BR112" s="65">
        <v>10</v>
      </c>
      <c r="BS112" s="12">
        <v>10000</v>
      </c>
      <c r="BT112" s="65">
        <v>439</v>
      </c>
      <c r="BU112" s="12">
        <v>661980.91</v>
      </c>
      <c r="BV112" s="65">
        <v>140</v>
      </c>
      <c r="BW112" s="12">
        <v>207766.59</v>
      </c>
      <c r="BX112" s="65">
        <v>212</v>
      </c>
      <c r="BY112" s="12">
        <v>299876.5</v>
      </c>
      <c r="BZ112" s="65">
        <v>12</v>
      </c>
      <c r="CA112" s="12">
        <v>19080.95</v>
      </c>
      <c r="CB112" s="65">
        <v>420</v>
      </c>
      <c r="CC112" s="12">
        <v>644072.25</v>
      </c>
      <c r="CD112" s="65">
        <v>42</v>
      </c>
      <c r="CE112" s="12">
        <v>65171.42</v>
      </c>
      <c r="CF112" s="65">
        <v>690</v>
      </c>
      <c r="CG112" s="12">
        <v>507625.29</v>
      </c>
      <c r="CH112" s="65">
        <v>44</v>
      </c>
      <c r="CI112" s="12">
        <v>130333.3</v>
      </c>
      <c r="CJ112" s="65">
        <v>514</v>
      </c>
      <c r="CK112" s="12">
        <v>1199162.81</v>
      </c>
      <c r="CL112" s="65">
        <v>26</v>
      </c>
      <c r="CM112" s="12">
        <v>77447.66</v>
      </c>
      <c r="CN112" s="65">
        <v>21</v>
      </c>
      <c r="CO112" s="12">
        <v>25089.31</v>
      </c>
      <c r="CP112" s="65">
        <v>45</v>
      </c>
      <c r="CQ112" s="12">
        <v>67366.05</v>
      </c>
      <c r="CR112" s="65">
        <v>45</v>
      </c>
      <c r="CS112" s="12">
        <v>67366.05</v>
      </c>
      <c r="CT112" s="65">
        <v>45</v>
      </c>
      <c r="CU112" s="12">
        <v>72499.899999999994</v>
      </c>
      <c r="CV112" s="65">
        <v>103</v>
      </c>
      <c r="CW112" s="12">
        <v>145303.13</v>
      </c>
      <c r="CX112" s="65">
        <v>130</v>
      </c>
      <c r="CY112" s="12">
        <v>304411.7</v>
      </c>
      <c r="CZ112" s="68">
        <v>43</v>
      </c>
      <c r="DA112" s="12">
        <v>26190.45</v>
      </c>
      <c r="DB112" s="65">
        <v>4</v>
      </c>
      <c r="DC112" s="12">
        <v>9142.84</v>
      </c>
      <c r="DD112" s="77">
        <v>1</v>
      </c>
      <c r="DE112" s="12">
        <v>1028.57</v>
      </c>
      <c r="DF112" s="65">
        <v>2</v>
      </c>
      <c r="DG112" s="12">
        <v>7238.1</v>
      </c>
      <c r="DH112" s="65">
        <v>2</v>
      </c>
      <c r="DI112" s="12">
        <v>3619.04</v>
      </c>
      <c r="DJ112" s="65">
        <v>128</v>
      </c>
      <c r="DK112" s="12">
        <v>115076.24</v>
      </c>
      <c r="DL112" s="65">
        <v>18</v>
      </c>
      <c r="DM112" s="12">
        <v>21249.98</v>
      </c>
      <c r="DN112" s="65">
        <v>5</v>
      </c>
      <c r="DO112" s="12">
        <v>14857.15</v>
      </c>
      <c r="DP112" s="65">
        <v>16</v>
      </c>
      <c r="DQ112" s="12">
        <v>49809.56</v>
      </c>
      <c r="DR112" s="65">
        <v>240</v>
      </c>
      <c r="DS112" s="12">
        <v>347776.8</v>
      </c>
      <c r="DT112" s="65">
        <v>225</v>
      </c>
      <c r="DU112" s="12">
        <v>326026.8</v>
      </c>
      <c r="DV112" s="65">
        <v>127</v>
      </c>
      <c r="DW112" s="12">
        <v>184051.8</v>
      </c>
      <c r="DX112" s="65">
        <v>8</v>
      </c>
      <c r="DY112" s="12">
        <v>13714.32</v>
      </c>
      <c r="DZ112" s="65">
        <v>2</v>
      </c>
      <c r="EA112" s="12">
        <v>3628.58</v>
      </c>
      <c r="EB112" s="65">
        <v>30</v>
      </c>
      <c r="EC112" s="12">
        <v>24428.7</v>
      </c>
      <c r="ED112" s="68">
        <v>2</v>
      </c>
      <c r="EE112" s="12">
        <v>3600</v>
      </c>
      <c r="EF112" s="65">
        <v>16</v>
      </c>
      <c r="EG112" s="12">
        <v>23428.639999999999</v>
      </c>
      <c r="EH112" s="65">
        <v>20</v>
      </c>
      <c r="EI112" s="12">
        <v>53190.55</v>
      </c>
      <c r="EJ112" s="65">
        <v>1</v>
      </c>
      <c r="EK112" s="12">
        <v>2038.1</v>
      </c>
      <c r="EL112" s="65">
        <v>1</v>
      </c>
      <c r="EM112" s="12">
        <v>2038.1</v>
      </c>
      <c r="EN112" s="65">
        <v>1</v>
      </c>
      <c r="EO112" s="12">
        <v>4472.38</v>
      </c>
      <c r="EP112" s="65">
        <v>1</v>
      </c>
      <c r="EQ112" s="12">
        <v>2038.1</v>
      </c>
      <c r="ER112" s="65">
        <v>1</v>
      </c>
      <c r="ES112" s="12">
        <v>2038.1</v>
      </c>
      <c r="ET112" s="65">
        <v>1</v>
      </c>
      <c r="EU112" s="12">
        <v>4472.38</v>
      </c>
      <c r="EV112" s="65">
        <v>15</v>
      </c>
      <c r="EW112" s="12">
        <v>38405</v>
      </c>
      <c r="EX112" s="65">
        <v>2</v>
      </c>
      <c r="EY112" s="12">
        <v>3250</v>
      </c>
      <c r="EZ112" s="65">
        <v>25</v>
      </c>
      <c r="FA112" s="12">
        <v>32666.65</v>
      </c>
      <c r="FB112" s="65">
        <v>2</v>
      </c>
      <c r="FC112" s="12">
        <v>7085.72</v>
      </c>
      <c r="FD112" s="65">
        <v>10</v>
      </c>
      <c r="FE112" s="12">
        <v>29857.1</v>
      </c>
      <c r="FF112" s="65">
        <v>100</v>
      </c>
      <c r="FG112" s="12">
        <v>146667</v>
      </c>
      <c r="FH112" s="65">
        <v>100</v>
      </c>
      <c r="FI112" s="12">
        <v>145238</v>
      </c>
      <c r="FJ112" s="65">
        <v>10</v>
      </c>
      <c r="FK112" s="12">
        <v>13437.5</v>
      </c>
      <c r="FL112" s="65">
        <v>10</v>
      </c>
      <c r="FM112" s="12">
        <v>13303.6</v>
      </c>
      <c r="FN112" s="65">
        <v>25</v>
      </c>
      <c r="FO112" s="12">
        <v>24525</v>
      </c>
      <c r="FP112" s="65">
        <v>40</v>
      </c>
      <c r="FQ112" s="12">
        <v>105800</v>
      </c>
      <c r="FR112" s="11"/>
      <c r="FS112" s="12">
        <v>32645225.260000002</v>
      </c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  <c r="GU112" s="6"/>
      <c r="GV112" s="6"/>
      <c r="GW112" s="6"/>
      <c r="GX112" s="6"/>
      <c r="GY112" s="6"/>
      <c r="GZ112" s="13"/>
      <c r="HA112" s="7"/>
    </row>
    <row r="113" spans="1:209" x14ac:dyDescent="0.25">
      <c r="A113" s="3"/>
      <c r="B113" s="4"/>
      <c r="C113" s="5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2"/>
      <c r="FA113" s="7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2"/>
      <c r="FS113" s="7"/>
      <c r="FT113" s="6"/>
      <c r="FU113" s="6"/>
      <c r="FV113" s="61"/>
      <c r="FW113" s="7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  <c r="GX113" s="6"/>
      <c r="GY113" s="6"/>
      <c r="GZ113" s="6"/>
      <c r="HA113" s="7"/>
    </row>
    <row r="114" spans="1:209" x14ac:dyDescent="0.25">
      <c r="A114" s="3"/>
      <c r="B114" s="4"/>
      <c r="C114" s="5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  <c r="ER114" s="6"/>
      <c r="ES114" s="6"/>
      <c r="ET114" s="6"/>
      <c r="EU114" s="6"/>
      <c r="EV114" s="6"/>
      <c r="EW114" s="6"/>
      <c r="EX114" s="6"/>
      <c r="EY114" s="6"/>
      <c r="EZ114" s="6"/>
      <c r="FA114" s="6"/>
      <c r="FB114" s="6"/>
      <c r="FC114" s="6"/>
      <c r="FD114" s="6"/>
      <c r="FE114" s="6"/>
      <c r="FF114" s="6"/>
      <c r="FG114" s="6"/>
      <c r="FH114" s="6"/>
      <c r="FI114" s="6"/>
      <c r="FJ114" s="6"/>
      <c r="FK114" s="6"/>
      <c r="FL114" s="6"/>
      <c r="FM114" s="6"/>
      <c r="FN114" s="6"/>
      <c r="FO114" s="6"/>
      <c r="FP114" s="61"/>
      <c r="FQ114" s="7"/>
      <c r="FR114" s="6"/>
      <c r="FS114" s="6"/>
      <c r="FT114" s="6"/>
      <c r="FU114" s="6"/>
      <c r="FV114" s="6"/>
      <c r="FW114" s="6"/>
      <c r="FX114" s="61"/>
      <c r="FY114" s="7"/>
      <c r="FZ114" s="6"/>
      <c r="GA114" s="6"/>
      <c r="GB114" s="6"/>
      <c r="GC114" s="6"/>
      <c r="GD114" s="6"/>
      <c r="GE114" s="6"/>
      <c r="GF114" s="6"/>
      <c r="GG114" s="6"/>
      <c r="GH114" s="6"/>
      <c r="GI114" s="6"/>
      <c r="GJ114" s="6"/>
      <c r="GK114" s="6"/>
      <c r="GL114" s="6"/>
      <c r="GM114" s="6"/>
      <c r="GN114" s="6"/>
      <c r="GO114" s="6"/>
      <c r="GP114" s="6"/>
      <c r="GQ114" s="6"/>
      <c r="GR114" s="6"/>
      <c r="GS114" s="6"/>
      <c r="GT114" s="6"/>
      <c r="GU114" s="6"/>
      <c r="GV114" s="6"/>
      <c r="GW114" s="6"/>
      <c r="GX114" s="6"/>
      <c r="GY114" s="6"/>
      <c r="GZ114" s="61"/>
      <c r="HA114" s="7"/>
    </row>
    <row r="115" spans="1:209" x14ac:dyDescent="0.25">
      <c r="A115" s="3"/>
      <c r="B115" s="4"/>
      <c r="C115" s="5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1"/>
      <c r="FK115" s="7"/>
      <c r="FL115" s="6"/>
      <c r="FM115" s="6"/>
      <c r="FN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13"/>
      <c r="HA115" s="7"/>
    </row>
    <row r="116" spans="1:209" x14ac:dyDescent="0.25">
      <c r="A116" s="3"/>
      <c r="B116" s="4"/>
      <c r="C116" s="5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6"/>
      <c r="FH116" s="6"/>
      <c r="FI116" s="6"/>
      <c r="FJ116" s="6"/>
      <c r="FK116" s="6"/>
      <c r="FL116" s="6"/>
      <c r="FM116" s="6"/>
      <c r="FN116" s="6"/>
      <c r="FO116" s="6"/>
      <c r="FP116" s="6"/>
      <c r="FQ116" s="6"/>
      <c r="FR116" s="6"/>
      <c r="FS116" s="6"/>
      <c r="FT116" s="6"/>
      <c r="FU116" s="6"/>
      <c r="FV116" s="6"/>
      <c r="FW116" s="6"/>
      <c r="FX116" s="6"/>
      <c r="FY116" s="6"/>
      <c r="FZ116" s="70"/>
      <c r="GA116" s="7"/>
      <c r="GB116" s="64"/>
      <c r="GC116" s="7"/>
      <c r="GD116" s="64"/>
      <c r="GE116" s="7"/>
      <c r="GF116" s="70"/>
      <c r="GG116" s="7"/>
      <c r="GH116" s="64"/>
      <c r="GI116" s="7"/>
      <c r="GJ116" s="70"/>
      <c r="GK116" s="7"/>
      <c r="GL116" s="64"/>
      <c r="GM116" s="7"/>
      <c r="GN116" s="63"/>
      <c r="GO116" s="7"/>
      <c r="GP116" s="64"/>
      <c r="GQ116" s="7"/>
      <c r="GR116" s="70"/>
      <c r="GS116" s="7"/>
      <c r="GT116" s="63"/>
      <c r="GU116" s="7"/>
      <c r="GV116" s="64"/>
      <c r="GW116" s="7"/>
      <c r="GX116" s="6"/>
      <c r="GY116" s="6"/>
      <c r="GZ116" s="13"/>
      <c r="HA116" s="7"/>
    </row>
    <row r="117" spans="1:209" x14ac:dyDescent="0.25">
      <c r="A117" s="3"/>
      <c r="B117" s="4"/>
      <c r="C117" s="5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62"/>
      <c r="FS117" s="7"/>
      <c r="FT117" s="62"/>
      <c r="FU117" s="7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  <c r="GM117" s="6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13"/>
      <c r="HA117" s="7"/>
    </row>
    <row r="118" spans="1:209" x14ac:dyDescent="0.25">
      <c r="A118" s="3"/>
      <c r="B118" s="4"/>
      <c r="C118" s="5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  <c r="ER118" s="6"/>
      <c r="ES118" s="6"/>
      <c r="ET118" s="6"/>
      <c r="EU118" s="6"/>
      <c r="EV118" s="6"/>
      <c r="EW118" s="6"/>
      <c r="EX118" s="6"/>
      <c r="EY118" s="6"/>
      <c r="EZ118" s="6"/>
      <c r="FA118" s="6"/>
      <c r="FB118" s="6"/>
      <c r="FC118" s="6"/>
      <c r="FD118" s="6"/>
      <c r="FE118" s="6"/>
      <c r="FF118" s="6"/>
      <c r="FG118" s="6"/>
      <c r="FH118" s="6"/>
      <c r="FI118" s="6"/>
      <c r="FJ118" s="6"/>
      <c r="FK118" s="6"/>
      <c r="FL118" s="6"/>
      <c r="FM118" s="6"/>
      <c r="FN118" s="6"/>
      <c r="FO118" s="6"/>
      <c r="FP118" s="6"/>
      <c r="FQ118" s="6"/>
      <c r="FR118" s="6"/>
      <c r="FS118" s="6"/>
      <c r="FT118" s="6"/>
      <c r="FU118" s="6"/>
      <c r="FV118" s="6"/>
      <c r="FW118" s="6"/>
      <c r="FX118" s="6"/>
      <c r="FY118" s="6"/>
      <c r="FZ118" s="6"/>
      <c r="GA118" s="6"/>
      <c r="GB118" s="6"/>
      <c r="GC118" s="6"/>
      <c r="GD118" s="6"/>
      <c r="GE118" s="6"/>
      <c r="GF118" s="6"/>
      <c r="GG118" s="6"/>
      <c r="GH118" s="6"/>
      <c r="GI118" s="6"/>
      <c r="GJ118" s="6"/>
      <c r="GK118" s="6"/>
      <c r="GL118" s="6"/>
      <c r="GM118" s="6"/>
      <c r="GN118" s="6"/>
      <c r="GO118" s="6"/>
      <c r="GP118" s="6"/>
      <c r="GQ118" s="6"/>
      <c r="GR118" s="6"/>
      <c r="GS118" s="6"/>
      <c r="GT118" s="6"/>
      <c r="GU118" s="6"/>
      <c r="GV118" s="6"/>
      <c r="GW118" s="6"/>
      <c r="GX118" s="61"/>
      <c r="GY118" s="7"/>
      <c r="GZ118" s="61"/>
      <c r="HA118" s="7"/>
    </row>
    <row r="119" spans="1:209" x14ac:dyDescent="0.25">
      <c r="A119" s="3"/>
      <c r="B119" s="4"/>
      <c r="C119" s="5"/>
      <c r="D119" s="6"/>
      <c r="E119" s="6"/>
      <c r="F119" s="6"/>
      <c r="G119" s="6"/>
      <c r="H119" s="61"/>
      <c r="I119" s="7"/>
      <c r="J119" s="61"/>
      <c r="K119" s="7"/>
      <c r="L119" s="6"/>
      <c r="M119" s="6"/>
      <c r="N119" s="6"/>
      <c r="O119" s="6"/>
      <c r="P119" s="6"/>
      <c r="Q119" s="6"/>
      <c r="R119" s="61"/>
      <c r="S119" s="7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1"/>
      <c r="AI119" s="7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1"/>
      <c r="AU119" s="7"/>
      <c r="AV119" s="61"/>
      <c r="AW119" s="7"/>
      <c r="AX119" s="62"/>
      <c r="AY119" s="7"/>
      <c r="AZ119" s="62"/>
      <c r="BA119" s="7"/>
      <c r="BB119" s="6"/>
      <c r="BC119" s="6"/>
      <c r="BD119" s="61"/>
      <c r="BE119" s="7"/>
      <c r="BF119" s="6"/>
      <c r="BG119" s="6"/>
      <c r="BH119" s="61"/>
      <c r="BI119" s="7"/>
      <c r="BJ119" s="61"/>
      <c r="BK119" s="7"/>
      <c r="BL119" s="6"/>
      <c r="BM119" s="6"/>
      <c r="BN119" s="6"/>
      <c r="BO119" s="6"/>
      <c r="BP119" s="6"/>
      <c r="BQ119" s="6"/>
      <c r="BR119" s="61"/>
      <c r="BS119" s="7"/>
      <c r="BT119" s="61"/>
      <c r="BU119" s="7"/>
      <c r="BV119" s="61"/>
      <c r="BW119" s="7"/>
      <c r="BX119" s="6"/>
      <c r="BY119" s="6"/>
      <c r="BZ119" s="61"/>
      <c r="CA119" s="7"/>
      <c r="CB119" s="6"/>
      <c r="CC119" s="6"/>
      <c r="CD119" s="6"/>
      <c r="CE119" s="6"/>
      <c r="CF119" s="61"/>
      <c r="CG119" s="7"/>
      <c r="CH119" s="61"/>
      <c r="CI119" s="7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1"/>
      <c r="DA119" s="7"/>
      <c r="DB119" s="6"/>
      <c r="DC119" s="6"/>
      <c r="DD119" s="61"/>
      <c r="DE119" s="7"/>
      <c r="DF119" s="61"/>
      <c r="DG119" s="7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1"/>
      <c r="EA119" s="7"/>
      <c r="EB119" s="61"/>
      <c r="EC119" s="7"/>
      <c r="ED119" s="62"/>
      <c r="EE119" s="7"/>
      <c r="EF119" s="61"/>
      <c r="EG119" s="7"/>
      <c r="EH119" s="61"/>
      <c r="EI119" s="7"/>
      <c r="EJ119" s="61"/>
      <c r="EK119" s="7"/>
      <c r="EL119" s="6"/>
      <c r="EM119" s="6"/>
      <c r="EN119" s="6"/>
      <c r="EO119" s="6"/>
      <c r="EP119" s="13"/>
      <c r="EQ119" s="7"/>
      <c r="ER119" s="65"/>
      <c r="ES119" s="12"/>
      <c r="ET119" s="65"/>
      <c r="EU119" s="12"/>
      <c r="EV119" s="65"/>
      <c r="EW119" s="12"/>
      <c r="EX119" s="65"/>
      <c r="EY119" s="12"/>
      <c r="EZ119" s="68"/>
      <c r="FA119" s="12"/>
      <c r="FB119" s="65"/>
      <c r="FC119" s="12"/>
      <c r="FD119" s="65"/>
      <c r="FE119" s="12"/>
      <c r="FF119" s="65"/>
      <c r="FG119" s="12"/>
      <c r="FH119" s="65"/>
      <c r="FI119" s="12"/>
      <c r="FJ119" s="65"/>
      <c r="FK119" s="12"/>
      <c r="FL119" s="65"/>
      <c r="FM119" s="12"/>
      <c r="FN119" s="65"/>
      <c r="FO119" s="12"/>
      <c r="FP119" s="65"/>
      <c r="FQ119" s="12"/>
      <c r="FR119" s="68"/>
      <c r="FS119" s="12"/>
      <c r="FT119" s="68"/>
      <c r="FU119" s="12"/>
      <c r="FV119" s="65"/>
      <c r="FW119" s="12"/>
      <c r="FX119" s="65"/>
      <c r="FY119" s="12"/>
      <c r="FZ119" s="71"/>
      <c r="GA119" s="12"/>
      <c r="GB119" s="66"/>
      <c r="GC119" s="12"/>
      <c r="GD119" s="66"/>
      <c r="GE119" s="12"/>
      <c r="GF119" s="71"/>
      <c r="GG119" s="12"/>
      <c r="GH119" s="66"/>
      <c r="GI119" s="12"/>
      <c r="GJ119" s="71"/>
      <c r="GK119" s="12"/>
      <c r="GL119" s="66"/>
      <c r="GM119" s="12"/>
      <c r="GN119" s="67"/>
      <c r="GO119" s="12"/>
      <c r="GP119" s="66"/>
      <c r="GQ119" s="12"/>
      <c r="GR119" s="71"/>
      <c r="GS119" s="12"/>
      <c r="GT119" s="67"/>
      <c r="GU119" s="12"/>
      <c r="GV119" s="66"/>
      <c r="GW119" s="12"/>
      <c r="GX119" s="65"/>
      <c r="GY119" s="12"/>
      <c r="GZ119" s="11"/>
      <c r="HA119" s="12"/>
    </row>
    <row r="120" spans="1:209" x14ac:dyDescent="0.25">
      <c r="A120" s="3"/>
      <c r="B120" s="4"/>
      <c r="C120" s="5"/>
      <c r="D120" s="6"/>
      <c r="E120" s="6"/>
      <c r="F120" s="6"/>
      <c r="G120" s="6"/>
      <c r="H120" s="6"/>
      <c r="I120" s="6"/>
      <c r="J120" s="61"/>
      <c r="K120" s="7"/>
      <c r="L120" s="6"/>
      <c r="M120" s="6"/>
      <c r="N120" s="6"/>
      <c r="O120" s="6"/>
      <c r="P120" s="6"/>
      <c r="Q120" s="6"/>
      <c r="R120" s="61"/>
      <c r="S120" s="7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1"/>
      <c r="BM120" s="7"/>
      <c r="BN120" s="61"/>
      <c r="BO120" s="7"/>
      <c r="BP120" s="61"/>
      <c r="BQ120" s="7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1"/>
      <c r="CG120" s="7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1"/>
      <c r="DS120" s="7"/>
      <c r="DT120" s="61"/>
      <c r="DU120" s="7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1"/>
      <c r="EQ120" s="7"/>
      <c r="ER120" s="6"/>
      <c r="ES120" s="6"/>
      <c r="ET120" s="6"/>
      <c r="EU120" s="6"/>
      <c r="EV120" s="6"/>
      <c r="EW120" s="6"/>
      <c r="EX120" s="6"/>
      <c r="EY120" s="6"/>
      <c r="EZ120" s="6"/>
      <c r="FA120" s="6"/>
      <c r="FB120" s="6"/>
      <c r="FC120" s="6"/>
      <c r="FD120" s="6"/>
      <c r="FE120" s="6"/>
      <c r="FF120" s="6"/>
      <c r="FG120" s="6"/>
      <c r="FH120" s="6"/>
      <c r="FI120" s="6"/>
      <c r="FJ120" s="6"/>
      <c r="FK120" s="6"/>
      <c r="FL120" s="6"/>
      <c r="FM120" s="6"/>
      <c r="FN120" s="6"/>
      <c r="FO120" s="6"/>
      <c r="FP120" s="6"/>
      <c r="FQ120" s="6"/>
      <c r="FR120" s="6"/>
      <c r="FS120" s="6"/>
      <c r="FT120" s="6"/>
      <c r="FU120" s="6"/>
      <c r="FV120" s="6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61"/>
      <c r="GK120" s="7"/>
    </row>
    <row r="121" spans="1:209" x14ac:dyDescent="0.25">
      <c r="A121" s="3"/>
      <c r="B121" s="4"/>
      <c r="C121" s="5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1"/>
      <c r="O121" s="7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1"/>
      <c r="BI121" s="7"/>
      <c r="BJ121" s="61"/>
      <c r="BK121" s="7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1"/>
      <c r="EQ121" s="7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1"/>
      <c r="FY121" s="7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1"/>
      <c r="GK121" s="7"/>
    </row>
    <row r="122" spans="1:209" x14ac:dyDescent="0.25">
      <c r="A122" s="3"/>
      <c r="B122" s="4"/>
      <c r="C122" s="5"/>
      <c r="D122" s="6"/>
      <c r="E122" s="6"/>
      <c r="F122" s="61"/>
      <c r="G122" s="7"/>
      <c r="H122" s="61"/>
      <c r="I122" s="7"/>
      <c r="J122" s="61"/>
      <c r="K122" s="7"/>
      <c r="L122" s="6"/>
      <c r="M122" s="6"/>
      <c r="N122" s="6"/>
      <c r="O122" s="6"/>
      <c r="P122" s="6"/>
      <c r="Q122" s="6"/>
      <c r="R122" s="61"/>
      <c r="S122" s="7"/>
      <c r="T122" s="6"/>
      <c r="U122" s="6"/>
      <c r="V122" s="6"/>
      <c r="W122" s="6"/>
      <c r="X122" s="61"/>
      <c r="Y122" s="7"/>
      <c r="Z122" s="6"/>
      <c r="AA122" s="6"/>
      <c r="AB122" s="6"/>
      <c r="AC122" s="6"/>
      <c r="AD122" s="6"/>
      <c r="AE122" s="6"/>
      <c r="AF122" s="6"/>
      <c r="AG122" s="6"/>
      <c r="AH122" s="61"/>
      <c r="AI122" s="7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1"/>
      <c r="BE122" s="7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1"/>
      <c r="BS122" s="7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1"/>
      <c r="DE122" s="7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1"/>
      <c r="EM122" s="7"/>
      <c r="EN122" s="6"/>
      <c r="EO122" s="6"/>
      <c r="EP122" s="61"/>
      <c r="EQ122" s="7"/>
      <c r="ER122" s="63"/>
      <c r="ES122" s="7"/>
      <c r="ET122" s="6"/>
      <c r="EU122" s="6"/>
      <c r="EV122" s="70"/>
      <c r="EW122" s="7"/>
      <c r="EX122" s="6"/>
      <c r="EY122" s="6"/>
      <c r="EZ122" s="6"/>
      <c r="FA122" s="6"/>
      <c r="FB122" s="6"/>
      <c r="FC122" s="6"/>
      <c r="FD122" s="6"/>
      <c r="FE122" s="6"/>
      <c r="FF122" s="6"/>
      <c r="FG122" s="6"/>
      <c r="FH122" s="6"/>
      <c r="FI122" s="6"/>
      <c r="FJ122" s="6"/>
      <c r="FK122" s="6"/>
      <c r="FL122" s="6"/>
      <c r="FM122" s="6"/>
      <c r="FN122" s="6"/>
      <c r="FO122" s="6"/>
      <c r="FP122" s="6"/>
      <c r="FQ122" s="6"/>
      <c r="FR122" s="6"/>
      <c r="FS122" s="6"/>
      <c r="FT122" s="6"/>
      <c r="FU122" s="6"/>
      <c r="FV122" s="6"/>
      <c r="FW122" s="6"/>
      <c r="FX122" s="6"/>
      <c r="FY122" s="6"/>
      <c r="FZ122" s="70"/>
      <c r="GA122" s="7"/>
      <c r="GB122" s="70"/>
      <c r="GC122" s="7"/>
      <c r="GD122" s="64"/>
      <c r="GE122" s="7"/>
      <c r="GF122" s="64"/>
      <c r="GG122" s="7"/>
      <c r="GH122" s="70"/>
      <c r="GI122" s="7"/>
      <c r="GJ122" s="13"/>
      <c r="GK122" s="7"/>
    </row>
    <row r="123" spans="1:209" x14ac:dyDescent="0.25">
      <c r="A123" s="3"/>
      <c r="B123" s="4"/>
      <c r="C123" s="5"/>
      <c r="D123" s="6"/>
      <c r="E123" s="6"/>
      <c r="F123" s="61"/>
      <c r="G123" s="7"/>
      <c r="H123" s="61"/>
      <c r="I123" s="7"/>
      <c r="J123" s="61"/>
      <c r="K123" s="7"/>
      <c r="L123" s="6"/>
      <c r="M123" s="6"/>
      <c r="N123" s="6"/>
      <c r="O123" s="6"/>
      <c r="P123" s="6"/>
      <c r="Q123" s="6"/>
      <c r="R123" s="61"/>
      <c r="S123" s="7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1"/>
      <c r="AS123" s="7"/>
      <c r="AT123" s="6"/>
      <c r="AU123" s="6"/>
      <c r="AV123" s="6"/>
      <c r="AW123" s="6"/>
      <c r="AX123" s="6"/>
      <c r="AY123" s="6"/>
      <c r="AZ123" s="62"/>
      <c r="BA123" s="7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1"/>
      <c r="BM123" s="7"/>
      <c r="BN123" s="61"/>
      <c r="BO123" s="7"/>
      <c r="BP123" s="61"/>
      <c r="BQ123" s="7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1"/>
      <c r="CO123" s="7"/>
      <c r="CP123" s="61"/>
      <c r="CQ123" s="7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2"/>
      <c r="DC123" s="7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1"/>
      <c r="DS123" s="7"/>
      <c r="DT123" s="61"/>
      <c r="DU123" s="7"/>
      <c r="DV123" s="6"/>
      <c r="DW123" s="6"/>
      <c r="DX123" s="6"/>
      <c r="DY123" s="6"/>
      <c r="DZ123" s="6"/>
      <c r="EA123" s="6"/>
      <c r="EB123" s="6"/>
      <c r="EC123" s="6"/>
      <c r="ED123" s="62"/>
      <c r="EE123" s="7"/>
      <c r="EF123" s="6"/>
      <c r="EG123" s="6"/>
      <c r="EH123" s="6"/>
      <c r="EI123" s="6"/>
      <c r="EJ123" s="6"/>
      <c r="EK123" s="6"/>
      <c r="EL123" s="6"/>
      <c r="EM123" s="6"/>
      <c r="EN123" s="62"/>
      <c r="EO123" s="7"/>
      <c r="EP123" s="13"/>
      <c r="EQ123" s="7"/>
      <c r="ER123" s="67"/>
      <c r="ES123" s="12"/>
      <c r="ET123" s="67"/>
      <c r="EU123" s="12"/>
      <c r="EV123" s="71"/>
      <c r="EW123" s="12"/>
      <c r="EX123" s="65"/>
      <c r="EY123" s="12"/>
      <c r="EZ123" s="65"/>
      <c r="FA123" s="12"/>
      <c r="FB123" s="65"/>
      <c r="FC123" s="12"/>
      <c r="FD123" s="65"/>
      <c r="FE123" s="12"/>
      <c r="FF123" s="67"/>
      <c r="FG123" s="12"/>
      <c r="FH123" s="65"/>
      <c r="FI123" s="12"/>
      <c r="FJ123" s="65"/>
      <c r="FK123" s="12"/>
      <c r="FL123" s="65"/>
      <c r="FM123" s="12"/>
      <c r="FN123" s="65"/>
      <c r="FO123" s="12"/>
      <c r="FP123" s="65"/>
      <c r="FQ123" s="12"/>
      <c r="FR123" s="65"/>
      <c r="FS123" s="12"/>
      <c r="FT123" s="65"/>
      <c r="FU123" s="12"/>
      <c r="FV123" s="65"/>
      <c r="FW123" s="12"/>
      <c r="FX123" s="65"/>
      <c r="FY123" s="12"/>
      <c r="FZ123" s="71"/>
      <c r="GA123" s="12"/>
      <c r="GB123" s="71"/>
      <c r="GC123" s="12"/>
      <c r="GD123" s="66"/>
      <c r="GE123" s="12"/>
      <c r="GF123" s="66"/>
      <c r="GG123" s="12"/>
      <c r="GH123" s="71"/>
      <c r="GI123" s="12"/>
      <c r="GJ123" s="11"/>
      <c r="GK123" s="12"/>
    </row>
    <row r="124" spans="1:209" x14ac:dyDescent="0.25">
      <c r="A124" s="8"/>
      <c r="B124" s="9"/>
      <c r="C124" s="10"/>
      <c r="D124" s="65"/>
      <c r="E124" s="12"/>
      <c r="F124" s="65"/>
      <c r="G124" s="12"/>
      <c r="H124" s="65"/>
      <c r="I124" s="12"/>
      <c r="J124" s="65"/>
      <c r="K124" s="12"/>
      <c r="L124" s="65"/>
      <c r="M124" s="12"/>
      <c r="N124" s="65"/>
      <c r="O124" s="12"/>
      <c r="P124" s="65"/>
      <c r="Q124" s="12"/>
      <c r="R124" s="65"/>
      <c r="S124" s="12"/>
      <c r="T124" s="65"/>
      <c r="U124" s="12"/>
      <c r="V124" s="65"/>
      <c r="W124" s="12"/>
      <c r="X124" s="65"/>
      <c r="Y124" s="12"/>
      <c r="Z124" s="65"/>
      <c r="AA124" s="12"/>
      <c r="AB124" s="65"/>
      <c r="AC124" s="12"/>
      <c r="AD124" s="65"/>
      <c r="AE124" s="12"/>
      <c r="AF124" s="65"/>
      <c r="AG124" s="12"/>
      <c r="AH124" s="65"/>
      <c r="AI124" s="12"/>
      <c r="AJ124" s="65"/>
      <c r="AK124" s="12"/>
      <c r="AL124" s="65"/>
      <c r="AM124" s="12"/>
      <c r="AN124" s="65"/>
      <c r="AO124" s="12"/>
      <c r="AP124" s="65"/>
      <c r="AQ124" s="12"/>
      <c r="AR124" s="65"/>
      <c r="AS124" s="12"/>
      <c r="AT124" s="65"/>
      <c r="AU124" s="12"/>
      <c r="AV124" s="65"/>
      <c r="AW124" s="12"/>
      <c r="AX124" s="68"/>
      <c r="AY124" s="12"/>
      <c r="AZ124" s="68"/>
      <c r="BA124" s="12"/>
      <c r="BB124" s="65"/>
      <c r="BC124" s="12"/>
      <c r="BD124" s="65"/>
      <c r="BE124" s="12"/>
      <c r="BF124" s="65"/>
      <c r="BG124" s="12"/>
      <c r="BH124" s="65"/>
      <c r="BI124" s="12"/>
      <c r="BJ124" s="65"/>
      <c r="BK124" s="12"/>
      <c r="BL124" s="65"/>
      <c r="BM124" s="12"/>
      <c r="BN124" s="65"/>
      <c r="BO124" s="12"/>
      <c r="BP124" s="65"/>
      <c r="BQ124" s="12"/>
      <c r="BR124" s="65"/>
      <c r="BS124" s="12"/>
      <c r="BT124" s="65"/>
      <c r="BU124" s="12"/>
      <c r="BV124" s="65"/>
      <c r="BW124" s="12"/>
      <c r="BX124" s="65"/>
      <c r="BY124" s="12"/>
      <c r="BZ124" s="65"/>
      <c r="CA124" s="12"/>
      <c r="CB124" s="65"/>
      <c r="CC124" s="12"/>
      <c r="CD124" s="65"/>
      <c r="CE124" s="12"/>
      <c r="CF124" s="65"/>
      <c r="CG124" s="12"/>
      <c r="CH124" s="65"/>
      <c r="CI124" s="12"/>
      <c r="CJ124" s="65"/>
      <c r="CK124" s="12"/>
      <c r="CL124" s="65"/>
      <c r="CM124" s="12"/>
      <c r="CN124" s="65"/>
      <c r="CO124" s="12"/>
      <c r="CP124" s="65"/>
      <c r="CQ124" s="12"/>
      <c r="CR124" s="65"/>
      <c r="CS124" s="12"/>
      <c r="CT124" s="65"/>
      <c r="CU124" s="12"/>
      <c r="CV124" s="65"/>
      <c r="CW124" s="12"/>
      <c r="CX124" s="65"/>
      <c r="CY124" s="12"/>
      <c r="CZ124" s="65"/>
      <c r="DA124" s="12"/>
      <c r="DB124" s="68"/>
      <c r="DC124" s="12"/>
      <c r="DD124" s="65"/>
      <c r="DE124" s="12"/>
      <c r="DF124" s="65"/>
      <c r="DG124" s="12"/>
      <c r="DH124" s="65"/>
      <c r="DI124" s="12"/>
      <c r="DJ124" s="65"/>
      <c r="DK124" s="12"/>
      <c r="DL124" s="65"/>
      <c r="DM124" s="12"/>
      <c r="DN124" s="65"/>
      <c r="DO124" s="12"/>
      <c r="DP124" s="65"/>
      <c r="DQ124" s="12"/>
      <c r="DR124" s="65"/>
      <c r="DS124" s="12"/>
      <c r="DT124" s="65"/>
      <c r="DU124" s="12"/>
      <c r="DV124" s="65"/>
      <c r="DW124" s="12"/>
      <c r="DX124" s="65"/>
      <c r="DY124" s="12"/>
      <c r="DZ124" s="65"/>
      <c r="EA124" s="12"/>
      <c r="EB124" s="65"/>
      <c r="EC124" s="12"/>
      <c r="ED124" s="68"/>
      <c r="EE124" s="12"/>
      <c r="EF124" s="65"/>
      <c r="EG124" s="12"/>
      <c r="EH124" s="65"/>
      <c r="EI124" s="12"/>
      <c r="EJ124" s="65"/>
      <c r="EK124" s="12"/>
      <c r="EL124" s="65"/>
      <c r="EM124" s="12"/>
      <c r="EN124" s="68"/>
      <c r="EO124" s="12"/>
      <c r="EP124" s="11"/>
      <c r="EQ124" s="12"/>
      <c r="ER124" s="6"/>
      <c r="ES124" s="6"/>
      <c r="ET124" s="6"/>
      <c r="EU124" s="6"/>
      <c r="EV124" s="61"/>
      <c r="EW124" s="7"/>
      <c r="EX124" s="61"/>
      <c r="EY124" s="7"/>
      <c r="EZ124" s="6"/>
      <c r="FA124" s="6"/>
      <c r="FB124" s="6"/>
      <c r="FC124" s="7"/>
    </row>
    <row r="125" spans="1:209" x14ac:dyDescent="0.25">
      <c r="A125" s="3"/>
      <c r="B125" s="4"/>
      <c r="C125" s="5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1"/>
      <c r="AE125" s="7"/>
      <c r="AF125" s="6"/>
      <c r="AG125" s="6"/>
      <c r="AH125" s="6"/>
      <c r="AI125" s="6"/>
      <c r="AJ125" s="61"/>
      <c r="AK125" s="7"/>
      <c r="AL125" s="61"/>
      <c r="AM125" s="7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1"/>
      <c r="BQ125" s="7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1"/>
      <c r="FC125" s="7"/>
    </row>
    <row r="126" spans="1:209" x14ac:dyDescent="0.25">
      <c r="A126" s="3"/>
      <c r="B126" s="4"/>
      <c r="C126" s="5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1"/>
      <c r="U126" s="7"/>
      <c r="V126" s="6"/>
      <c r="W126" s="6"/>
      <c r="X126" s="6"/>
      <c r="Y126" s="6"/>
      <c r="Z126" s="6"/>
      <c r="AA126" s="6"/>
      <c r="AB126" s="6"/>
      <c r="AC126" s="6"/>
      <c r="AD126" s="61"/>
      <c r="AE126" s="7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1"/>
      <c r="AW126" s="7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1"/>
      <c r="FC126" s="7"/>
    </row>
    <row r="127" spans="1:209" x14ac:dyDescent="0.25">
      <c r="A127" s="3"/>
      <c r="B127" s="4"/>
      <c r="C127" s="5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1"/>
      <c r="AG127" s="7"/>
      <c r="AH127" s="61"/>
      <c r="AI127" s="7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1"/>
      <c r="FC127" s="7"/>
    </row>
    <row r="128" spans="1:209" x14ac:dyDescent="0.25">
      <c r="A128" s="3"/>
      <c r="B128" s="4"/>
      <c r="C128" s="5"/>
      <c r="D128" s="6"/>
      <c r="E128" s="6"/>
      <c r="F128" s="6"/>
      <c r="G128" s="6"/>
      <c r="H128" s="6"/>
      <c r="I128" s="6"/>
      <c r="J128" s="6"/>
      <c r="K128" s="6"/>
      <c r="L128" s="61"/>
      <c r="M128" s="7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1"/>
      <c r="AI128" s="7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1"/>
      <c r="BC128" s="7"/>
      <c r="BD128" s="61"/>
      <c r="BE128" s="7"/>
      <c r="BF128" s="61"/>
      <c r="BG128" s="7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1"/>
      <c r="CA128" s="7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1"/>
      <c r="CW128" s="7"/>
      <c r="CX128" s="6"/>
      <c r="CY128" s="6"/>
      <c r="CZ128" s="6"/>
      <c r="DA128" s="6"/>
      <c r="DB128" s="6"/>
      <c r="DC128" s="6"/>
      <c r="DD128" s="62"/>
      <c r="DE128" s="7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13"/>
      <c r="FC128" s="7"/>
    </row>
    <row r="129" spans="1:159" x14ac:dyDescent="0.25">
      <c r="A129" s="3"/>
      <c r="B129" s="4"/>
      <c r="C129" s="5"/>
      <c r="D129" s="6"/>
      <c r="E129" s="6"/>
      <c r="F129" s="61"/>
      <c r="G129" s="7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1"/>
      <c r="U129" s="7"/>
      <c r="V129" s="6"/>
      <c r="W129" s="6"/>
      <c r="X129" s="6"/>
      <c r="Y129" s="6"/>
      <c r="Z129" s="6"/>
      <c r="AA129" s="6"/>
      <c r="AB129" s="6"/>
      <c r="AC129" s="6"/>
      <c r="AD129" s="61"/>
      <c r="AE129" s="7"/>
      <c r="AF129" s="6"/>
      <c r="AG129" s="6"/>
      <c r="AH129" s="61"/>
      <c r="AI129" s="7"/>
      <c r="AJ129" s="6"/>
      <c r="AK129" s="6"/>
      <c r="AL129" s="6"/>
      <c r="AM129" s="6"/>
      <c r="AN129" s="6"/>
      <c r="AO129" s="6"/>
      <c r="AP129" s="61"/>
      <c r="AQ129" s="7"/>
      <c r="AR129" s="6"/>
      <c r="AS129" s="6"/>
      <c r="AT129" s="61"/>
      <c r="AU129" s="7"/>
      <c r="AV129" s="6"/>
      <c r="AW129" s="6"/>
      <c r="AX129" s="6"/>
      <c r="AY129" s="6"/>
      <c r="AZ129" s="6"/>
      <c r="BA129" s="6"/>
      <c r="BB129" s="61"/>
      <c r="BC129" s="7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1"/>
      <c r="CA129" s="7"/>
      <c r="CB129" s="61"/>
      <c r="CC129" s="7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1"/>
      <c r="CO129" s="7"/>
      <c r="CP129" s="6"/>
      <c r="CQ129" s="6"/>
      <c r="CR129" s="6"/>
      <c r="CS129" s="6"/>
      <c r="CT129" s="62"/>
      <c r="CU129" s="7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1"/>
      <c r="FA129" s="7"/>
      <c r="FB129" s="13"/>
      <c r="FC129" s="7"/>
    </row>
    <row r="130" spans="1:159" x14ac:dyDescent="0.25">
      <c r="A130" s="8"/>
      <c r="B130" s="9"/>
      <c r="C130" s="10"/>
      <c r="D130" s="65"/>
      <c r="E130" s="12"/>
      <c r="F130" s="65"/>
      <c r="G130" s="12"/>
      <c r="H130" s="65"/>
      <c r="I130" s="12"/>
      <c r="J130" s="65"/>
      <c r="K130" s="12"/>
      <c r="L130" s="65"/>
      <c r="M130" s="12"/>
      <c r="N130" s="65"/>
      <c r="O130" s="12"/>
      <c r="P130" s="65"/>
      <c r="Q130" s="12"/>
      <c r="R130" s="65"/>
      <c r="S130" s="12"/>
      <c r="T130" s="65"/>
      <c r="U130" s="12"/>
      <c r="V130" s="65"/>
      <c r="W130" s="12"/>
      <c r="X130" s="65"/>
      <c r="Y130" s="12"/>
      <c r="Z130" s="65"/>
      <c r="AA130" s="12"/>
      <c r="AB130" s="65"/>
      <c r="AC130" s="12"/>
      <c r="AD130" s="65"/>
      <c r="AE130" s="12"/>
      <c r="AF130" s="65"/>
      <c r="AG130" s="12"/>
      <c r="AH130" s="65"/>
      <c r="AI130" s="12"/>
      <c r="AJ130" s="65"/>
      <c r="AK130" s="12"/>
      <c r="AL130" s="65"/>
      <c r="AM130" s="12"/>
      <c r="AN130" s="65"/>
      <c r="AO130" s="12"/>
      <c r="AP130" s="65"/>
      <c r="AQ130" s="12"/>
      <c r="AR130" s="65"/>
      <c r="AS130" s="12"/>
      <c r="AT130" s="65"/>
      <c r="AU130" s="12"/>
      <c r="AV130" s="65"/>
      <c r="AW130" s="12"/>
      <c r="AX130" s="65"/>
      <c r="AY130" s="12"/>
      <c r="AZ130" s="65"/>
      <c r="BA130" s="12"/>
      <c r="BB130" s="65"/>
      <c r="BC130" s="12"/>
      <c r="BD130" s="65"/>
      <c r="BE130" s="12"/>
      <c r="BF130" s="65"/>
      <c r="BG130" s="12"/>
      <c r="BH130" s="65"/>
      <c r="BI130" s="12"/>
      <c r="BJ130" s="65"/>
      <c r="BK130" s="12"/>
      <c r="BL130" s="65"/>
      <c r="BM130" s="12"/>
      <c r="BN130" s="65"/>
      <c r="BO130" s="12"/>
      <c r="BP130" s="65"/>
      <c r="BQ130" s="12"/>
      <c r="BR130" s="65"/>
      <c r="BS130" s="12"/>
      <c r="BT130" s="65"/>
      <c r="BU130" s="12"/>
      <c r="BV130" s="65"/>
      <c r="BW130" s="12"/>
      <c r="BX130" s="65"/>
      <c r="BY130" s="12"/>
      <c r="BZ130" s="65"/>
      <c r="CA130" s="12"/>
      <c r="CB130" s="65"/>
      <c r="CC130" s="12"/>
      <c r="CD130" s="65"/>
      <c r="CE130" s="12"/>
      <c r="CF130" s="65"/>
      <c r="CG130" s="12"/>
      <c r="CH130" s="65"/>
      <c r="CI130" s="12"/>
      <c r="CJ130" s="65"/>
      <c r="CK130" s="12"/>
      <c r="CL130" s="65"/>
      <c r="CM130" s="12"/>
      <c r="CN130" s="65"/>
      <c r="CO130" s="12"/>
      <c r="CP130" s="65"/>
      <c r="CQ130" s="12"/>
      <c r="CR130" s="65"/>
      <c r="CS130" s="12"/>
      <c r="CT130" s="68"/>
      <c r="CU130" s="12"/>
      <c r="CV130" s="65"/>
      <c r="CW130" s="12"/>
      <c r="CX130" s="65"/>
      <c r="CY130" s="12"/>
      <c r="CZ130" s="68"/>
      <c r="DA130" s="12"/>
      <c r="DB130" s="65"/>
      <c r="DC130" s="12"/>
      <c r="DD130" s="68"/>
      <c r="DE130" s="12"/>
      <c r="DF130" s="68"/>
      <c r="DG130" s="12"/>
      <c r="DH130" s="65"/>
      <c r="DI130" s="12"/>
      <c r="DJ130" s="65"/>
      <c r="DK130" s="12"/>
      <c r="DL130" s="65"/>
      <c r="DM130" s="12"/>
      <c r="DN130" s="65"/>
      <c r="DO130" s="12"/>
      <c r="DP130" s="65"/>
      <c r="DQ130" s="12"/>
      <c r="DR130" s="65"/>
      <c r="DS130" s="12"/>
      <c r="DT130" s="65"/>
      <c r="DU130" s="12"/>
      <c r="DV130" s="65"/>
      <c r="DW130" s="12"/>
      <c r="DX130" s="65"/>
      <c r="DY130" s="12"/>
      <c r="DZ130" s="65"/>
      <c r="EA130" s="12"/>
      <c r="EB130" s="65"/>
      <c r="EC130" s="12"/>
      <c r="ED130" s="65"/>
      <c r="EE130" s="12"/>
      <c r="EF130" s="65"/>
      <c r="EG130" s="12"/>
      <c r="EH130" s="65"/>
      <c r="EI130" s="12"/>
      <c r="EJ130" s="65"/>
      <c r="EK130" s="12"/>
      <c r="EL130" s="65"/>
      <c r="EM130" s="12"/>
      <c r="EN130" s="65"/>
      <c r="EO130" s="12"/>
      <c r="EP130" s="65"/>
      <c r="EQ130" s="12"/>
      <c r="ER130" s="65"/>
      <c r="ES130" s="12"/>
      <c r="ET130" s="65"/>
      <c r="EU130" s="12"/>
      <c r="EV130" s="65"/>
      <c r="EW130" s="12"/>
      <c r="EX130" s="65"/>
      <c r="EY130" s="12"/>
      <c r="EZ130" s="65"/>
      <c r="FA130" s="12"/>
      <c r="FB130" s="11"/>
      <c r="FC130" s="12"/>
    </row>
  </sheetData>
  <mergeCells count="86">
    <mergeCell ref="N1:O1"/>
    <mergeCell ref="D1:E1"/>
    <mergeCell ref="F1:G1"/>
    <mergeCell ref="H1:I1"/>
    <mergeCell ref="J1:K1"/>
    <mergeCell ref="L1:M1"/>
    <mergeCell ref="AL1:AM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BJ1:BK1"/>
    <mergeCell ref="AN1:AO1"/>
    <mergeCell ref="AP1:AQ1"/>
    <mergeCell ref="AR1:AS1"/>
    <mergeCell ref="AT1:AU1"/>
    <mergeCell ref="AV1:AW1"/>
    <mergeCell ref="AX1:AY1"/>
    <mergeCell ref="AZ1:BA1"/>
    <mergeCell ref="BB1:BC1"/>
    <mergeCell ref="BD1:BE1"/>
    <mergeCell ref="BF1:BG1"/>
    <mergeCell ref="BH1:BI1"/>
    <mergeCell ref="CH1:CI1"/>
    <mergeCell ref="BL1:BM1"/>
    <mergeCell ref="BN1:BO1"/>
    <mergeCell ref="BP1:BQ1"/>
    <mergeCell ref="BR1:BS1"/>
    <mergeCell ref="BT1:BU1"/>
    <mergeCell ref="BV1:BW1"/>
    <mergeCell ref="BX1:BY1"/>
    <mergeCell ref="BZ1:CA1"/>
    <mergeCell ref="CB1:CC1"/>
    <mergeCell ref="CD1:CE1"/>
    <mergeCell ref="CF1:CG1"/>
    <mergeCell ref="DF1:DG1"/>
    <mergeCell ref="CJ1:CK1"/>
    <mergeCell ref="CL1:CM1"/>
    <mergeCell ref="CN1:CO1"/>
    <mergeCell ref="CP1:CQ1"/>
    <mergeCell ref="CR1:CS1"/>
    <mergeCell ref="CT1:CU1"/>
    <mergeCell ref="CV1:CW1"/>
    <mergeCell ref="CX1:CY1"/>
    <mergeCell ref="CZ1:DA1"/>
    <mergeCell ref="DB1:DC1"/>
    <mergeCell ref="DD1:DE1"/>
    <mergeCell ref="ED1:EE1"/>
    <mergeCell ref="DH1:DI1"/>
    <mergeCell ref="DJ1:DK1"/>
    <mergeCell ref="DL1:DM1"/>
    <mergeCell ref="DN1:DO1"/>
    <mergeCell ref="DP1:DQ1"/>
    <mergeCell ref="DR1:DS1"/>
    <mergeCell ref="DT1:DU1"/>
    <mergeCell ref="DV1:DW1"/>
    <mergeCell ref="DX1:DY1"/>
    <mergeCell ref="DZ1:EA1"/>
    <mergeCell ref="EB1:EC1"/>
    <mergeCell ref="FB1:FC1"/>
    <mergeCell ref="EF1:EG1"/>
    <mergeCell ref="EH1:EI1"/>
    <mergeCell ref="EJ1:EK1"/>
    <mergeCell ref="EL1:EM1"/>
    <mergeCell ref="EN1:EO1"/>
    <mergeCell ref="EP1:EQ1"/>
    <mergeCell ref="ER1:ES1"/>
    <mergeCell ref="ET1:EU1"/>
    <mergeCell ref="EV1:EW1"/>
    <mergeCell ref="EX1:EY1"/>
    <mergeCell ref="EZ1:FA1"/>
    <mergeCell ref="FP1:FQ1"/>
    <mergeCell ref="FR1:FS1"/>
    <mergeCell ref="FD1:FE1"/>
    <mergeCell ref="FF1:FG1"/>
    <mergeCell ref="FH1:FI1"/>
    <mergeCell ref="FJ1:FK1"/>
    <mergeCell ref="FL1:FM1"/>
    <mergeCell ref="FN1:FO1"/>
  </mergeCells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B6911-3BE2-4A52-84D2-FCFEC90E5753}">
  <sheetPr codeName="Sheet1">
    <tabColor rgb="FFC00000"/>
  </sheetPr>
  <dimension ref="A1:HA130"/>
  <sheetViews>
    <sheetView workbookViewId="0">
      <selection activeCell="C20" sqref="C20"/>
    </sheetView>
  </sheetViews>
  <sheetFormatPr defaultRowHeight="15" x14ac:dyDescent="0.25"/>
  <cols>
    <col min="1" max="1" width="4.7109375" bestFit="1" customWidth="1"/>
    <col min="2" max="2" width="9.85546875" bestFit="1" customWidth="1"/>
    <col min="3" max="3" width="53" bestFit="1" customWidth="1"/>
    <col min="4" max="4" width="9.5703125" bestFit="1" customWidth="1"/>
    <col min="5" max="5" width="10.42578125" bestFit="1" customWidth="1"/>
    <col min="6" max="9" width="10.42578125" customWidth="1"/>
    <col min="10" max="10" width="9.5703125" bestFit="1" customWidth="1"/>
    <col min="11" max="11" width="11.85546875" bestFit="1" customWidth="1"/>
    <col min="12" max="12" width="9.5703125" bestFit="1" customWidth="1"/>
    <col min="13" max="13" width="10.42578125" bestFit="1" customWidth="1"/>
    <col min="14" max="14" width="7.5703125" bestFit="1" customWidth="1"/>
    <col min="15" max="15" width="8.42578125" bestFit="1" customWidth="1"/>
    <col min="16" max="16" width="8.5703125" bestFit="1" customWidth="1"/>
    <col min="17" max="17" width="9.42578125" bestFit="1" customWidth="1"/>
    <col min="18" max="18" width="8.5703125" bestFit="1" customWidth="1"/>
    <col min="19" max="19" width="9.42578125" bestFit="1" customWidth="1"/>
    <col min="20" max="20" width="7.5703125" bestFit="1" customWidth="1"/>
    <col min="21" max="21" width="9.42578125" bestFit="1" customWidth="1"/>
    <col min="22" max="22" width="8.5703125" bestFit="1" customWidth="1"/>
    <col min="23" max="23" width="9.42578125" bestFit="1" customWidth="1"/>
    <col min="24" max="24" width="7.5703125" bestFit="1" customWidth="1"/>
    <col min="25" max="25" width="8.42578125" bestFit="1" customWidth="1"/>
    <col min="26" max="26" width="9.5703125" bestFit="1" customWidth="1"/>
    <col min="27" max="27" width="9.42578125" bestFit="1" customWidth="1"/>
    <col min="28" max="28" width="8.5703125" bestFit="1" customWidth="1"/>
    <col min="29" max="29" width="9.42578125" bestFit="1" customWidth="1"/>
    <col min="30" max="30" width="7.5703125" bestFit="1" customWidth="1"/>
    <col min="31" max="31" width="8.42578125" bestFit="1" customWidth="1"/>
    <col min="32" max="32" width="9.5703125" bestFit="1" customWidth="1"/>
    <col min="33" max="33" width="9.42578125" bestFit="1" customWidth="1"/>
    <col min="34" max="34" width="15.7109375" bestFit="1" customWidth="1"/>
    <col min="35" max="35" width="8.42578125" bestFit="1" customWidth="1"/>
    <col min="36" max="36" width="9.5703125" bestFit="1" customWidth="1"/>
    <col min="37" max="37" width="10.42578125" bestFit="1" customWidth="1"/>
    <col min="38" max="38" width="15.7109375" bestFit="1" customWidth="1"/>
    <col min="39" max="39" width="7.42578125" bestFit="1" customWidth="1"/>
    <col min="40" max="40" width="9.5703125" bestFit="1" customWidth="1"/>
    <col min="41" max="41" width="10.42578125" bestFit="1" customWidth="1"/>
    <col min="42" max="42" width="9.5703125" bestFit="1" customWidth="1"/>
    <col min="43" max="43" width="10.42578125" bestFit="1" customWidth="1"/>
    <col min="44" max="44" width="9.5703125" bestFit="1" customWidth="1"/>
    <col min="45" max="45" width="10.42578125" bestFit="1" customWidth="1"/>
    <col min="46" max="46" width="6.5703125" bestFit="1" customWidth="1"/>
    <col min="47" max="47" width="7.42578125" bestFit="1" customWidth="1"/>
    <col min="48" max="48" width="9.5703125" bestFit="1" customWidth="1"/>
    <col min="49" max="49" width="10.42578125" bestFit="1" customWidth="1"/>
    <col min="50" max="50" width="9.5703125" bestFit="1" customWidth="1"/>
    <col min="51" max="51" width="10.42578125" bestFit="1" customWidth="1"/>
    <col min="52" max="52" width="6.5703125" bestFit="1" customWidth="1"/>
    <col min="53" max="53" width="7.42578125" bestFit="1" customWidth="1"/>
    <col min="54" max="54" width="7.5703125" bestFit="1" customWidth="1"/>
    <col min="55" max="55" width="8.42578125" bestFit="1" customWidth="1"/>
    <col min="56" max="56" width="7.5703125" bestFit="1" customWidth="1"/>
    <col min="57" max="57" width="8.42578125" bestFit="1" customWidth="1"/>
    <col min="58" max="58" width="8.28515625" bestFit="1" customWidth="1"/>
    <col min="59" max="59" width="11.85546875" bestFit="1" customWidth="1"/>
    <col min="60" max="60" width="9.5703125" bestFit="1" customWidth="1"/>
    <col min="61" max="61" width="10.42578125" bestFit="1" customWidth="1"/>
    <col min="62" max="62" width="9.5703125" bestFit="1" customWidth="1"/>
    <col min="63" max="63" width="10.42578125" bestFit="1" customWidth="1"/>
    <col min="64" max="64" width="7.5703125" bestFit="1" customWidth="1"/>
    <col min="65" max="65" width="8.42578125" bestFit="1" customWidth="1"/>
    <col min="66" max="66" width="9.5703125" bestFit="1" customWidth="1"/>
    <col min="67" max="67" width="11.85546875" bestFit="1" customWidth="1"/>
    <col min="68" max="68" width="9.5703125" bestFit="1" customWidth="1"/>
    <col min="69" max="69" width="11.85546875" bestFit="1" customWidth="1"/>
    <col min="70" max="70" width="3.7109375" bestFit="1" customWidth="1"/>
    <col min="71" max="71" width="7.42578125" bestFit="1" customWidth="1"/>
    <col min="72" max="72" width="6.5703125" bestFit="1" customWidth="1"/>
    <col min="73" max="73" width="7.42578125" bestFit="1" customWidth="1"/>
    <col min="74" max="74" width="23.140625" bestFit="1" customWidth="1"/>
    <col min="75" max="75" width="11.85546875" bestFit="1" customWidth="1"/>
    <col min="76" max="76" width="12.140625" bestFit="1" customWidth="1"/>
    <col min="77" max="77" width="11.85546875" bestFit="1" customWidth="1"/>
    <col min="78" max="78" width="9.5703125" bestFit="1" customWidth="1"/>
    <col min="79" max="79" width="11.85546875" bestFit="1" customWidth="1"/>
    <col min="80" max="80" width="10.85546875" bestFit="1" customWidth="1"/>
    <col min="81" max="81" width="11.85546875" bestFit="1" customWidth="1"/>
    <col min="82" max="82" width="9.5703125" bestFit="1" customWidth="1"/>
    <col min="83" max="83" width="10.42578125" bestFit="1" customWidth="1"/>
    <col min="84" max="84" width="8.5703125" bestFit="1" customWidth="1"/>
    <col min="85" max="85" width="9.42578125" bestFit="1" customWidth="1"/>
    <col min="86" max="86" width="6.5703125" bestFit="1" customWidth="1"/>
    <col min="87" max="87" width="7.42578125" bestFit="1" customWidth="1"/>
    <col min="88" max="88" width="9.5703125" bestFit="1" customWidth="1"/>
    <col min="89" max="89" width="10.42578125" bestFit="1" customWidth="1"/>
    <col min="90" max="90" width="8.5703125" bestFit="1" customWidth="1"/>
    <col min="91" max="91" width="9.42578125" bestFit="1" customWidth="1"/>
    <col min="92" max="92" width="8.5703125" bestFit="1" customWidth="1"/>
    <col min="93" max="93" width="8.42578125" bestFit="1" customWidth="1"/>
    <col min="94" max="94" width="6.5703125" bestFit="1" customWidth="1"/>
    <col min="95" max="95" width="8.42578125" bestFit="1" customWidth="1"/>
    <col min="96" max="96" width="7.5703125" bestFit="1" customWidth="1"/>
    <col min="97" max="97" width="8.42578125" bestFit="1" customWidth="1"/>
    <col min="98" max="98" width="7.5703125" bestFit="1" customWidth="1"/>
    <col min="99" max="99" width="8.42578125" bestFit="1" customWidth="1"/>
    <col min="100" max="100" width="10.5703125" bestFit="1" customWidth="1"/>
    <col min="101" max="101" width="11.42578125" bestFit="1" customWidth="1"/>
    <col min="102" max="102" width="6.5703125" bestFit="1" customWidth="1"/>
    <col min="103" max="103" width="8.42578125" bestFit="1" customWidth="1"/>
    <col min="104" max="104" width="9.5703125" bestFit="1" customWidth="1"/>
    <col min="105" max="105" width="11.42578125" bestFit="1" customWidth="1"/>
    <col min="106" max="106" width="13.28515625" bestFit="1" customWidth="1"/>
    <col min="107" max="107" width="7.28515625" bestFit="1" customWidth="1"/>
    <col min="108" max="108" width="5.5703125" bestFit="1" customWidth="1"/>
    <col min="109" max="109" width="7.42578125" bestFit="1" customWidth="1"/>
    <col min="110" max="110" width="3.7109375" bestFit="1" customWidth="1"/>
    <col min="111" max="111" width="7.28515625" bestFit="1" customWidth="1"/>
    <col min="112" max="112" width="3.7109375" bestFit="1" customWidth="1"/>
    <col min="113" max="113" width="7.28515625" bestFit="1" customWidth="1"/>
    <col min="114" max="114" width="20.42578125" bestFit="1" customWidth="1"/>
    <col min="115" max="115" width="7.28515625" bestFit="1" customWidth="1"/>
    <col min="116" max="116" width="21.5703125" bestFit="1" customWidth="1"/>
    <col min="117" max="117" width="7.28515625" bestFit="1" customWidth="1"/>
    <col min="118" max="118" width="8.5703125" bestFit="1" customWidth="1"/>
    <col min="119" max="119" width="9.42578125" bestFit="1" customWidth="1"/>
    <col min="120" max="120" width="10.5703125" bestFit="1" customWidth="1"/>
    <col min="121" max="121" width="11.42578125" bestFit="1" customWidth="1"/>
    <col min="122" max="122" width="9.5703125" bestFit="1" customWidth="1"/>
    <col min="123" max="123" width="7.28515625" bestFit="1" customWidth="1"/>
    <col min="124" max="124" width="6.5703125" bestFit="1" customWidth="1"/>
    <col min="125" max="125" width="7.42578125" bestFit="1" customWidth="1"/>
    <col min="126" max="126" width="3.7109375" bestFit="1" customWidth="1"/>
    <col min="127" max="127" width="7.28515625" bestFit="1" customWidth="1"/>
    <col min="128" max="128" width="3.7109375" bestFit="1" customWidth="1"/>
    <col min="129" max="129" width="7.28515625" bestFit="1" customWidth="1"/>
    <col min="130" max="130" width="3.7109375" bestFit="1" customWidth="1"/>
    <col min="131" max="131" width="7.28515625" bestFit="1" customWidth="1"/>
    <col min="132" max="132" width="9.5703125" bestFit="1" customWidth="1"/>
    <col min="133" max="133" width="11.85546875" bestFit="1" customWidth="1"/>
    <col min="134" max="134" width="3.7109375" bestFit="1" customWidth="1"/>
    <col min="135" max="135" width="7.28515625" bestFit="1" customWidth="1"/>
    <col min="136" max="136" width="3.7109375" bestFit="1" customWidth="1"/>
    <col min="137" max="137" width="7.28515625" bestFit="1" customWidth="1"/>
    <col min="138" max="138" width="9.5703125" bestFit="1" customWidth="1"/>
    <col min="139" max="139" width="10.42578125" bestFit="1" customWidth="1"/>
    <col min="140" max="140" width="4" bestFit="1" customWidth="1"/>
    <col min="141" max="141" width="7.28515625" bestFit="1" customWidth="1"/>
    <col min="142" max="142" width="3.7109375" bestFit="1" customWidth="1"/>
    <col min="143" max="143" width="7.28515625" bestFit="1" customWidth="1"/>
    <col min="144" max="144" width="7.5703125" bestFit="1" customWidth="1"/>
    <col min="145" max="145" width="8.42578125" bestFit="1" customWidth="1"/>
    <col min="146" max="146" width="6.28515625" customWidth="1"/>
    <col min="147" max="147" width="7.28515625" bestFit="1" customWidth="1"/>
    <col min="148" max="148" width="10.5703125" bestFit="1" customWidth="1"/>
    <col min="149" max="149" width="11.42578125" bestFit="1" customWidth="1"/>
    <col min="150" max="150" width="3.7109375" bestFit="1" customWidth="1"/>
    <col min="151" max="151" width="7.28515625" bestFit="1" customWidth="1"/>
    <col min="152" max="152" width="3.7109375" bestFit="1" customWidth="1"/>
    <col min="153" max="153" width="7.28515625" bestFit="1" customWidth="1"/>
    <col min="154" max="154" width="9.5703125" bestFit="1" customWidth="1"/>
    <col min="155" max="155" width="8.42578125" bestFit="1" customWidth="1"/>
    <col min="156" max="156" width="10.5703125" bestFit="1" customWidth="1"/>
    <col min="157" max="157" width="11.42578125" bestFit="1" customWidth="1"/>
    <col min="158" max="158" width="3.7109375" bestFit="1" customWidth="1"/>
    <col min="159" max="159" width="7.28515625" bestFit="1" customWidth="1"/>
    <col min="160" max="160" width="10.5703125" bestFit="1" customWidth="1"/>
    <col min="161" max="161" width="11.42578125" bestFit="1" customWidth="1"/>
    <col min="162" max="162" width="5" bestFit="1" customWidth="1"/>
    <col min="163" max="163" width="7.28515625" bestFit="1" customWidth="1"/>
    <col min="164" max="164" width="6.5703125" bestFit="1" customWidth="1"/>
    <col min="165" max="165" width="7.42578125" bestFit="1" customWidth="1"/>
    <col min="166" max="166" width="3.7109375" bestFit="1" customWidth="1"/>
    <col min="167" max="167" width="7.28515625" bestFit="1" customWidth="1"/>
    <col min="168" max="168" width="6.5703125" bestFit="1" customWidth="1"/>
    <col min="169" max="169" width="7.42578125" bestFit="1" customWidth="1"/>
    <col min="170" max="170" width="9.5703125" bestFit="1" customWidth="1"/>
    <col min="171" max="171" width="11.42578125" bestFit="1" customWidth="1"/>
    <col min="172" max="172" width="10.5703125" bestFit="1" customWidth="1"/>
    <col min="173" max="173" width="11.42578125" bestFit="1" customWidth="1"/>
    <col min="174" max="174" width="3.7109375" bestFit="1" customWidth="1"/>
    <col min="175" max="175" width="7.28515625" bestFit="1" customWidth="1"/>
    <col min="176" max="176" width="3.7109375" bestFit="1" customWidth="1"/>
    <col min="177" max="177" width="7.28515625" bestFit="1" customWidth="1"/>
    <col min="178" max="178" width="3.7109375" bestFit="1" customWidth="1"/>
    <col min="179" max="179" width="7.28515625" bestFit="1" customWidth="1"/>
    <col min="180" max="180" width="10.5703125" bestFit="1" customWidth="1"/>
    <col min="181" max="181" width="11.42578125" bestFit="1" customWidth="1"/>
    <col min="182" max="182" width="3.7109375" bestFit="1" customWidth="1"/>
    <col min="183" max="183" width="7.28515625" bestFit="1" customWidth="1"/>
    <col min="184" max="184" width="7.5703125" bestFit="1" customWidth="1"/>
    <col min="185" max="185" width="8.42578125" bestFit="1" customWidth="1"/>
    <col min="186" max="186" width="7.5703125" bestFit="1" customWidth="1"/>
    <col min="187" max="187" width="8.42578125" bestFit="1" customWidth="1"/>
    <col min="188" max="188" width="3.7109375" bestFit="1" customWidth="1"/>
    <col min="189" max="189" width="7.28515625" bestFit="1" customWidth="1"/>
    <col min="190" max="190" width="3.7109375" bestFit="1" customWidth="1"/>
    <col min="191" max="191" width="7.28515625" bestFit="1" customWidth="1"/>
    <col min="192" max="192" width="3.7109375" bestFit="1" customWidth="1"/>
    <col min="193" max="193" width="7.28515625" bestFit="1" customWidth="1"/>
    <col min="194" max="194" width="3.7109375" bestFit="1" customWidth="1"/>
    <col min="195" max="195" width="7.28515625" bestFit="1" customWidth="1"/>
    <col min="196" max="196" width="3.7109375" bestFit="1" customWidth="1"/>
    <col min="197" max="197" width="7.28515625" bestFit="1" customWidth="1"/>
    <col min="198" max="198" width="10.5703125" bestFit="1" customWidth="1"/>
    <col min="199" max="199" width="11.42578125" bestFit="1" customWidth="1"/>
    <col min="200" max="200" width="6.5703125" bestFit="1" customWidth="1"/>
    <col min="201" max="201" width="8.42578125" bestFit="1" customWidth="1"/>
    <col min="202" max="202" width="7.5703125" bestFit="1" customWidth="1"/>
    <col min="203" max="203" width="8.42578125" bestFit="1" customWidth="1"/>
    <col min="204" max="204" width="7.5703125" bestFit="1" customWidth="1"/>
    <col min="205" max="205" width="8.42578125" bestFit="1" customWidth="1"/>
    <col min="206" max="206" width="3.7109375" bestFit="1" customWidth="1"/>
    <col min="207" max="207" width="7.28515625" bestFit="1" customWidth="1"/>
    <col min="208" max="208" width="3.7109375" bestFit="1" customWidth="1"/>
    <col min="209" max="209" width="7.28515625" bestFit="1" customWidth="1"/>
    <col min="210" max="210" width="3.7109375" bestFit="1" customWidth="1"/>
    <col min="211" max="211" width="7.28515625" bestFit="1" customWidth="1"/>
    <col min="212" max="212" width="3.7109375" bestFit="1" customWidth="1"/>
    <col min="213" max="213" width="7.28515625" bestFit="1" customWidth="1"/>
    <col min="214" max="214" width="3.7109375" bestFit="1" customWidth="1"/>
    <col min="215" max="215" width="7.28515625" bestFit="1" customWidth="1"/>
    <col min="216" max="216" width="3.7109375" bestFit="1" customWidth="1"/>
    <col min="217" max="217" width="7.28515625" bestFit="1" customWidth="1"/>
    <col min="218" max="218" width="3.7109375" bestFit="1" customWidth="1"/>
    <col min="219" max="219" width="7.28515625" bestFit="1" customWidth="1"/>
    <col min="220" max="220" width="3.7109375" bestFit="1" customWidth="1"/>
    <col min="221" max="221" width="7.28515625" bestFit="1" customWidth="1"/>
    <col min="222" max="222" width="7.5703125" bestFit="1" customWidth="1"/>
    <col min="223" max="223" width="8.42578125" bestFit="1" customWidth="1"/>
    <col min="224" max="224" width="3.7109375" bestFit="1" customWidth="1"/>
    <col min="225" max="225" width="7.28515625" bestFit="1" customWidth="1"/>
    <col min="226" max="226" width="3.7109375" bestFit="1" customWidth="1"/>
    <col min="227" max="227" width="7.28515625" bestFit="1" customWidth="1"/>
    <col min="228" max="228" width="3.7109375" bestFit="1" customWidth="1"/>
    <col min="229" max="229" width="7.28515625" bestFit="1" customWidth="1"/>
    <col min="230" max="230" width="3.7109375" bestFit="1" customWidth="1"/>
    <col min="231" max="231" width="7.28515625" bestFit="1" customWidth="1"/>
    <col min="232" max="232" width="3.7109375" bestFit="1" customWidth="1"/>
    <col min="233" max="233" width="7.28515625" bestFit="1" customWidth="1"/>
    <col min="234" max="234" width="3.7109375" bestFit="1" customWidth="1"/>
    <col min="235" max="235" width="7.28515625" bestFit="1" customWidth="1"/>
    <col min="236" max="236" width="3.7109375" bestFit="1" customWidth="1"/>
    <col min="237" max="237" width="7.28515625" bestFit="1" customWidth="1"/>
    <col min="238" max="238" width="6.5703125" bestFit="1" customWidth="1"/>
    <col min="239" max="239" width="7.42578125" bestFit="1" customWidth="1"/>
    <col min="240" max="240" width="3.7109375" bestFit="1" customWidth="1"/>
    <col min="241" max="241" width="7.28515625" bestFit="1" customWidth="1"/>
    <col min="242" max="242" width="3.7109375" bestFit="1" customWidth="1"/>
    <col min="243" max="243" width="7.28515625" bestFit="1" customWidth="1"/>
    <col min="244" max="244" width="3.7109375" bestFit="1" customWidth="1"/>
    <col min="245" max="245" width="7.28515625" bestFit="1" customWidth="1"/>
    <col min="246" max="246" width="3.7109375" bestFit="1" customWidth="1"/>
    <col min="247" max="247" width="7.28515625" bestFit="1" customWidth="1"/>
    <col min="248" max="248" width="3.7109375" bestFit="1" customWidth="1"/>
    <col min="249" max="249" width="7.28515625" bestFit="1" customWidth="1"/>
    <col min="250" max="250" width="3.7109375" bestFit="1" customWidth="1"/>
    <col min="251" max="251" width="7.28515625" bestFit="1" customWidth="1"/>
    <col min="252" max="252" width="3.7109375" bestFit="1" customWidth="1"/>
    <col min="253" max="253" width="7.28515625" bestFit="1" customWidth="1"/>
    <col min="254" max="254" width="3.7109375" bestFit="1" customWidth="1"/>
    <col min="255" max="255" width="7.28515625" bestFit="1" customWidth="1"/>
    <col min="256" max="256" width="3.7109375" bestFit="1" customWidth="1"/>
    <col min="257" max="257" width="7.28515625" bestFit="1" customWidth="1"/>
    <col min="258" max="258" width="3.7109375" bestFit="1" customWidth="1"/>
    <col min="259" max="259" width="7.28515625" bestFit="1" customWidth="1"/>
    <col min="260" max="260" width="3.7109375" bestFit="1" customWidth="1"/>
    <col min="261" max="261" width="7.28515625" bestFit="1" customWidth="1"/>
    <col min="262" max="262" width="3.7109375" bestFit="1" customWidth="1"/>
    <col min="263" max="263" width="7.28515625" bestFit="1" customWidth="1"/>
    <col min="264" max="264" width="3.7109375" bestFit="1" customWidth="1"/>
    <col min="265" max="265" width="7.28515625" bestFit="1" customWidth="1"/>
    <col min="266" max="266" width="3.7109375" bestFit="1" customWidth="1"/>
    <col min="267" max="267" width="7.28515625" bestFit="1" customWidth="1"/>
    <col min="268" max="268" width="3.7109375" bestFit="1" customWidth="1"/>
    <col min="269" max="269" width="7.28515625" bestFit="1" customWidth="1"/>
    <col min="270" max="270" width="3.7109375" bestFit="1" customWidth="1"/>
    <col min="271" max="271" width="7.28515625" bestFit="1" customWidth="1"/>
    <col min="272" max="272" width="8.5703125" bestFit="1" customWidth="1"/>
    <col min="273" max="273" width="9.42578125" bestFit="1" customWidth="1"/>
    <col min="274" max="274" width="3.7109375" bestFit="1" customWidth="1"/>
    <col min="275" max="275" width="7.28515625" bestFit="1" customWidth="1"/>
    <col min="276" max="276" width="3.7109375" bestFit="1" customWidth="1"/>
    <col min="277" max="277" width="7.28515625" bestFit="1" customWidth="1"/>
    <col min="278" max="278" width="3.7109375" bestFit="1" customWidth="1"/>
    <col min="279" max="279" width="7.28515625" bestFit="1" customWidth="1"/>
    <col min="280" max="280" width="3.7109375" bestFit="1" customWidth="1"/>
    <col min="281" max="281" width="7.28515625" bestFit="1" customWidth="1"/>
    <col min="282" max="282" width="3.7109375" bestFit="1" customWidth="1"/>
    <col min="283" max="283" width="7.28515625" bestFit="1" customWidth="1"/>
    <col min="284" max="284" width="3.7109375" bestFit="1" customWidth="1"/>
    <col min="285" max="285" width="7.28515625" bestFit="1" customWidth="1"/>
    <col min="286" max="286" width="3.7109375" bestFit="1" customWidth="1"/>
    <col min="287" max="287" width="7.28515625" bestFit="1" customWidth="1"/>
    <col min="288" max="288" width="3.7109375" bestFit="1" customWidth="1"/>
    <col min="289" max="289" width="7.28515625" bestFit="1" customWidth="1"/>
    <col min="290" max="290" width="3.7109375" bestFit="1" customWidth="1"/>
    <col min="291" max="291" width="7.28515625" bestFit="1" customWidth="1"/>
    <col min="292" max="292" width="3.7109375" bestFit="1" customWidth="1"/>
    <col min="293" max="293" width="7.28515625" bestFit="1" customWidth="1"/>
    <col min="294" max="294" width="3.7109375" bestFit="1" customWidth="1"/>
    <col min="295" max="295" width="7.28515625" bestFit="1" customWidth="1"/>
    <col min="296" max="296" width="3.7109375" bestFit="1" customWidth="1"/>
    <col min="297" max="297" width="7.28515625" bestFit="1" customWidth="1"/>
    <col min="298" max="298" width="3.7109375" bestFit="1" customWidth="1"/>
    <col min="299" max="299" width="7.28515625" bestFit="1" customWidth="1"/>
    <col min="300" max="300" width="3.7109375" bestFit="1" customWidth="1"/>
    <col min="301" max="301" width="7.28515625" bestFit="1" customWidth="1"/>
    <col min="302" max="302" width="3.7109375" bestFit="1" customWidth="1"/>
    <col min="303" max="303" width="7.28515625" bestFit="1" customWidth="1"/>
    <col min="304" max="304" width="3.7109375" bestFit="1" customWidth="1"/>
    <col min="305" max="305" width="7.28515625" bestFit="1" customWidth="1"/>
    <col min="306" max="306" width="3.7109375" bestFit="1" customWidth="1"/>
    <col min="307" max="307" width="7.28515625" bestFit="1" customWidth="1"/>
    <col min="308" max="308" width="8.5703125" bestFit="1" customWidth="1"/>
    <col min="309" max="309" width="9.42578125" bestFit="1" customWidth="1"/>
    <col min="310" max="310" width="3.7109375" bestFit="1" customWidth="1"/>
    <col min="311" max="311" width="7.28515625" bestFit="1" customWidth="1"/>
    <col min="312" max="312" width="8.5703125" bestFit="1" customWidth="1"/>
    <col min="313" max="313" width="9.42578125" bestFit="1" customWidth="1"/>
    <col min="314" max="314" width="3.7109375" bestFit="1" customWidth="1"/>
    <col min="315" max="315" width="7.28515625" bestFit="1" customWidth="1"/>
    <col min="316" max="316" width="3.7109375" bestFit="1" customWidth="1"/>
    <col min="317" max="317" width="7.28515625" bestFit="1" customWidth="1"/>
    <col min="318" max="318" width="3.7109375" bestFit="1" customWidth="1"/>
    <col min="319" max="319" width="7.28515625" bestFit="1" customWidth="1"/>
    <col min="320" max="320" width="3.7109375" bestFit="1" customWidth="1"/>
    <col min="321" max="321" width="7.28515625" bestFit="1" customWidth="1"/>
    <col min="322" max="322" width="3.7109375" bestFit="1" customWidth="1"/>
    <col min="323" max="323" width="7.28515625" bestFit="1" customWidth="1"/>
    <col min="324" max="324" width="3.7109375" bestFit="1" customWidth="1"/>
    <col min="325" max="325" width="7.28515625" bestFit="1" customWidth="1"/>
    <col min="326" max="326" width="9.5703125" bestFit="1" customWidth="1"/>
    <col min="327" max="327" width="10.42578125" bestFit="1" customWidth="1"/>
    <col min="328" max="328" width="8.5703125" bestFit="1" customWidth="1"/>
    <col min="329" max="329" width="9.42578125" bestFit="1" customWidth="1"/>
    <col min="330" max="330" width="9.5703125" bestFit="1" customWidth="1"/>
    <col min="331" max="331" width="10.42578125" bestFit="1" customWidth="1"/>
    <col min="332" max="332" width="3.7109375" bestFit="1" customWidth="1"/>
    <col min="333" max="333" width="7.28515625" bestFit="1" customWidth="1"/>
    <col min="334" max="334" width="3.7109375" bestFit="1" customWidth="1"/>
    <col min="335" max="335" width="7.28515625" bestFit="1" customWidth="1"/>
    <col min="336" max="336" width="3.7109375" bestFit="1" customWidth="1"/>
    <col min="337" max="337" width="7.28515625" bestFit="1" customWidth="1"/>
    <col min="338" max="338" width="7.5703125" bestFit="1" customWidth="1"/>
    <col min="339" max="339" width="8.42578125" bestFit="1" customWidth="1"/>
    <col min="340" max="340" width="5.5703125" bestFit="1" customWidth="1"/>
    <col min="341" max="341" width="7.28515625" bestFit="1" customWidth="1"/>
    <col min="342" max="342" width="3.7109375" bestFit="1" customWidth="1"/>
    <col min="343" max="343" width="7.28515625" bestFit="1" customWidth="1"/>
    <col min="344" max="344" width="3.7109375" bestFit="1" customWidth="1"/>
    <col min="345" max="345" width="7.28515625" bestFit="1" customWidth="1"/>
    <col min="346" max="346" width="3.7109375" bestFit="1" customWidth="1"/>
    <col min="347" max="347" width="7.28515625" bestFit="1" customWidth="1"/>
    <col min="348" max="348" width="3.7109375" bestFit="1" customWidth="1"/>
    <col min="349" max="349" width="7.28515625" bestFit="1" customWidth="1"/>
    <col min="350" max="350" width="8.5703125" bestFit="1" customWidth="1"/>
    <col min="351" max="351" width="9.42578125" bestFit="1" customWidth="1"/>
    <col min="352" max="352" width="3.7109375" bestFit="1" customWidth="1"/>
    <col min="353" max="353" width="7.28515625" bestFit="1" customWidth="1"/>
    <col min="354" max="354" width="3.7109375" bestFit="1" customWidth="1"/>
    <col min="355" max="355" width="7.28515625" bestFit="1" customWidth="1"/>
    <col min="356" max="356" width="8.5703125" bestFit="1" customWidth="1"/>
    <col min="357" max="357" width="9.42578125" bestFit="1" customWidth="1"/>
    <col min="358" max="358" width="3.7109375" bestFit="1" customWidth="1"/>
    <col min="359" max="359" width="7.28515625" bestFit="1" customWidth="1"/>
    <col min="360" max="360" width="3.7109375" bestFit="1" customWidth="1"/>
    <col min="361" max="361" width="7.28515625" bestFit="1" customWidth="1"/>
    <col min="362" max="362" width="3.7109375" bestFit="1" customWidth="1"/>
    <col min="363" max="363" width="7.28515625" bestFit="1" customWidth="1"/>
    <col min="364" max="364" width="8.5703125" bestFit="1" customWidth="1"/>
    <col min="365" max="365" width="9.42578125" bestFit="1" customWidth="1"/>
    <col min="366" max="366" width="3.7109375" bestFit="1" customWidth="1"/>
    <col min="367" max="367" width="7.28515625" bestFit="1" customWidth="1"/>
    <col min="368" max="368" width="3.7109375" bestFit="1" customWidth="1"/>
    <col min="369" max="369" width="7.28515625" bestFit="1" customWidth="1"/>
    <col min="370" max="370" width="3.7109375" bestFit="1" customWidth="1"/>
    <col min="371" max="371" width="7.28515625" bestFit="1" customWidth="1"/>
    <col min="372" max="372" width="8.5703125" bestFit="1" customWidth="1"/>
    <col min="373" max="373" width="9.42578125" bestFit="1" customWidth="1"/>
    <col min="374" max="374" width="9.5703125" bestFit="1" customWidth="1"/>
    <col min="375" max="375" width="10.42578125" bestFit="1" customWidth="1"/>
    <col min="376" max="376" width="3.7109375" bestFit="1" customWidth="1"/>
    <col min="377" max="377" width="7.28515625" bestFit="1" customWidth="1"/>
    <col min="378" max="378" width="3.7109375" bestFit="1" customWidth="1"/>
    <col min="379" max="379" width="7.28515625" bestFit="1" customWidth="1"/>
    <col min="380" max="380" width="3.7109375" bestFit="1" customWidth="1"/>
    <col min="381" max="381" width="7.28515625" bestFit="1" customWidth="1"/>
    <col min="382" max="382" width="3.7109375" bestFit="1" customWidth="1"/>
    <col min="383" max="383" width="7.28515625" bestFit="1" customWidth="1"/>
    <col min="384" max="384" width="7.5703125" bestFit="1" customWidth="1"/>
    <col min="385" max="385" width="8.42578125" bestFit="1" customWidth="1"/>
    <col min="386" max="386" width="6.5703125" bestFit="1" customWidth="1"/>
    <col min="387" max="387" width="7.42578125" bestFit="1" customWidth="1"/>
    <col min="388" max="388" width="3.7109375" bestFit="1" customWidth="1"/>
    <col min="389" max="389" width="7.28515625" bestFit="1" customWidth="1"/>
    <col min="390" max="390" width="3.7109375" bestFit="1" customWidth="1"/>
    <col min="391" max="391" width="7.28515625" bestFit="1" customWidth="1"/>
    <col min="392" max="392" width="3.7109375" bestFit="1" customWidth="1"/>
    <col min="393" max="393" width="7.28515625" bestFit="1" customWidth="1"/>
    <col min="394" max="394" width="3.7109375" bestFit="1" customWidth="1"/>
    <col min="395" max="395" width="7.28515625" bestFit="1" customWidth="1"/>
    <col min="396" max="396" width="6.5703125" bestFit="1" customWidth="1"/>
    <col min="397" max="397" width="7.42578125" bestFit="1" customWidth="1"/>
    <col min="398" max="398" width="3.7109375" bestFit="1" customWidth="1"/>
    <col min="399" max="399" width="7.28515625" bestFit="1" customWidth="1"/>
    <col min="400" max="400" width="3.7109375" bestFit="1" customWidth="1"/>
    <col min="401" max="401" width="7.28515625" bestFit="1" customWidth="1"/>
    <col min="402" max="402" width="3.7109375" bestFit="1" customWidth="1"/>
    <col min="403" max="403" width="7.28515625" bestFit="1" customWidth="1"/>
    <col min="404" max="404" width="7.5703125" bestFit="1" customWidth="1"/>
    <col min="405" max="405" width="8.42578125" bestFit="1" customWidth="1"/>
    <col min="406" max="406" width="3.7109375" bestFit="1" customWidth="1"/>
    <col min="407" max="407" width="7.28515625" bestFit="1" customWidth="1"/>
    <col min="408" max="408" width="3.7109375" bestFit="1" customWidth="1"/>
    <col min="409" max="409" width="7.28515625" bestFit="1" customWidth="1"/>
    <col min="410" max="410" width="3.7109375" bestFit="1" customWidth="1"/>
    <col min="411" max="411" width="7.28515625" bestFit="1" customWidth="1"/>
    <col min="412" max="412" width="3.7109375" bestFit="1" customWidth="1"/>
    <col min="413" max="413" width="7.28515625" bestFit="1" customWidth="1"/>
    <col min="414" max="414" width="3.7109375" bestFit="1" customWidth="1"/>
    <col min="415" max="415" width="7.28515625" bestFit="1" customWidth="1"/>
    <col min="416" max="416" width="3.7109375" bestFit="1" customWidth="1"/>
    <col min="417" max="417" width="7.28515625" bestFit="1" customWidth="1"/>
    <col min="418" max="418" width="8.5703125" bestFit="1" customWidth="1"/>
    <col min="419" max="419" width="9.42578125" bestFit="1" customWidth="1"/>
    <col min="420" max="420" width="3.7109375" bestFit="1" customWidth="1"/>
    <col min="421" max="421" width="7.28515625" bestFit="1" customWidth="1"/>
    <col min="422" max="422" width="3.7109375" bestFit="1" customWidth="1"/>
    <col min="423" max="423" width="7.28515625" bestFit="1" customWidth="1"/>
    <col min="424" max="424" width="10.5703125" bestFit="1" customWidth="1"/>
    <col min="425" max="425" width="11.42578125" bestFit="1" customWidth="1"/>
  </cols>
  <sheetData>
    <row r="1" spans="1:209" x14ac:dyDescent="0.25">
      <c r="A1" s="1" t="s">
        <v>0</v>
      </c>
      <c r="B1" s="1" t="s">
        <v>1</v>
      </c>
      <c r="C1" s="2" t="s">
        <v>2</v>
      </c>
      <c r="D1" s="79" t="s">
        <v>161</v>
      </c>
      <c r="E1" s="80"/>
      <c r="F1" s="79" t="s">
        <v>173</v>
      </c>
      <c r="G1" s="80"/>
      <c r="H1" s="79" t="s">
        <v>180</v>
      </c>
      <c r="I1" s="80"/>
      <c r="J1" s="79" t="s">
        <v>543</v>
      </c>
      <c r="K1" s="80"/>
      <c r="L1" s="79" t="s">
        <v>90</v>
      </c>
      <c r="M1" s="80"/>
      <c r="N1" s="79" t="s">
        <v>100</v>
      </c>
      <c r="O1" s="80"/>
      <c r="P1" s="79" t="s">
        <v>544</v>
      </c>
      <c r="Q1" s="80"/>
      <c r="R1" s="79" t="s">
        <v>75</v>
      </c>
      <c r="S1" s="80"/>
      <c r="T1" s="79" t="s">
        <v>134</v>
      </c>
      <c r="U1" s="80"/>
      <c r="V1" s="79" t="s">
        <v>490</v>
      </c>
      <c r="W1" s="80"/>
      <c r="X1" s="79" t="s">
        <v>706</v>
      </c>
      <c r="Y1" s="80"/>
      <c r="Z1" s="79" t="s">
        <v>715</v>
      </c>
      <c r="AA1" s="80"/>
      <c r="AB1" s="79" t="s">
        <v>475</v>
      </c>
      <c r="AC1" s="80"/>
      <c r="AD1" s="79" t="s">
        <v>676</v>
      </c>
      <c r="AE1" s="80"/>
      <c r="AF1" s="79" t="s">
        <v>680</v>
      </c>
      <c r="AG1" s="80"/>
      <c r="AH1" s="79" t="s">
        <v>728</v>
      </c>
      <c r="AI1" s="80"/>
      <c r="AJ1" s="79" t="s">
        <v>732</v>
      </c>
      <c r="AK1" s="80"/>
      <c r="AL1" s="79" t="s">
        <v>488</v>
      </c>
      <c r="AM1" s="80"/>
      <c r="AN1" s="79" t="s">
        <v>594</v>
      </c>
      <c r="AO1" s="80"/>
      <c r="AP1" s="79" t="s">
        <v>469</v>
      </c>
      <c r="AQ1" s="80"/>
      <c r="AR1" s="79" t="s">
        <v>598</v>
      </c>
      <c r="AS1" s="80"/>
      <c r="AT1" s="79" t="s">
        <v>489</v>
      </c>
      <c r="AU1" s="80"/>
      <c r="AV1" s="79" t="s">
        <v>620</v>
      </c>
      <c r="AW1" s="80"/>
      <c r="AX1" s="79" t="s">
        <v>491</v>
      </c>
      <c r="AY1" s="80"/>
      <c r="AZ1" s="79" t="s">
        <v>721</v>
      </c>
      <c r="BA1" s="80"/>
      <c r="BB1" s="79" t="s">
        <v>723</v>
      </c>
      <c r="BC1" s="80"/>
      <c r="BD1" s="79" t="s">
        <v>34</v>
      </c>
      <c r="BE1" s="80"/>
      <c r="BF1" s="79" t="s">
        <v>40</v>
      </c>
      <c r="BG1" s="80"/>
      <c r="BH1" s="79" t="s">
        <v>495</v>
      </c>
      <c r="BI1" s="80"/>
      <c r="BJ1" s="79" t="s">
        <v>710</v>
      </c>
      <c r="BK1" s="80"/>
      <c r="BL1" s="79" t="s">
        <v>152</v>
      </c>
      <c r="BM1" s="80"/>
      <c r="BN1" s="79" t="s">
        <v>167</v>
      </c>
      <c r="BO1" s="80"/>
      <c r="BP1" s="79" t="s">
        <v>708</v>
      </c>
      <c r="BQ1" s="80"/>
      <c r="BR1" s="79" t="s">
        <v>709</v>
      </c>
      <c r="BS1" s="80"/>
      <c r="BT1" s="79" t="s">
        <v>64</v>
      </c>
      <c r="BU1" s="80"/>
      <c r="BV1" s="79" t="s">
        <v>81</v>
      </c>
      <c r="BW1" s="80"/>
      <c r="BX1" s="79" t="s">
        <v>84</v>
      </c>
      <c r="BY1" s="80"/>
      <c r="BZ1" s="79" t="s">
        <v>474</v>
      </c>
      <c r="CA1" s="80"/>
      <c r="CB1" s="79" t="s">
        <v>545</v>
      </c>
      <c r="CC1" s="80"/>
      <c r="CD1" s="79" t="s">
        <v>546</v>
      </c>
      <c r="CE1" s="80"/>
      <c r="CF1" s="79" t="s">
        <v>206</v>
      </c>
      <c r="CG1" s="80"/>
      <c r="CH1" s="79" t="s">
        <v>38</v>
      </c>
      <c r="CI1" s="80"/>
      <c r="CJ1" s="79" t="s">
        <v>15</v>
      </c>
      <c r="CK1" s="80"/>
      <c r="CL1" s="79" t="s">
        <v>31</v>
      </c>
      <c r="CM1" s="80"/>
      <c r="CN1" s="79" t="s">
        <v>714</v>
      </c>
      <c r="CO1" s="80"/>
      <c r="CP1" s="79" t="s">
        <v>534</v>
      </c>
      <c r="CQ1" s="80"/>
      <c r="CR1" s="79" t="s">
        <v>91</v>
      </c>
      <c r="CS1" s="80"/>
      <c r="CT1" s="79" t="s">
        <v>109</v>
      </c>
      <c r="CU1" s="80"/>
      <c r="CV1" s="79" t="s">
        <v>99</v>
      </c>
      <c r="CW1" s="80"/>
      <c r="CX1" s="79" t="s">
        <v>8</v>
      </c>
      <c r="CY1" s="80"/>
      <c r="CZ1" s="79" t="s">
        <v>705</v>
      </c>
      <c r="DA1" s="80"/>
      <c r="DB1" s="79" t="s">
        <v>522</v>
      </c>
      <c r="DC1" s="80"/>
      <c r="DD1" s="79" t="s">
        <v>590</v>
      </c>
      <c r="DE1" s="80"/>
      <c r="DF1" s="79" t="s">
        <v>591</v>
      </c>
      <c r="DG1" s="80"/>
      <c r="DH1" s="79" t="s">
        <v>178</v>
      </c>
      <c r="DI1" s="80"/>
      <c r="DJ1" s="79" t="s">
        <v>707</v>
      </c>
      <c r="DK1" s="80"/>
      <c r="DL1" s="79" t="s">
        <v>713</v>
      </c>
      <c r="DM1" s="80"/>
      <c r="DN1" s="79" t="s">
        <v>190</v>
      </c>
      <c r="DO1" s="80"/>
      <c r="DP1" s="79" t="s">
        <v>35</v>
      </c>
      <c r="DQ1" s="80"/>
      <c r="DR1" s="79" t="s">
        <v>101</v>
      </c>
      <c r="DS1" s="80"/>
      <c r="DT1" s="79" t="s">
        <v>524</v>
      </c>
      <c r="DU1" s="80"/>
      <c r="DV1" s="79" t="s">
        <v>621</v>
      </c>
      <c r="DW1" s="80"/>
      <c r="DX1" s="79" t="s">
        <v>176</v>
      </c>
      <c r="DY1" s="80"/>
      <c r="DZ1" s="79" t="s">
        <v>717</v>
      </c>
      <c r="EA1" s="80"/>
      <c r="EB1" s="79" t="s">
        <v>716</v>
      </c>
      <c r="EC1" s="80"/>
      <c r="ED1" s="79" t="s">
        <v>677</v>
      </c>
      <c r="EE1" s="80"/>
      <c r="EF1" s="79" t="s">
        <v>89</v>
      </c>
      <c r="EG1" s="80"/>
      <c r="EH1" s="79" t="s">
        <v>11</v>
      </c>
      <c r="EI1" s="80"/>
      <c r="EJ1" s="79" t="s">
        <v>700</v>
      </c>
      <c r="EK1" s="80"/>
      <c r="EL1" s="79" t="s">
        <v>739</v>
      </c>
      <c r="EM1" s="80"/>
      <c r="EN1" s="79" t="s">
        <v>733</v>
      </c>
      <c r="EO1" s="80"/>
      <c r="EP1" s="79" t="s">
        <v>737</v>
      </c>
      <c r="EQ1" s="80"/>
      <c r="ER1" s="79" t="s">
        <v>738</v>
      </c>
      <c r="ES1" s="80"/>
      <c r="ET1" s="79" t="s">
        <v>742</v>
      </c>
      <c r="EU1" s="80"/>
      <c r="EV1" s="79" t="s">
        <v>19</v>
      </c>
      <c r="EW1" s="80"/>
      <c r="EX1" s="79" t="s">
        <v>111</v>
      </c>
      <c r="EY1" s="80"/>
      <c r="EZ1" s="79" t="s">
        <v>140</v>
      </c>
      <c r="FA1" s="80"/>
      <c r="FB1" s="79" t="s">
        <v>492</v>
      </c>
      <c r="FC1" s="80"/>
      <c r="FD1" s="79" t="s">
        <v>32</v>
      </c>
      <c r="FE1" s="80"/>
      <c r="FF1" s="79" t="s">
        <v>126</v>
      </c>
      <c r="FG1" s="80"/>
      <c r="FH1" s="79" t="s">
        <v>127</v>
      </c>
      <c r="FI1" s="80"/>
      <c r="FJ1" s="79" t="s">
        <v>97</v>
      </c>
      <c r="FK1" s="80"/>
      <c r="FL1" s="79" t="s">
        <v>106</v>
      </c>
      <c r="FM1" s="80"/>
      <c r="FN1" s="79" t="s">
        <v>208</v>
      </c>
      <c r="FO1" s="80"/>
      <c r="FP1" s="79" t="s">
        <v>23</v>
      </c>
      <c r="FQ1" s="80"/>
      <c r="FR1" s="79" t="s">
        <v>209</v>
      </c>
      <c r="FS1" s="80"/>
      <c r="FT1" s="22"/>
      <c r="FU1" s="23"/>
      <c r="FV1" s="22"/>
      <c r="FW1" s="23"/>
      <c r="FX1" s="22"/>
      <c r="FY1" s="23"/>
      <c r="FZ1" s="22"/>
      <c r="GA1" s="23"/>
      <c r="GB1" s="22"/>
      <c r="GC1" s="23"/>
      <c r="GD1" s="22"/>
      <c r="GE1" s="23"/>
      <c r="GF1" s="22"/>
      <c r="GG1" s="23"/>
      <c r="GH1" s="22"/>
      <c r="GI1" s="23"/>
      <c r="GJ1" s="22"/>
      <c r="GK1" s="23"/>
      <c r="GL1" s="22"/>
      <c r="GM1" s="23"/>
      <c r="GN1" s="22"/>
      <c r="GO1" s="23"/>
      <c r="GP1" s="22"/>
      <c r="GQ1" s="23"/>
      <c r="GR1" s="22"/>
      <c r="GS1" s="23"/>
      <c r="GT1" s="22"/>
      <c r="GU1" s="23"/>
      <c r="GV1" s="22"/>
      <c r="GW1" s="23"/>
      <c r="GX1" s="22"/>
      <c r="GY1" s="23"/>
      <c r="GZ1" s="22"/>
      <c r="HA1" s="23"/>
    </row>
    <row r="2" spans="1:209" x14ac:dyDescent="0.25">
      <c r="A2" s="1" t="s">
        <v>757</v>
      </c>
      <c r="B2" s="1" t="s">
        <v>757</v>
      </c>
      <c r="C2" s="2" t="s">
        <v>757</v>
      </c>
      <c r="D2" s="1" t="s">
        <v>210</v>
      </c>
      <c r="E2" s="1" t="s">
        <v>211</v>
      </c>
      <c r="F2" s="1" t="s">
        <v>210</v>
      </c>
      <c r="G2" s="1" t="s">
        <v>211</v>
      </c>
      <c r="H2" s="1" t="s">
        <v>210</v>
      </c>
      <c r="I2" s="1" t="s">
        <v>211</v>
      </c>
      <c r="J2" s="1" t="s">
        <v>210</v>
      </c>
      <c r="K2" s="1" t="s">
        <v>211</v>
      </c>
      <c r="L2" s="1" t="s">
        <v>210</v>
      </c>
      <c r="M2" s="1" t="s">
        <v>211</v>
      </c>
      <c r="N2" s="1" t="s">
        <v>210</v>
      </c>
      <c r="O2" s="1" t="s">
        <v>211</v>
      </c>
      <c r="P2" s="1" t="s">
        <v>210</v>
      </c>
      <c r="Q2" s="1" t="s">
        <v>211</v>
      </c>
      <c r="R2" s="1" t="s">
        <v>210</v>
      </c>
      <c r="S2" s="1" t="s">
        <v>211</v>
      </c>
      <c r="T2" s="1" t="s">
        <v>210</v>
      </c>
      <c r="U2" s="1" t="s">
        <v>211</v>
      </c>
      <c r="V2" s="1" t="s">
        <v>210</v>
      </c>
      <c r="W2" s="1" t="s">
        <v>211</v>
      </c>
      <c r="X2" s="1" t="s">
        <v>210</v>
      </c>
      <c r="Y2" s="1" t="s">
        <v>211</v>
      </c>
      <c r="Z2" s="1" t="s">
        <v>210</v>
      </c>
      <c r="AA2" s="1" t="s">
        <v>211</v>
      </c>
      <c r="AB2" s="1" t="s">
        <v>210</v>
      </c>
      <c r="AC2" s="1" t="s">
        <v>211</v>
      </c>
      <c r="AD2" s="1" t="s">
        <v>210</v>
      </c>
      <c r="AE2" s="1" t="s">
        <v>211</v>
      </c>
      <c r="AF2" s="1" t="s">
        <v>210</v>
      </c>
      <c r="AG2" s="1" t="s">
        <v>211</v>
      </c>
      <c r="AH2" s="1" t="s">
        <v>210</v>
      </c>
      <c r="AI2" s="1" t="s">
        <v>211</v>
      </c>
      <c r="AJ2" s="1" t="s">
        <v>210</v>
      </c>
      <c r="AK2" s="1" t="s">
        <v>211</v>
      </c>
      <c r="AL2" s="1" t="s">
        <v>210</v>
      </c>
      <c r="AM2" s="1" t="s">
        <v>211</v>
      </c>
      <c r="AN2" s="1" t="s">
        <v>210</v>
      </c>
      <c r="AO2" s="1" t="s">
        <v>211</v>
      </c>
      <c r="AP2" s="1" t="s">
        <v>210</v>
      </c>
      <c r="AQ2" s="1" t="s">
        <v>211</v>
      </c>
      <c r="AR2" s="1" t="s">
        <v>210</v>
      </c>
      <c r="AS2" s="1" t="s">
        <v>211</v>
      </c>
      <c r="AT2" s="1" t="s">
        <v>210</v>
      </c>
      <c r="AU2" s="1" t="s">
        <v>211</v>
      </c>
      <c r="AV2" s="1" t="s">
        <v>210</v>
      </c>
      <c r="AW2" s="1" t="s">
        <v>211</v>
      </c>
      <c r="AX2" s="1" t="s">
        <v>210</v>
      </c>
      <c r="AY2" s="1" t="s">
        <v>211</v>
      </c>
      <c r="AZ2" s="1" t="s">
        <v>210</v>
      </c>
      <c r="BA2" s="1" t="s">
        <v>211</v>
      </c>
      <c r="BB2" s="1" t="s">
        <v>210</v>
      </c>
      <c r="BC2" s="1" t="s">
        <v>211</v>
      </c>
      <c r="BD2" s="1" t="s">
        <v>210</v>
      </c>
      <c r="BE2" s="1" t="s">
        <v>211</v>
      </c>
      <c r="BF2" s="1" t="s">
        <v>210</v>
      </c>
      <c r="BG2" s="1" t="s">
        <v>211</v>
      </c>
      <c r="BH2" s="1" t="s">
        <v>210</v>
      </c>
      <c r="BI2" s="1" t="s">
        <v>211</v>
      </c>
      <c r="BJ2" s="1" t="s">
        <v>210</v>
      </c>
      <c r="BK2" s="1" t="s">
        <v>211</v>
      </c>
      <c r="BL2" s="1" t="s">
        <v>210</v>
      </c>
      <c r="BM2" s="1" t="s">
        <v>211</v>
      </c>
      <c r="BN2" s="1" t="s">
        <v>210</v>
      </c>
      <c r="BO2" s="1" t="s">
        <v>211</v>
      </c>
      <c r="BP2" s="1" t="s">
        <v>210</v>
      </c>
      <c r="BQ2" s="1" t="s">
        <v>211</v>
      </c>
      <c r="BR2" s="1" t="s">
        <v>210</v>
      </c>
      <c r="BS2" s="1" t="s">
        <v>211</v>
      </c>
      <c r="BT2" s="1" t="s">
        <v>210</v>
      </c>
      <c r="BU2" s="1" t="s">
        <v>211</v>
      </c>
      <c r="BV2" s="1" t="s">
        <v>210</v>
      </c>
      <c r="BW2" s="1" t="s">
        <v>211</v>
      </c>
      <c r="BX2" s="1" t="s">
        <v>210</v>
      </c>
      <c r="BY2" s="1" t="s">
        <v>211</v>
      </c>
      <c r="BZ2" s="1" t="s">
        <v>210</v>
      </c>
      <c r="CA2" s="1" t="s">
        <v>211</v>
      </c>
      <c r="CB2" s="1" t="s">
        <v>210</v>
      </c>
      <c r="CC2" s="1" t="s">
        <v>211</v>
      </c>
      <c r="CD2" s="1" t="s">
        <v>210</v>
      </c>
      <c r="CE2" s="1" t="s">
        <v>211</v>
      </c>
      <c r="CF2" s="1" t="s">
        <v>210</v>
      </c>
      <c r="CG2" s="1" t="s">
        <v>211</v>
      </c>
      <c r="CH2" s="1" t="s">
        <v>210</v>
      </c>
      <c r="CI2" s="1" t="s">
        <v>211</v>
      </c>
      <c r="CJ2" s="1" t="s">
        <v>210</v>
      </c>
      <c r="CK2" s="1" t="s">
        <v>211</v>
      </c>
      <c r="CL2" s="1" t="s">
        <v>210</v>
      </c>
      <c r="CM2" s="1" t="s">
        <v>211</v>
      </c>
      <c r="CN2" s="1" t="s">
        <v>210</v>
      </c>
      <c r="CO2" s="1" t="s">
        <v>211</v>
      </c>
      <c r="CP2" s="1" t="s">
        <v>210</v>
      </c>
      <c r="CQ2" s="1" t="s">
        <v>211</v>
      </c>
      <c r="CR2" s="1" t="s">
        <v>210</v>
      </c>
      <c r="CS2" s="1" t="s">
        <v>211</v>
      </c>
      <c r="CT2" s="1" t="s">
        <v>210</v>
      </c>
      <c r="CU2" s="1" t="s">
        <v>211</v>
      </c>
      <c r="CV2" s="1" t="s">
        <v>210</v>
      </c>
      <c r="CW2" s="1" t="s">
        <v>211</v>
      </c>
      <c r="CX2" s="1" t="s">
        <v>210</v>
      </c>
      <c r="CY2" s="1" t="s">
        <v>211</v>
      </c>
      <c r="CZ2" s="1" t="s">
        <v>210</v>
      </c>
      <c r="DA2" s="1" t="s">
        <v>211</v>
      </c>
      <c r="DB2" s="1" t="s">
        <v>210</v>
      </c>
      <c r="DC2" s="1" t="s">
        <v>211</v>
      </c>
      <c r="DD2" s="1" t="s">
        <v>210</v>
      </c>
      <c r="DE2" s="1" t="s">
        <v>211</v>
      </c>
      <c r="DF2" s="1" t="s">
        <v>210</v>
      </c>
      <c r="DG2" s="1" t="s">
        <v>211</v>
      </c>
      <c r="DH2" s="1" t="s">
        <v>210</v>
      </c>
      <c r="DI2" s="1" t="s">
        <v>211</v>
      </c>
      <c r="DJ2" s="1" t="s">
        <v>210</v>
      </c>
      <c r="DK2" s="1" t="s">
        <v>211</v>
      </c>
      <c r="DL2" s="1" t="s">
        <v>210</v>
      </c>
      <c r="DM2" s="1" t="s">
        <v>211</v>
      </c>
      <c r="DN2" s="1" t="s">
        <v>210</v>
      </c>
      <c r="DO2" s="1" t="s">
        <v>211</v>
      </c>
      <c r="DP2" s="1" t="s">
        <v>210</v>
      </c>
      <c r="DQ2" s="1" t="s">
        <v>211</v>
      </c>
      <c r="DR2" s="1" t="s">
        <v>210</v>
      </c>
      <c r="DS2" s="1" t="s">
        <v>211</v>
      </c>
      <c r="DT2" s="1" t="s">
        <v>210</v>
      </c>
      <c r="DU2" s="1" t="s">
        <v>211</v>
      </c>
      <c r="DV2" s="1" t="s">
        <v>210</v>
      </c>
      <c r="DW2" s="1" t="s">
        <v>211</v>
      </c>
      <c r="DX2" s="1" t="s">
        <v>210</v>
      </c>
      <c r="DY2" s="1" t="s">
        <v>211</v>
      </c>
      <c r="DZ2" s="1" t="s">
        <v>210</v>
      </c>
      <c r="EA2" s="1" t="s">
        <v>211</v>
      </c>
      <c r="EB2" s="1" t="s">
        <v>210</v>
      </c>
      <c r="EC2" s="1" t="s">
        <v>211</v>
      </c>
      <c r="ED2" s="1" t="s">
        <v>210</v>
      </c>
      <c r="EE2" s="1" t="s">
        <v>211</v>
      </c>
      <c r="EF2" s="1" t="s">
        <v>210</v>
      </c>
      <c r="EG2" s="1" t="s">
        <v>211</v>
      </c>
      <c r="EH2" s="1" t="s">
        <v>210</v>
      </c>
      <c r="EI2" s="1" t="s">
        <v>211</v>
      </c>
      <c r="EJ2" s="1" t="s">
        <v>210</v>
      </c>
      <c r="EK2" s="1" t="s">
        <v>211</v>
      </c>
      <c r="EL2" s="1" t="s">
        <v>210</v>
      </c>
      <c r="EM2" s="1" t="s">
        <v>211</v>
      </c>
      <c r="EN2" s="1" t="s">
        <v>210</v>
      </c>
      <c r="EO2" s="1" t="s">
        <v>211</v>
      </c>
      <c r="EP2" s="1" t="s">
        <v>210</v>
      </c>
      <c r="EQ2" s="1" t="s">
        <v>211</v>
      </c>
      <c r="ER2" s="1" t="s">
        <v>210</v>
      </c>
      <c r="ES2" s="1" t="s">
        <v>211</v>
      </c>
      <c r="ET2" s="1" t="s">
        <v>210</v>
      </c>
      <c r="EU2" s="1" t="s">
        <v>211</v>
      </c>
      <c r="EV2" s="1" t="s">
        <v>210</v>
      </c>
      <c r="EW2" s="1" t="s">
        <v>211</v>
      </c>
      <c r="EX2" s="1" t="s">
        <v>210</v>
      </c>
      <c r="EY2" s="1" t="s">
        <v>211</v>
      </c>
      <c r="EZ2" s="1" t="s">
        <v>210</v>
      </c>
      <c r="FA2" s="1" t="s">
        <v>211</v>
      </c>
      <c r="FB2" s="1" t="s">
        <v>210</v>
      </c>
      <c r="FC2" s="1" t="s">
        <v>211</v>
      </c>
      <c r="FD2" s="1" t="s">
        <v>210</v>
      </c>
      <c r="FE2" s="1" t="s">
        <v>211</v>
      </c>
      <c r="FF2" s="1" t="s">
        <v>210</v>
      </c>
      <c r="FG2" s="1" t="s">
        <v>211</v>
      </c>
      <c r="FH2" s="1" t="s">
        <v>210</v>
      </c>
      <c r="FI2" s="1" t="s">
        <v>211</v>
      </c>
      <c r="FJ2" s="1" t="s">
        <v>210</v>
      </c>
      <c r="FK2" s="1" t="s">
        <v>211</v>
      </c>
      <c r="FL2" s="1" t="s">
        <v>210</v>
      </c>
      <c r="FM2" s="1" t="s">
        <v>211</v>
      </c>
      <c r="FN2" s="1" t="s">
        <v>210</v>
      </c>
      <c r="FO2" s="1" t="s">
        <v>211</v>
      </c>
      <c r="FP2" s="1" t="s">
        <v>210</v>
      </c>
      <c r="FQ2" s="1" t="s">
        <v>211</v>
      </c>
      <c r="FR2" s="2" t="s">
        <v>210</v>
      </c>
      <c r="FS2" s="1" t="s">
        <v>211</v>
      </c>
      <c r="FT2" s="1"/>
      <c r="FU2" s="1"/>
      <c r="FV2" s="1"/>
      <c r="FW2" s="1"/>
      <c r="FX2" s="1"/>
      <c r="FY2" s="1"/>
      <c r="FZ2" s="1"/>
      <c r="GA2" s="1"/>
      <c r="GD2" s="1"/>
      <c r="GE2" s="1"/>
      <c r="GH2" s="1"/>
      <c r="GI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</row>
    <row r="3" spans="1:209" x14ac:dyDescent="0.25">
      <c r="A3" s="60" t="s">
        <v>758</v>
      </c>
      <c r="B3" s="57" t="s">
        <v>760</v>
      </c>
      <c r="C3" s="72" t="s">
        <v>761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58"/>
      <c r="EH3" s="58"/>
      <c r="EI3" s="58"/>
      <c r="EJ3" s="58"/>
      <c r="EK3" s="58"/>
      <c r="EL3" s="58"/>
      <c r="EM3" s="58"/>
      <c r="EN3" s="58"/>
      <c r="EO3" s="58"/>
      <c r="EP3" s="58"/>
      <c r="EQ3" s="58"/>
      <c r="ER3" s="58"/>
      <c r="ES3" s="58"/>
      <c r="ET3" s="58"/>
      <c r="EU3" s="58"/>
      <c r="EV3" s="58"/>
      <c r="EW3" s="58"/>
      <c r="EX3" s="58"/>
      <c r="EY3" s="58"/>
      <c r="EZ3" s="58"/>
      <c r="FA3" s="58"/>
      <c r="FB3" s="58"/>
      <c r="FC3" s="58"/>
      <c r="FD3" s="58"/>
      <c r="FE3" s="58"/>
      <c r="FF3" s="58"/>
      <c r="FG3" s="58"/>
      <c r="FH3" s="58"/>
      <c r="FI3" s="58"/>
      <c r="FJ3" s="58"/>
      <c r="FK3" s="58"/>
      <c r="FL3" s="58"/>
      <c r="FM3" s="58"/>
      <c r="FN3" s="58"/>
      <c r="FO3" s="58"/>
      <c r="FP3" s="58"/>
      <c r="FQ3" s="58"/>
      <c r="FR3" s="58"/>
      <c r="FS3" s="58"/>
      <c r="FT3" s="58"/>
      <c r="FU3" s="58"/>
      <c r="FV3" s="58"/>
      <c r="FW3" s="58"/>
      <c r="FX3" s="58"/>
      <c r="FY3" s="58"/>
      <c r="FZ3" s="58"/>
      <c r="GA3" s="58"/>
      <c r="GB3" s="58"/>
      <c r="GC3" s="58"/>
      <c r="GD3" s="58"/>
      <c r="GE3" s="58"/>
      <c r="GF3" s="75"/>
      <c r="GG3" s="74"/>
      <c r="GH3" s="58"/>
      <c r="GI3" s="58"/>
      <c r="GJ3" s="58"/>
      <c r="GK3" s="58"/>
      <c r="GL3" s="58"/>
      <c r="GM3" s="58"/>
      <c r="GN3" s="58"/>
      <c r="GO3" s="58"/>
      <c r="GP3" s="58"/>
      <c r="GQ3" s="58"/>
      <c r="GR3" s="58"/>
      <c r="GS3" s="58"/>
      <c r="GT3" s="58"/>
      <c r="GU3" s="58"/>
      <c r="GV3" s="58"/>
      <c r="GW3" s="58"/>
      <c r="GX3" s="58"/>
      <c r="GY3" s="58"/>
      <c r="GZ3" s="58"/>
      <c r="HA3" s="74"/>
    </row>
    <row r="4" spans="1:209" x14ac:dyDescent="0.25">
      <c r="A4" s="3" t="s">
        <v>762</v>
      </c>
      <c r="B4" s="4" t="s">
        <v>763</v>
      </c>
      <c r="C4" s="5" t="s">
        <v>764</v>
      </c>
      <c r="D4" s="13">
        <v>910</v>
      </c>
      <c r="E4" s="7">
        <v>134286</v>
      </c>
      <c r="F4" s="13">
        <v>22</v>
      </c>
      <c r="G4" s="7">
        <v>3348.58</v>
      </c>
      <c r="H4" s="13">
        <v>91</v>
      </c>
      <c r="I4" s="7">
        <v>13714.3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13">
        <v>1023</v>
      </c>
      <c r="FS4" s="7">
        <v>151348.88</v>
      </c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13"/>
      <c r="GK4" s="7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</row>
    <row r="5" spans="1:209" x14ac:dyDescent="0.25">
      <c r="A5" s="3" t="s">
        <v>765</v>
      </c>
      <c r="B5" s="4" t="s">
        <v>766</v>
      </c>
      <c r="C5" s="5" t="s">
        <v>767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13"/>
      <c r="GC5" s="7"/>
      <c r="GD5" s="6"/>
      <c r="GE5" s="6"/>
      <c r="GF5" s="13"/>
      <c r="GG5" s="7"/>
      <c r="GH5" s="6"/>
      <c r="GI5" s="6"/>
      <c r="GJ5" s="13"/>
      <c r="GK5" s="7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</row>
    <row r="6" spans="1:209" x14ac:dyDescent="0.25">
      <c r="A6" s="3" t="s">
        <v>768</v>
      </c>
      <c r="B6" s="4" t="s">
        <v>769</v>
      </c>
      <c r="C6" s="5" t="s">
        <v>770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13"/>
      <c r="GC6" s="7"/>
      <c r="GD6" s="6"/>
      <c r="GE6" s="6"/>
      <c r="GF6" s="6"/>
      <c r="GG6" s="7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</row>
    <row r="7" spans="1:209" x14ac:dyDescent="0.25">
      <c r="A7" s="3" t="s">
        <v>771</v>
      </c>
      <c r="B7" s="4" t="s">
        <v>772</v>
      </c>
      <c r="C7" s="5" t="s">
        <v>773</v>
      </c>
      <c r="D7" s="6"/>
      <c r="E7" s="6"/>
      <c r="F7" s="6"/>
      <c r="G7" s="6"/>
      <c r="H7" s="6"/>
      <c r="I7" s="6"/>
      <c r="J7" s="13">
        <v>273</v>
      </c>
      <c r="K7" s="7">
        <v>46085.7</v>
      </c>
      <c r="L7" s="13">
        <v>137</v>
      </c>
      <c r="M7" s="7">
        <v>22767.9</v>
      </c>
      <c r="N7" s="13">
        <v>91</v>
      </c>
      <c r="O7" s="7">
        <v>14642.9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13">
        <v>501</v>
      </c>
      <c r="FS7" s="7">
        <v>83496.5</v>
      </c>
      <c r="FT7" s="6"/>
      <c r="FU7" s="6"/>
      <c r="FV7" s="6"/>
      <c r="FW7" s="6"/>
      <c r="FX7" s="6"/>
      <c r="FY7" s="6"/>
      <c r="FZ7" s="6"/>
      <c r="GA7" s="6"/>
      <c r="GB7" s="13"/>
      <c r="GC7" s="7"/>
      <c r="GD7" s="6"/>
      <c r="GE7" s="6"/>
      <c r="GF7" s="6"/>
      <c r="GG7" s="7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13"/>
      <c r="HA7" s="7"/>
    </row>
    <row r="8" spans="1:209" x14ac:dyDescent="0.25">
      <c r="A8" s="3" t="s">
        <v>774</v>
      </c>
      <c r="B8" s="4" t="s">
        <v>775</v>
      </c>
      <c r="C8" s="5" t="s">
        <v>776</v>
      </c>
      <c r="D8" s="6"/>
      <c r="E8" s="6"/>
      <c r="F8" s="6"/>
      <c r="G8" s="6"/>
      <c r="H8" s="6"/>
      <c r="I8" s="6"/>
      <c r="J8" s="13">
        <v>364</v>
      </c>
      <c r="K8" s="7">
        <v>60952.4</v>
      </c>
      <c r="L8" s="13">
        <v>91</v>
      </c>
      <c r="M8" s="7">
        <v>15000</v>
      </c>
      <c r="N8" s="13">
        <v>137</v>
      </c>
      <c r="O8" s="7">
        <v>21696.45</v>
      </c>
      <c r="P8" s="13">
        <v>46</v>
      </c>
      <c r="Q8" s="7">
        <v>7619.05</v>
      </c>
      <c r="R8" s="13">
        <v>91</v>
      </c>
      <c r="S8" s="7">
        <v>16095.25</v>
      </c>
      <c r="T8" s="13">
        <v>46</v>
      </c>
      <c r="U8" s="7">
        <v>6380.95</v>
      </c>
      <c r="V8" s="6"/>
      <c r="W8" s="7">
        <v>2057.14</v>
      </c>
      <c r="X8" s="13">
        <v>10</v>
      </c>
      <c r="Y8" s="7">
        <v>2400</v>
      </c>
      <c r="Z8" s="13">
        <v>5</v>
      </c>
      <c r="AA8" s="7">
        <v>1219.05</v>
      </c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7">
        <v>133420.29</v>
      </c>
      <c r="FT8" s="6"/>
      <c r="FU8" s="6"/>
      <c r="FV8" s="6"/>
      <c r="FW8" s="6"/>
      <c r="FX8" s="6"/>
      <c r="FY8" s="6"/>
      <c r="FZ8" s="6"/>
      <c r="GA8" s="6"/>
      <c r="GB8" s="13"/>
      <c r="GC8" s="7"/>
      <c r="GD8" s="6"/>
      <c r="GE8" s="6"/>
      <c r="GF8" s="13"/>
      <c r="GG8" s="7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13"/>
      <c r="HA8" s="7"/>
    </row>
    <row r="9" spans="1:209" x14ac:dyDescent="0.25">
      <c r="A9" s="3" t="s">
        <v>777</v>
      </c>
      <c r="B9" s="4" t="s">
        <v>778</v>
      </c>
      <c r="C9" s="5" t="s">
        <v>779</v>
      </c>
      <c r="D9" s="6"/>
      <c r="E9" s="6"/>
      <c r="F9" s="6"/>
      <c r="G9" s="6"/>
      <c r="H9" s="6"/>
      <c r="I9" s="6"/>
      <c r="J9" s="13">
        <v>1001</v>
      </c>
      <c r="K9" s="7">
        <v>169191</v>
      </c>
      <c r="L9" s="6"/>
      <c r="M9" s="6"/>
      <c r="N9" s="6"/>
      <c r="O9" s="6"/>
      <c r="P9" s="13">
        <v>91</v>
      </c>
      <c r="Q9" s="7">
        <v>15381</v>
      </c>
      <c r="R9" s="6"/>
      <c r="S9" s="6"/>
      <c r="T9" s="6"/>
      <c r="U9" s="6"/>
      <c r="V9" s="6"/>
      <c r="W9" s="6"/>
      <c r="X9" s="6"/>
      <c r="Y9" s="6"/>
      <c r="Z9" s="6"/>
      <c r="AA9" s="6"/>
      <c r="AB9" s="13">
        <v>150</v>
      </c>
      <c r="AC9" s="7">
        <v>9128.5499999999993</v>
      </c>
      <c r="AD9" s="13">
        <v>108</v>
      </c>
      <c r="AE9" s="7">
        <v>8142.9</v>
      </c>
      <c r="AF9" s="13">
        <v>50</v>
      </c>
      <c r="AG9" s="7">
        <v>5261.9</v>
      </c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13">
        <v>100</v>
      </c>
      <c r="BE9" s="7">
        <v>34152.36</v>
      </c>
      <c r="BF9" s="13">
        <v>46</v>
      </c>
      <c r="BG9" s="7">
        <v>15238.1</v>
      </c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7">
        <v>256495.81</v>
      </c>
      <c r="FT9" s="6"/>
      <c r="FU9" s="6"/>
      <c r="FV9" s="6"/>
      <c r="FW9" s="6"/>
      <c r="FX9" s="6"/>
      <c r="FY9" s="6"/>
      <c r="FZ9" s="6"/>
      <c r="GA9" s="6"/>
      <c r="GB9" s="13"/>
      <c r="GC9" s="7"/>
      <c r="GD9" s="6"/>
      <c r="GE9" s="6"/>
      <c r="GF9" s="6"/>
      <c r="GG9" s="6"/>
      <c r="GH9" s="6"/>
      <c r="GI9" s="6"/>
      <c r="GJ9" s="13"/>
      <c r="GK9" s="7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13"/>
      <c r="HA9" s="7"/>
    </row>
    <row r="10" spans="1:209" x14ac:dyDescent="0.25">
      <c r="A10" s="3" t="s">
        <v>780</v>
      </c>
      <c r="B10" s="4" t="s">
        <v>781</v>
      </c>
      <c r="C10" s="5" t="s">
        <v>782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13"/>
      <c r="GC10" s="7"/>
      <c r="GD10" s="6"/>
      <c r="GE10" s="6"/>
      <c r="GF10" s="13"/>
      <c r="GG10" s="7"/>
      <c r="GH10" s="6"/>
      <c r="GI10" s="6"/>
      <c r="GJ10" s="13"/>
      <c r="GK10" s="7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</row>
    <row r="11" spans="1:209" x14ac:dyDescent="0.25">
      <c r="A11" s="3" t="s">
        <v>783</v>
      </c>
      <c r="B11" s="4" t="s">
        <v>784</v>
      </c>
      <c r="C11" s="5" t="s">
        <v>785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13"/>
      <c r="GC11" s="7"/>
      <c r="GD11" s="6"/>
      <c r="GE11" s="6"/>
      <c r="GF11" s="13"/>
      <c r="GG11" s="7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</row>
    <row r="12" spans="1:209" x14ac:dyDescent="0.25">
      <c r="A12" s="3" t="s">
        <v>786</v>
      </c>
      <c r="B12" s="4" t="s">
        <v>787</v>
      </c>
      <c r="C12" s="5" t="s">
        <v>788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</row>
    <row r="13" spans="1:209" x14ac:dyDescent="0.25">
      <c r="A13" s="3" t="s">
        <v>789</v>
      </c>
      <c r="B13" s="4" t="s">
        <v>790</v>
      </c>
      <c r="C13" s="5" t="s">
        <v>791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7">
        <v>2031.43</v>
      </c>
      <c r="X13" s="6"/>
      <c r="Y13" s="6"/>
      <c r="Z13" s="6"/>
      <c r="AA13" s="6"/>
      <c r="AB13" s="6"/>
      <c r="AC13" s="6"/>
      <c r="AD13" s="6"/>
      <c r="AE13" s="6"/>
      <c r="AF13" s="13">
        <v>20</v>
      </c>
      <c r="AG13" s="7">
        <v>2247.62</v>
      </c>
      <c r="AH13" s="13">
        <v>10</v>
      </c>
      <c r="AI13" s="7">
        <v>2976.19</v>
      </c>
      <c r="AJ13" s="13">
        <v>5</v>
      </c>
      <c r="AK13" s="7">
        <v>1377.12</v>
      </c>
      <c r="AL13" s="6"/>
      <c r="AM13" s="7">
        <v>4465.71</v>
      </c>
      <c r="AN13" s="6"/>
      <c r="AO13" s="7">
        <v>4465.71</v>
      </c>
      <c r="AP13" s="6"/>
      <c r="AQ13" s="7">
        <v>4465.71</v>
      </c>
      <c r="AR13" s="6"/>
      <c r="AS13" s="7">
        <v>4465.71</v>
      </c>
      <c r="AT13" s="6"/>
      <c r="AU13" s="7">
        <v>2031.43</v>
      </c>
      <c r="AV13" s="6"/>
      <c r="AW13" s="7">
        <v>2031.43</v>
      </c>
      <c r="AX13" s="6"/>
      <c r="AY13" s="7">
        <v>2031.43</v>
      </c>
      <c r="AZ13" s="6"/>
      <c r="BA13" s="7">
        <v>2031.43</v>
      </c>
      <c r="BB13" s="6"/>
      <c r="BC13" s="7">
        <v>4465.71</v>
      </c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7">
        <v>39086.629999999997</v>
      </c>
      <c r="FT13" s="6"/>
      <c r="FU13" s="6"/>
      <c r="FV13" s="6"/>
      <c r="FW13" s="6"/>
      <c r="FX13" s="6"/>
      <c r="FY13" s="6"/>
      <c r="FZ13" s="6"/>
      <c r="GA13" s="6"/>
      <c r="GB13" s="13"/>
      <c r="GC13" s="7"/>
      <c r="GD13" s="6"/>
      <c r="GE13" s="6"/>
      <c r="GF13" s="13"/>
      <c r="GG13" s="7"/>
      <c r="GH13" s="6"/>
      <c r="GI13" s="6"/>
      <c r="GJ13" s="6"/>
      <c r="GK13" s="7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</row>
    <row r="14" spans="1:209" x14ac:dyDescent="0.25">
      <c r="A14" s="3" t="s">
        <v>792</v>
      </c>
      <c r="B14" s="4" t="s">
        <v>793</v>
      </c>
      <c r="C14" s="5" t="s">
        <v>794</v>
      </c>
      <c r="D14" s="13">
        <v>1820</v>
      </c>
      <c r="E14" s="7">
        <v>268572</v>
      </c>
      <c r="F14" s="13">
        <v>218</v>
      </c>
      <c r="G14" s="7">
        <v>33485.800000000003</v>
      </c>
      <c r="H14" s="13">
        <v>455</v>
      </c>
      <c r="I14" s="7">
        <v>68095.25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13">
        <v>5</v>
      </c>
      <c r="AK14" s="7">
        <v>1377.12</v>
      </c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13">
        <v>50</v>
      </c>
      <c r="BI14" s="7">
        <v>3880.95</v>
      </c>
      <c r="BJ14" s="13">
        <v>29</v>
      </c>
      <c r="BK14" s="7">
        <v>4500</v>
      </c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13">
        <v>2577</v>
      </c>
      <c r="FS14" s="7">
        <v>379911.12</v>
      </c>
      <c r="FT14" s="6"/>
      <c r="FU14" s="6"/>
      <c r="FV14" s="6"/>
      <c r="FW14" s="6"/>
      <c r="FX14" s="6"/>
      <c r="FY14" s="6"/>
      <c r="FZ14" s="6"/>
      <c r="GA14" s="6"/>
      <c r="GB14" s="13"/>
      <c r="GC14" s="7"/>
      <c r="GD14" s="6"/>
      <c r="GE14" s="6"/>
      <c r="GF14" s="6"/>
      <c r="GG14" s="6"/>
      <c r="GH14" s="6"/>
      <c r="GI14" s="6"/>
      <c r="GJ14" s="13"/>
      <c r="GK14" s="7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</row>
    <row r="15" spans="1:209" x14ac:dyDescent="0.25">
      <c r="A15" s="3" t="s">
        <v>795</v>
      </c>
      <c r="B15" s="4" t="s">
        <v>796</v>
      </c>
      <c r="C15" s="5" t="s">
        <v>797</v>
      </c>
      <c r="D15" s="13">
        <v>3640</v>
      </c>
      <c r="E15" s="7">
        <v>534860</v>
      </c>
      <c r="F15" s="6"/>
      <c r="G15" s="6"/>
      <c r="H15" s="13">
        <v>182</v>
      </c>
      <c r="I15" s="7">
        <v>27219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13">
        <v>910</v>
      </c>
      <c r="BM15" s="7">
        <v>135143</v>
      </c>
      <c r="BN15" s="13">
        <v>46</v>
      </c>
      <c r="BO15" s="7">
        <v>6923.8</v>
      </c>
      <c r="BP15" s="13">
        <v>26</v>
      </c>
      <c r="BQ15" s="7">
        <v>5000</v>
      </c>
      <c r="BR15" s="13">
        <v>32</v>
      </c>
      <c r="BS15" s="7">
        <v>5000</v>
      </c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13">
        <v>4836</v>
      </c>
      <c r="FS15" s="7">
        <v>714145.8</v>
      </c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13"/>
      <c r="GG15" s="7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</row>
    <row r="16" spans="1:209" x14ac:dyDescent="0.25">
      <c r="A16" s="3" t="s">
        <v>798</v>
      </c>
      <c r="B16" s="4" t="s">
        <v>799</v>
      </c>
      <c r="C16" s="5" t="s">
        <v>800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13"/>
      <c r="GG16" s="7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</row>
    <row r="17" spans="1:209" x14ac:dyDescent="0.25">
      <c r="A17" s="3" t="s">
        <v>801</v>
      </c>
      <c r="B17" s="4" t="s">
        <v>802</v>
      </c>
      <c r="C17" s="5" t="s">
        <v>803</v>
      </c>
      <c r="D17" s="13">
        <v>1365</v>
      </c>
      <c r="E17" s="7">
        <v>197572.5</v>
      </c>
      <c r="F17" s="6"/>
      <c r="G17" s="6"/>
      <c r="H17" s="13">
        <v>182</v>
      </c>
      <c r="I17" s="7">
        <v>26533.3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13">
        <v>228</v>
      </c>
      <c r="BM17" s="7">
        <v>33285.75</v>
      </c>
      <c r="BN17" s="6"/>
      <c r="BO17" s="6"/>
      <c r="BP17" s="6"/>
      <c r="BQ17" s="6"/>
      <c r="BR17" s="6"/>
      <c r="BS17" s="6"/>
      <c r="BT17" s="13">
        <v>455</v>
      </c>
      <c r="BU17" s="7">
        <v>74666.5</v>
      </c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13">
        <v>2230</v>
      </c>
      <c r="FS17" s="7">
        <v>332058.05</v>
      </c>
      <c r="FT17" s="6"/>
      <c r="FU17" s="6"/>
      <c r="FV17" s="6"/>
      <c r="FW17" s="6"/>
      <c r="FX17" s="6"/>
      <c r="FY17" s="6"/>
      <c r="FZ17" s="6"/>
      <c r="GA17" s="6"/>
      <c r="GB17" s="6"/>
      <c r="GC17" s="7"/>
      <c r="GD17" s="6"/>
      <c r="GE17" s="6"/>
      <c r="GF17" s="6"/>
      <c r="GG17" s="6"/>
      <c r="GH17" s="6"/>
      <c r="GI17" s="6"/>
      <c r="GJ17" s="13"/>
      <c r="GK17" s="7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</row>
    <row r="18" spans="1:209" x14ac:dyDescent="0.25">
      <c r="A18" s="3" t="s">
        <v>804</v>
      </c>
      <c r="B18" s="4" t="s">
        <v>805</v>
      </c>
      <c r="C18" s="5" t="s">
        <v>806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13"/>
      <c r="GG18" s="7"/>
      <c r="GH18" s="6"/>
      <c r="GI18" s="6"/>
      <c r="GJ18" s="13"/>
      <c r="GK18" s="7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13"/>
      <c r="HA18" s="7"/>
    </row>
    <row r="19" spans="1:209" x14ac:dyDescent="0.25">
      <c r="A19" s="3" t="s">
        <v>807</v>
      </c>
      <c r="B19" s="4" t="s">
        <v>808</v>
      </c>
      <c r="C19" s="5" t="s">
        <v>809</v>
      </c>
      <c r="D19" s="13">
        <v>1092</v>
      </c>
      <c r="E19" s="7">
        <v>165600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13">
        <v>1092</v>
      </c>
      <c r="FS19" s="7">
        <v>165600</v>
      </c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13"/>
      <c r="GG19" s="7"/>
      <c r="GH19" s="6"/>
      <c r="GI19" s="6"/>
      <c r="GJ19" s="6"/>
      <c r="GK19" s="7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7"/>
    </row>
    <row r="20" spans="1:209" x14ac:dyDescent="0.25">
      <c r="A20" s="3" t="s">
        <v>810</v>
      </c>
      <c r="B20" s="4" t="s">
        <v>811</v>
      </c>
      <c r="C20" s="5" t="s">
        <v>812</v>
      </c>
      <c r="D20" s="13">
        <v>728</v>
      </c>
      <c r="E20" s="7">
        <v>106666.4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13">
        <v>182</v>
      </c>
      <c r="BM20" s="7">
        <v>26952.400000000001</v>
      </c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13">
        <v>910</v>
      </c>
      <c r="FS20" s="7">
        <v>133618.79999999999</v>
      </c>
      <c r="FT20" s="6"/>
      <c r="FU20" s="6"/>
      <c r="FV20" s="6"/>
      <c r="FW20" s="6"/>
      <c r="FX20" s="6"/>
      <c r="FY20" s="6"/>
      <c r="FZ20" s="6"/>
      <c r="GA20" s="6"/>
      <c r="GB20" s="6"/>
      <c r="GC20" s="7"/>
      <c r="GD20" s="6"/>
      <c r="GE20" s="6"/>
      <c r="GF20" s="6"/>
      <c r="GG20" s="7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13"/>
      <c r="HA20" s="7"/>
    </row>
    <row r="21" spans="1:209" x14ac:dyDescent="0.25">
      <c r="A21" s="3" t="s">
        <v>813</v>
      </c>
      <c r="B21" s="4" t="s">
        <v>814</v>
      </c>
      <c r="C21" s="5" t="s">
        <v>815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13">
        <v>46</v>
      </c>
      <c r="U21" s="7">
        <v>6428.55</v>
      </c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13">
        <v>46</v>
      </c>
      <c r="FS21" s="7">
        <v>6428.55</v>
      </c>
      <c r="FT21" s="6"/>
      <c r="FU21" s="6"/>
      <c r="FV21" s="6"/>
      <c r="FW21" s="6"/>
      <c r="FX21" s="6"/>
      <c r="FY21" s="6"/>
      <c r="FZ21" s="6"/>
      <c r="GA21" s="6"/>
      <c r="GB21" s="13"/>
      <c r="GC21" s="7"/>
      <c r="GD21" s="6"/>
      <c r="GE21" s="6"/>
      <c r="GF21" s="13"/>
      <c r="GG21" s="7"/>
      <c r="GH21" s="6"/>
      <c r="GI21" s="6"/>
      <c r="GJ21" s="13"/>
      <c r="GK21" s="7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13"/>
      <c r="HA21" s="7"/>
    </row>
    <row r="22" spans="1:209" x14ac:dyDescent="0.25">
      <c r="A22" s="3" t="s">
        <v>816</v>
      </c>
      <c r="B22" s="4" t="s">
        <v>817</v>
      </c>
      <c r="C22" s="5" t="s">
        <v>818</v>
      </c>
      <c r="D22" s="13">
        <v>819</v>
      </c>
      <c r="E22" s="7">
        <v>119828.7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13">
        <v>182</v>
      </c>
      <c r="BM22" s="7">
        <v>26914.2</v>
      </c>
      <c r="BN22" s="6"/>
      <c r="BO22" s="6"/>
      <c r="BP22" s="6"/>
      <c r="BQ22" s="6"/>
      <c r="BR22" s="6"/>
      <c r="BS22" s="6"/>
      <c r="BT22" s="6"/>
      <c r="BU22" s="6"/>
      <c r="BV22" s="13">
        <v>228</v>
      </c>
      <c r="BW22" s="7">
        <v>37142.75</v>
      </c>
      <c r="BX22" s="13">
        <v>182</v>
      </c>
      <c r="BY22" s="7">
        <v>28190.400000000001</v>
      </c>
      <c r="BZ22" s="13">
        <v>46</v>
      </c>
      <c r="CA22" s="7">
        <v>7714.3</v>
      </c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13">
        <v>1457</v>
      </c>
      <c r="FS22" s="7">
        <v>219790.35</v>
      </c>
      <c r="FT22" s="6"/>
      <c r="FU22" s="6"/>
      <c r="FV22" s="6"/>
      <c r="FW22" s="6"/>
      <c r="FX22" s="6"/>
      <c r="FY22" s="6"/>
      <c r="FZ22" s="6"/>
      <c r="GA22" s="6"/>
      <c r="GB22" s="13"/>
      <c r="GC22" s="7"/>
      <c r="GD22" s="6"/>
      <c r="GE22" s="6"/>
      <c r="GF22" s="6"/>
      <c r="GG22" s="6"/>
      <c r="GH22" s="6"/>
      <c r="GI22" s="6"/>
      <c r="GJ22" s="13"/>
      <c r="GK22" s="7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13"/>
      <c r="HA22" s="7"/>
    </row>
    <row r="23" spans="1:209" x14ac:dyDescent="0.25">
      <c r="A23" s="3" t="s">
        <v>819</v>
      </c>
      <c r="B23" s="4" t="s">
        <v>820</v>
      </c>
      <c r="C23" s="5" t="s">
        <v>821</v>
      </c>
      <c r="D23" s="13">
        <v>819</v>
      </c>
      <c r="E23" s="7">
        <v>119828.7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13">
        <v>182</v>
      </c>
      <c r="BM23" s="7">
        <v>26914.2</v>
      </c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13">
        <v>1001</v>
      </c>
      <c r="FS23" s="7">
        <v>146742.9</v>
      </c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13"/>
      <c r="GK23" s="7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7"/>
    </row>
    <row r="24" spans="1:209" x14ac:dyDescent="0.25">
      <c r="A24" s="3" t="s">
        <v>822</v>
      </c>
      <c r="B24" s="4" t="s">
        <v>823</v>
      </c>
      <c r="C24" s="5" t="s">
        <v>824</v>
      </c>
      <c r="D24" s="13">
        <v>2730</v>
      </c>
      <c r="E24" s="7">
        <v>401145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13">
        <v>2730</v>
      </c>
      <c r="FS24" s="7">
        <v>401145</v>
      </c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13"/>
      <c r="GG24" s="7"/>
      <c r="GH24" s="6"/>
      <c r="GI24" s="6"/>
      <c r="GJ24" s="6"/>
      <c r="GK24" s="7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</row>
    <row r="25" spans="1:209" x14ac:dyDescent="0.25">
      <c r="A25" s="3" t="s">
        <v>825</v>
      </c>
      <c r="B25" s="4" t="s">
        <v>826</v>
      </c>
      <c r="C25" s="5" t="s">
        <v>827</v>
      </c>
      <c r="D25" s="13">
        <v>774</v>
      </c>
      <c r="E25" s="7">
        <v>113738.5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13">
        <v>228</v>
      </c>
      <c r="U25" s="7">
        <v>32142.75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13">
        <v>1002</v>
      </c>
      <c r="FS25" s="7">
        <v>145881.25</v>
      </c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7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13"/>
      <c r="HA25" s="7"/>
    </row>
    <row r="26" spans="1:209" x14ac:dyDescent="0.25">
      <c r="A26" s="3" t="s">
        <v>828</v>
      </c>
      <c r="B26" s="4" t="s">
        <v>829</v>
      </c>
      <c r="C26" s="5" t="s">
        <v>830</v>
      </c>
      <c r="D26" s="13">
        <v>546</v>
      </c>
      <c r="E26" s="7">
        <v>80286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13">
        <v>364</v>
      </c>
      <c r="BM26" s="7">
        <v>54095.199999999997</v>
      </c>
      <c r="BN26" s="6"/>
      <c r="BO26" s="6"/>
      <c r="BP26" s="6"/>
      <c r="BQ26" s="6"/>
      <c r="BR26" s="6"/>
      <c r="BS26" s="6"/>
      <c r="BT26" s="6"/>
      <c r="BU26" s="6"/>
      <c r="BV26" s="13">
        <v>273</v>
      </c>
      <c r="BW26" s="7">
        <v>44142.9</v>
      </c>
      <c r="BX26" s="13">
        <v>137</v>
      </c>
      <c r="BY26" s="7">
        <v>21214.35</v>
      </c>
      <c r="BZ26" s="13">
        <v>46</v>
      </c>
      <c r="CA26" s="7">
        <v>7928.55</v>
      </c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13">
        <v>1366</v>
      </c>
      <c r="FS26" s="7">
        <v>207667</v>
      </c>
      <c r="FT26" s="6"/>
      <c r="FU26" s="6"/>
      <c r="FV26" s="6"/>
      <c r="FW26" s="6"/>
      <c r="FX26" s="6"/>
      <c r="FY26" s="6"/>
      <c r="FZ26" s="6"/>
      <c r="GA26" s="6"/>
      <c r="GB26" s="13"/>
      <c r="GC26" s="7"/>
      <c r="GD26" s="6"/>
      <c r="GE26" s="6"/>
      <c r="GF26" s="6"/>
      <c r="GG26" s="7"/>
      <c r="GH26" s="6"/>
      <c r="GI26" s="6"/>
      <c r="GJ26" s="13"/>
      <c r="GK26" s="7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</row>
    <row r="27" spans="1:209" x14ac:dyDescent="0.25">
      <c r="A27" s="3" t="s">
        <v>831</v>
      </c>
      <c r="B27" s="4" t="s">
        <v>832</v>
      </c>
      <c r="C27" s="5" t="s">
        <v>833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13"/>
      <c r="GC27" s="7"/>
      <c r="GD27" s="6"/>
      <c r="GE27" s="6"/>
      <c r="GF27" s="13"/>
      <c r="GG27" s="7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</row>
    <row r="28" spans="1:209" x14ac:dyDescent="0.25">
      <c r="A28" s="3" t="s">
        <v>834</v>
      </c>
      <c r="B28" s="4" t="s">
        <v>835</v>
      </c>
      <c r="C28" s="5" t="s">
        <v>836</v>
      </c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13"/>
      <c r="GC28" s="7"/>
      <c r="GD28" s="6"/>
      <c r="GE28" s="6"/>
      <c r="GF28" s="6"/>
      <c r="GG28" s="7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</row>
    <row r="29" spans="1:209" x14ac:dyDescent="0.25">
      <c r="A29" s="3" t="s">
        <v>837</v>
      </c>
      <c r="B29" s="4" t="s">
        <v>838</v>
      </c>
      <c r="C29" s="5" t="s">
        <v>839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7"/>
      <c r="GH29" s="6"/>
      <c r="GI29" s="6"/>
      <c r="GJ29" s="13"/>
      <c r="GK29" s="7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</row>
    <row r="30" spans="1:209" x14ac:dyDescent="0.25">
      <c r="A30" s="3" t="s">
        <v>840</v>
      </c>
      <c r="B30" s="4" t="s">
        <v>841</v>
      </c>
      <c r="C30" s="5" t="s">
        <v>842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7"/>
      <c r="GH30" s="6"/>
      <c r="GI30" s="6"/>
      <c r="GJ30" s="13"/>
      <c r="GK30" s="7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</row>
    <row r="31" spans="1:209" x14ac:dyDescent="0.25">
      <c r="A31" s="3" t="s">
        <v>843</v>
      </c>
      <c r="B31" s="4" t="s">
        <v>844</v>
      </c>
      <c r="C31" s="5" t="s">
        <v>845</v>
      </c>
      <c r="D31" s="6"/>
      <c r="E31" s="6"/>
      <c r="F31" s="6"/>
      <c r="G31" s="6"/>
      <c r="H31" s="6"/>
      <c r="I31" s="6"/>
      <c r="J31" s="13">
        <v>5915</v>
      </c>
      <c r="K31" s="7">
        <v>978094</v>
      </c>
      <c r="L31" s="6"/>
      <c r="M31" s="6"/>
      <c r="N31" s="6"/>
      <c r="O31" s="6"/>
      <c r="P31" s="13">
        <v>910</v>
      </c>
      <c r="Q31" s="7">
        <v>150477</v>
      </c>
      <c r="R31" s="6"/>
      <c r="S31" s="6"/>
      <c r="T31" s="13">
        <v>127</v>
      </c>
      <c r="U31" s="7">
        <v>17866.66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13">
        <v>46</v>
      </c>
      <c r="BW31" s="7">
        <v>7500</v>
      </c>
      <c r="BX31" s="13">
        <v>91</v>
      </c>
      <c r="BY31" s="7">
        <v>14238.1</v>
      </c>
      <c r="BZ31" s="6"/>
      <c r="CA31" s="6"/>
      <c r="CB31" s="13">
        <v>2230</v>
      </c>
      <c r="CC31" s="7">
        <v>372167.25</v>
      </c>
      <c r="CD31" s="13">
        <v>46</v>
      </c>
      <c r="CE31" s="7">
        <v>7809.5</v>
      </c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13">
        <v>9365</v>
      </c>
      <c r="FS31" s="7">
        <v>1548152.51</v>
      </c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13"/>
      <c r="GG31" s="7"/>
      <c r="GH31" s="6"/>
      <c r="GI31" s="6"/>
      <c r="GJ31" s="13"/>
      <c r="GK31" s="7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</row>
    <row r="32" spans="1:209" x14ac:dyDescent="0.25">
      <c r="A32" s="3" t="s">
        <v>846</v>
      </c>
      <c r="B32" s="4" t="s">
        <v>847</v>
      </c>
      <c r="C32" s="5" t="s">
        <v>848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13"/>
      <c r="GG32" s="7"/>
      <c r="GH32" s="6"/>
      <c r="GI32" s="6"/>
      <c r="GJ32" s="13"/>
      <c r="GK32" s="7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13"/>
      <c r="HA32" s="7"/>
    </row>
    <row r="33" spans="1:209" x14ac:dyDescent="0.25">
      <c r="A33" s="3" t="s">
        <v>849</v>
      </c>
      <c r="B33" s="4" t="s">
        <v>850</v>
      </c>
      <c r="C33" s="5" t="s">
        <v>851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13"/>
      <c r="GC33" s="7"/>
      <c r="GD33" s="6"/>
      <c r="GE33" s="6"/>
      <c r="GF33" s="13"/>
      <c r="GG33" s="7"/>
      <c r="GH33" s="6"/>
      <c r="GI33" s="6"/>
      <c r="GJ33" s="13"/>
      <c r="GK33" s="7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13"/>
      <c r="HA33" s="7"/>
    </row>
    <row r="34" spans="1:209" x14ac:dyDescent="0.25">
      <c r="A34" s="3" t="s">
        <v>852</v>
      </c>
      <c r="B34" s="4" t="s">
        <v>853</v>
      </c>
      <c r="C34" s="5" t="s">
        <v>854</v>
      </c>
      <c r="D34" s="13">
        <v>6361</v>
      </c>
      <c r="E34" s="7">
        <v>932004.66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13">
        <v>473</v>
      </c>
      <c r="U34" s="7">
        <v>64028.5</v>
      </c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13">
        <v>1346</v>
      </c>
      <c r="BU34" s="7">
        <v>220076.2</v>
      </c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13">
        <v>270</v>
      </c>
      <c r="CG34" s="7">
        <v>22099.98</v>
      </c>
      <c r="CH34" s="13">
        <v>318</v>
      </c>
      <c r="CI34" s="7">
        <v>103333.3</v>
      </c>
      <c r="CJ34" s="13">
        <v>355</v>
      </c>
      <c r="CK34" s="7">
        <v>87790.61</v>
      </c>
      <c r="CL34" s="13">
        <v>200</v>
      </c>
      <c r="CM34" s="7">
        <v>65371.46</v>
      </c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13">
        <v>9323</v>
      </c>
      <c r="FS34" s="7">
        <v>1494704.71</v>
      </c>
      <c r="FT34" s="6"/>
      <c r="FU34" s="6"/>
      <c r="FV34" s="6"/>
      <c r="FW34" s="6"/>
      <c r="FX34" s="6"/>
      <c r="FY34" s="6"/>
      <c r="FZ34" s="6"/>
      <c r="GA34" s="6"/>
      <c r="GB34" s="6"/>
      <c r="GC34" s="7"/>
      <c r="GD34" s="6"/>
      <c r="GE34" s="6"/>
      <c r="GF34" s="6"/>
      <c r="GG34" s="6"/>
      <c r="GH34" s="6"/>
      <c r="GI34" s="6"/>
      <c r="GJ34" s="13"/>
      <c r="GK34" s="7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13"/>
      <c r="HA34" s="7"/>
    </row>
    <row r="35" spans="1:209" x14ac:dyDescent="0.25">
      <c r="A35" s="3" t="s">
        <v>855</v>
      </c>
      <c r="B35" s="4" t="s">
        <v>856</v>
      </c>
      <c r="C35" s="5" t="s">
        <v>857</v>
      </c>
      <c r="D35" s="13">
        <v>3640</v>
      </c>
      <c r="E35" s="7">
        <v>536380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13">
        <v>1820</v>
      </c>
      <c r="BM35" s="7">
        <v>271050</v>
      </c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13">
        <v>5460</v>
      </c>
      <c r="FS35" s="7">
        <v>807430</v>
      </c>
      <c r="FT35" s="6"/>
      <c r="FU35" s="6"/>
      <c r="FV35" s="6"/>
      <c r="FW35" s="6"/>
      <c r="FX35" s="6"/>
      <c r="FY35" s="6"/>
      <c r="FZ35" s="6"/>
      <c r="GA35" s="6"/>
      <c r="GB35" s="13"/>
      <c r="GC35" s="7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</row>
    <row r="36" spans="1:209" x14ac:dyDescent="0.25">
      <c r="A36" s="3" t="s">
        <v>858</v>
      </c>
      <c r="B36" s="4" t="s">
        <v>859</v>
      </c>
      <c r="C36" s="5" t="s">
        <v>860</v>
      </c>
      <c r="D36" s="13">
        <v>455</v>
      </c>
      <c r="E36" s="7">
        <v>67047.5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13">
        <v>455</v>
      </c>
      <c r="FS36" s="7">
        <v>67047.5</v>
      </c>
      <c r="FT36" s="6"/>
      <c r="FU36" s="6"/>
      <c r="FV36" s="6"/>
      <c r="FW36" s="6"/>
      <c r="FX36" s="6"/>
      <c r="FY36" s="6"/>
      <c r="FZ36" s="6"/>
      <c r="GA36" s="6"/>
      <c r="GB36" s="6"/>
      <c r="GC36" s="7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</row>
    <row r="37" spans="1:209" x14ac:dyDescent="0.25">
      <c r="A37" s="3" t="s">
        <v>861</v>
      </c>
      <c r="B37" s="4" t="s">
        <v>862</v>
      </c>
      <c r="C37" s="5" t="s">
        <v>863</v>
      </c>
      <c r="D37" s="13">
        <v>455</v>
      </c>
      <c r="E37" s="7">
        <v>67381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13">
        <v>455</v>
      </c>
      <c r="FS37" s="7">
        <v>67381</v>
      </c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13"/>
      <c r="GG37" s="7"/>
      <c r="GH37" s="6"/>
      <c r="GI37" s="6"/>
      <c r="GJ37" s="13"/>
      <c r="GK37" s="7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</row>
    <row r="38" spans="1:209" x14ac:dyDescent="0.25">
      <c r="A38" s="3" t="s">
        <v>864</v>
      </c>
      <c r="B38" s="4" t="s">
        <v>865</v>
      </c>
      <c r="C38" s="5" t="s">
        <v>866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13"/>
      <c r="GK38" s="7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</row>
    <row r="39" spans="1:209" x14ac:dyDescent="0.25">
      <c r="A39" s="3" t="s">
        <v>867</v>
      </c>
      <c r="B39" s="4" t="s">
        <v>868</v>
      </c>
      <c r="C39" s="5" t="s">
        <v>869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13"/>
      <c r="GG39" s="7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</row>
    <row r="40" spans="1:209" x14ac:dyDescent="0.25">
      <c r="A40" s="3" t="s">
        <v>870</v>
      </c>
      <c r="B40" s="4" t="s">
        <v>871</v>
      </c>
      <c r="C40" s="5" t="s">
        <v>872</v>
      </c>
      <c r="D40" s="6"/>
      <c r="E40" s="6"/>
      <c r="F40" s="6"/>
      <c r="G40" s="6"/>
      <c r="H40" s="6"/>
      <c r="I40" s="6"/>
      <c r="J40" s="13">
        <v>364</v>
      </c>
      <c r="K40" s="7">
        <v>60380.800000000003</v>
      </c>
      <c r="L40" s="6"/>
      <c r="M40" s="6"/>
      <c r="N40" s="6"/>
      <c r="O40" s="6"/>
      <c r="P40" s="13">
        <v>91</v>
      </c>
      <c r="Q40" s="7">
        <v>15095.2</v>
      </c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13">
        <v>7</v>
      </c>
      <c r="CO40" s="7">
        <v>1205.3599999999999</v>
      </c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13">
        <v>462</v>
      </c>
      <c r="FS40" s="7">
        <v>76681.36</v>
      </c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7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</row>
    <row r="41" spans="1:209" x14ac:dyDescent="0.25">
      <c r="A41" s="3" t="s">
        <v>873</v>
      </c>
      <c r="B41" s="4" t="s">
        <v>874</v>
      </c>
      <c r="C41" s="5" t="s">
        <v>875</v>
      </c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13"/>
      <c r="GK41" s="7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</row>
    <row r="42" spans="1:209" x14ac:dyDescent="0.25">
      <c r="A42" s="3" t="s">
        <v>876</v>
      </c>
      <c r="B42" s="4" t="s">
        <v>877</v>
      </c>
      <c r="C42" s="5" t="s">
        <v>878</v>
      </c>
      <c r="D42" s="6"/>
      <c r="E42" s="6"/>
      <c r="F42" s="6"/>
      <c r="G42" s="6"/>
      <c r="H42" s="6"/>
      <c r="I42" s="6"/>
      <c r="J42" s="6"/>
      <c r="K42" s="6"/>
      <c r="L42" s="13">
        <v>137</v>
      </c>
      <c r="M42" s="7">
        <v>22633.95</v>
      </c>
      <c r="N42" s="13">
        <v>91</v>
      </c>
      <c r="O42" s="7">
        <v>14553.6</v>
      </c>
      <c r="P42" s="6"/>
      <c r="Q42" s="6"/>
      <c r="R42" s="6"/>
      <c r="S42" s="6"/>
      <c r="T42" s="13">
        <v>273</v>
      </c>
      <c r="U42" s="7">
        <v>38571.300000000003</v>
      </c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13">
        <v>46</v>
      </c>
      <c r="BW42" s="7">
        <v>7452.4</v>
      </c>
      <c r="BX42" s="13">
        <v>410</v>
      </c>
      <c r="BY42" s="7">
        <v>63643.05</v>
      </c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13">
        <v>91</v>
      </c>
      <c r="CQ42" s="7">
        <v>15089.3</v>
      </c>
      <c r="CR42" s="13">
        <v>91</v>
      </c>
      <c r="CS42" s="7">
        <v>15089.3</v>
      </c>
      <c r="CT42" s="13">
        <v>46</v>
      </c>
      <c r="CU42" s="7">
        <v>8080.35</v>
      </c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13">
        <v>1185</v>
      </c>
      <c r="FS42" s="7">
        <v>185113.25</v>
      </c>
      <c r="FT42" s="6"/>
      <c r="FU42" s="6"/>
      <c r="FV42" s="6"/>
      <c r="FW42" s="6"/>
      <c r="FX42" s="6"/>
      <c r="FY42" s="6"/>
      <c r="FZ42" s="6"/>
      <c r="GA42" s="6"/>
      <c r="GB42" s="6"/>
      <c r="GC42" s="7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13"/>
      <c r="HA42" s="7"/>
    </row>
    <row r="43" spans="1:209" x14ac:dyDescent="0.25">
      <c r="A43" s="3" t="s">
        <v>879</v>
      </c>
      <c r="B43" s="4" t="s">
        <v>880</v>
      </c>
      <c r="C43" s="5" t="s">
        <v>881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13">
        <v>218</v>
      </c>
      <c r="S43" s="7">
        <v>39542.879999999997</v>
      </c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13">
        <v>455</v>
      </c>
      <c r="BU43" s="7">
        <v>76190.5</v>
      </c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13">
        <v>400</v>
      </c>
      <c r="CG43" s="7">
        <v>26666.799999999999</v>
      </c>
      <c r="CH43" s="6"/>
      <c r="CI43" s="6"/>
      <c r="CJ43" s="13">
        <v>455</v>
      </c>
      <c r="CK43" s="7">
        <v>111905</v>
      </c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13">
        <v>546</v>
      </c>
      <c r="CW43" s="7">
        <v>84642.6</v>
      </c>
      <c r="CX43" s="13">
        <v>91</v>
      </c>
      <c r="CY43" s="7">
        <v>22571.4</v>
      </c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13">
        <v>2165</v>
      </c>
      <c r="FS43" s="7">
        <v>361519.18</v>
      </c>
      <c r="FT43" s="6"/>
      <c r="FU43" s="6"/>
      <c r="FV43" s="6"/>
      <c r="FW43" s="6"/>
      <c r="FX43" s="6"/>
      <c r="FY43" s="6"/>
      <c r="FZ43" s="6"/>
      <c r="GA43" s="6"/>
      <c r="GB43" s="13"/>
      <c r="GC43" s="7"/>
      <c r="GD43" s="6"/>
      <c r="GE43" s="6"/>
      <c r="GF43" s="6"/>
      <c r="GG43" s="6"/>
      <c r="GH43" s="6"/>
      <c r="GI43" s="6"/>
      <c r="GJ43" s="13"/>
      <c r="GK43" s="7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</row>
    <row r="44" spans="1:209" x14ac:dyDescent="0.25">
      <c r="A44" s="3" t="s">
        <v>882</v>
      </c>
      <c r="B44" s="4" t="s">
        <v>883</v>
      </c>
      <c r="C44" s="5" t="s">
        <v>884</v>
      </c>
      <c r="D44" s="13">
        <v>1638</v>
      </c>
      <c r="E44" s="7">
        <v>240514.2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3">
        <v>90</v>
      </c>
      <c r="AC44" s="7">
        <v>5491.44</v>
      </c>
      <c r="AD44" s="13">
        <v>36</v>
      </c>
      <c r="AE44" s="7">
        <v>2714.3</v>
      </c>
      <c r="AF44" s="13">
        <v>20</v>
      </c>
      <c r="AG44" s="7">
        <v>2247.62</v>
      </c>
      <c r="AH44" s="6"/>
      <c r="AI44" s="6"/>
      <c r="AJ44" s="13">
        <v>10</v>
      </c>
      <c r="AK44" s="7">
        <v>2742.38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13">
        <v>182</v>
      </c>
      <c r="BM44" s="7">
        <v>27009.599999999999</v>
      </c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13">
        <v>20</v>
      </c>
      <c r="DA44" s="7">
        <v>1238.0999999999999</v>
      </c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7">
        <v>281957.64</v>
      </c>
      <c r="FT44" s="6"/>
      <c r="FU44" s="6"/>
      <c r="FV44" s="6"/>
      <c r="FW44" s="6"/>
      <c r="FX44" s="6"/>
      <c r="FY44" s="6"/>
      <c r="FZ44" s="6"/>
      <c r="GA44" s="6"/>
      <c r="GB44" s="6"/>
      <c r="GC44" s="7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</row>
    <row r="45" spans="1:209" x14ac:dyDescent="0.25">
      <c r="A45" s="3" t="s">
        <v>885</v>
      </c>
      <c r="B45" s="4" t="s">
        <v>886</v>
      </c>
      <c r="C45" s="5" t="s">
        <v>887</v>
      </c>
      <c r="D45" s="6"/>
      <c r="E45" s="6"/>
      <c r="F45" s="6"/>
      <c r="G45" s="6"/>
      <c r="H45" s="13">
        <v>182</v>
      </c>
      <c r="I45" s="7">
        <v>27428.6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13">
        <v>100</v>
      </c>
      <c r="AG45" s="7">
        <v>11238.1</v>
      </c>
      <c r="AH45" s="6"/>
      <c r="AI45" s="6"/>
      <c r="AJ45" s="13">
        <v>5</v>
      </c>
      <c r="AK45" s="7">
        <v>1377.12</v>
      </c>
      <c r="AL45" s="6"/>
      <c r="AM45" s="6"/>
      <c r="AN45" s="6"/>
      <c r="AO45" s="7">
        <v>4491.43</v>
      </c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13">
        <v>573</v>
      </c>
      <c r="BK45" s="7">
        <v>90000</v>
      </c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13">
        <v>7</v>
      </c>
      <c r="CO45" s="7">
        <v>1205.3599999999999</v>
      </c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13">
        <v>9</v>
      </c>
      <c r="DC45" s="7">
        <v>2285.71</v>
      </c>
      <c r="DD45" s="13">
        <v>0</v>
      </c>
      <c r="DE45" s="7">
        <v>1028.57</v>
      </c>
      <c r="DF45" s="13">
        <v>6</v>
      </c>
      <c r="DG45" s="7">
        <v>3619.05</v>
      </c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7">
        <v>142673.94</v>
      </c>
      <c r="FT45" s="6"/>
      <c r="FU45" s="6"/>
      <c r="FV45" s="6"/>
      <c r="FW45" s="6"/>
      <c r="FX45" s="6"/>
      <c r="FY45" s="6"/>
      <c r="FZ45" s="6"/>
      <c r="GA45" s="6"/>
      <c r="GB45" s="6"/>
      <c r="GC45" s="7"/>
      <c r="GD45" s="6"/>
      <c r="GE45" s="6"/>
      <c r="GF45" s="13"/>
      <c r="GG45" s="7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13"/>
      <c r="HA45" s="7"/>
    </row>
    <row r="46" spans="1:209" x14ac:dyDescent="0.25">
      <c r="A46" s="3" t="s">
        <v>888</v>
      </c>
      <c r="B46" s="4" t="s">
        <v>889</v>
      </c>
      <c r="C46" s="5" t="s">
        <v>890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13">
        <v>10</v>
      </c>
      <c r="AG46" s="7">
        <v>1123.81</v>
      </c>
      <c r="AH46" s="13">
        <v>10</v>
      </c>
      <c r="AI46" s="7">
        <v>2648.31</v>
      </c>
      <c r="AJ46" s="13">
        <v>5</v>
      </c>
      <c r="AK46" s="7">
        <v>1377.12</v>
      </c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13">
        <v>487</v>
      </c>
      <c r="BK46" s="7">
        <v>76500</v>
      </c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13">
        <v>750</v>
      </c>
      <c r="CG46" s="7">
        <v>55714.5</v>
      </c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13">
        <v>9</v>
      </c>
      <c r="DC46" s="7">
        <v>2285.71</v>
      </c>
      <c r="DD46" s="6"/>
      <c r="DE46" s="6"/>
      <c r="DF46" s="6"/>
      <c r="DG46" s="6"/>
      <c r="DH46" s="13">
        <v>22</v>
      </c>
      <c r="DI46" s="7">
        <v>3619.04</v>
      </c>
      <c r="DJ46" s="13">
        <v>86</v>
      </c>
      <c r="DK46" s="7">
        <v>13500</v>
      </c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7">
        <v>156768.49</v>
      </c>
      <c r="FT46" s="6"/>
      <c r="FU46" s="6"/>
      <c r="FV46" s="6"/>
      <c r="FW46" s="6"/>
      <c r="FX46" s="6"/>
      <c r="FY46" s="6"/>
      <c r="FZ46" s="6"/>
      <c r="GA46" s="6"/>
      <c r="GB46" s="13"/>
      <c r="GC46" s="7"/>
      <c r="GD46" s="6"/>
      <c r="GE46" s="6"/>
      <c r="GF46" s="13"/>
      <c r="GG46" s="7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13"/>
      <c r="HA46" s="7"/>
    </row>
    <row r="47" spans="1:209" x14ac:dyDescent="0.25">
      <c r="A47" s="3" t="s">
        <v>891</v>
      </c>
      <c r="B47" s="4" t="s">
        <v>892</v>
      </c>
      <c r="C47" s="5" t="s">
        <v>893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13"/>
      <c r="GC47" s="7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13"/>
      <c r="HA47" s="7"/>
    </row>
    <row r="48" spans="1:209" x14ac:dyDescent="0.25">
      <c r="A48" s="3" t="s">
        <v>894</v>
      </c>
      <c r="B48" s="4" t="s">
        <v>895</v>
      </c>
      <c r="C48" s="5" t="s">
        <v>896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7"/>
      <c r="GD48" s="6"/>
      <c r="GE48" s="6"/>
      <c r="GF48" s="6"/>
      <c r="GG48" s="7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13"/>
      <c r="HA48" s="7"/>
    </row>
    <row r="49" spans="1:209" x14ac:dyDescent="0.25">
      <c r="A49" s="3" t="s">
        <v>897</v>
      </c>
      <c r="B49" s="4" t="s">
        <v>898</v>
      </c>
      <c r="C49" s="5" t="s">
        <v>899</v>
      </c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7"/>
      <c r="GH49" s="6"/>
      <c r="GI49" s="6"/>
      <c r="GJ49" s="13"/>
      <c r="GK49" s="7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</row>
    <row r="50" spans="1:209" x14ac:dyDescent="0.25">
      <c r="A50" s="3" t="s">
        <v>900</v>
      </c>
      <c r="B50" s="4" t="s">
        <v>901</v>
      </c>
      <c r="C50" s="5" t="s">
        <v>902</v>
      </c>
      <c r="D50" s="13">
        <v>455</v>
      </c>
      <c r="E50" s="7">
        <v>66666.5</v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13">
        <v>455</v>
      </c>
      <c r="FS50" s="7">
        <v>66666.5</v>
      </c>
      <c r="FT50" s="6"/>
      <c r="FU50" s="6"/>
      <c r="FV50" s="6"/>
      <c r="FW50" s="6"/>
      <c r="FX50" s="6"/>
      <c r="FY50" s="6"/>
      <c r="FZ50" s="6"/>
      <c r="GA50" s="6"/>
      <c r="GB50" s="6"/>
      <c r="GC50" s="7"/>
      <c r="GD50" s="6"/>
      <c r="GE50" s="6"/>
      <c r="GF50" s="6"/>
      <c r="GG50" s="7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13"/>
      <c r="HA50" s="7"/>
    </row>
    <row r="51" spans="1:209" x14ac:dyDescent="0.25">
      <c r="A51" s="3" t="s">
        <v>903</v>
      </c>
      <c r="B51" s="4" t="s">
        <v>904</v>
      </c>
      <c r="C51" s="5" t="s">
        <v>905</v>
      </c>
      <c r="D51" s="13">
        <v>910</v>
      </c>
      <c r="E51" s="7">
        <v>134762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13">
        <v>910</v>
      </c>
      <c r="FS51" s="7">
        <v>134762</v>
      </c>
      <c r="FT51" s="6"/>
      <c r="FU51" s="6"/>
      <c r="FV51" s="6"/>
      <c r="FW51" s="6"/>
      <c r="FX51" s="6"/>
      <c r="FY51" s="6"/>
      <c r="FZ51" s="6"/>
      <c r="GA51" s="6"/>
      <c r="GB51" s="13"/>
      <c r="GC51" s="7"/>
      <c r="GD51" s="6"/>
      <c r="GE51" s="6"/>
      <c r="GF51" s="6"/>
      <c r="GG51" s="7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7"/>
    </row>
    <row r="52" spans="1:209" x14ac:dyDescent="0.25">
      <c r="A52" s="3" t="s">
        <v>906</v>
      </c>
      <c r="B52" s="4" t="s">
        <v>907</v>
      </c>
      <c r="C52" s="5" t="s">
        <v>908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13"/>
      <c r="GC52" s="7"/>
      <c r="GD52" s="6"/>
      <c r="GE52" s="6"/>
      <c r="GF52" s="6"/>
      <c r="GG52" s="7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13"/>
      <c r="HA52" s="7"/>
    </row>
    <row r="53" spans="1:209" x14ac:dyDescent="0.25">
      <c r="A53" s="3" t="s">
        <v>909</v>
      </c>
      <c r="B53" s="4" t="s">
        <v>910</v>
      </c>
      <c r="C53" s="5" t="s">
        <v>911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13"/>
      <c r="GC53" s="7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</row>
    <row r="54" spans="1:209" x14ac:dyDescent="0.25">
      <c r="A54" s="3" t="s">
        <v>912</v>
      </c>
      <c r="B54" s="4" t="s">
        <v>913</v>
      </c>
      <c r="C54" s="5" t="s">
        <v>914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3">
        <v>30</v>
      </c>
      <c r="AC54" s="7">
        <v>1830.48</v>
      </c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13">
        <v>30</v>
      </c>
      <c r="FS54" s="7">
        <v>1830.48</v>
      </c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13"/>
      <c r="GG54" s="7"/>
      <c r="GH54" s="6"/>
      <c r="GI54" s="6"/>
      <c r="GJ54" s="13"/>
      <c r="GK54" s="7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7"/>
    </row>
    <row r="55" spans="1:209" x14ac:dyDescent="0.25">
      <c r="A55" s="3" t="s">
        <v>915</v>
      </c>
      <c r="B55" s="4" t="s">
        <v>916</v>
      </c>
      <c r="C55" s="5" t="s">
        <v>917</v>
      </c>
      <c r="D55" s="13">
        <v>9100</v>
      </c>
      <c r="E55" s="7">
        <v>1328570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13">
        <v>1820</v>
      </c>
      <c r="BM55" s="7">
        <v>268572</v>
      </c>
      <c r="BN55" s="6"/>
      <c r="BO55" s="6"/>
      <c r="BP55" s="6"/>
      <c r="BQ55" s="6"/>
      <c r="BR55" s="13">
        <v>32</v>
      </c>
      <c r="BS55" s="7">
        <v>5000</v>
      </c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13">
        <v>600</v>
      </c>
      <c r="CG55" s="7">
        <v>44571.6</v>
      </c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13">
        <v>11552</v>
      </c>
      <c r="FS55" s="7">
        <v>1646713.6</v>
      </c>
      <c r="FT55" s="6"/>
      <c r="FU55" s="6"/>
      <c r="FV55" s="6"/>
      <c r="FW55" s="6"/>
      <c r="FX55" s="6"/>
      <c r="FY55" s="6"/>
      <c r="FZ55" s="6"/>
      <c r="GA55" s="6"/>
      <c r="GB55" s="13"/>
      <c r="GC55" s="7"/>
      <c r="GD55" s="6"/>
      <c r="GE55" s="6"/>
      <c r="GF55" s="6"/>
      <c r="GG55" s="7"/>
      <c r="GH55" s="6"/>
      <c r="GI55" s="6"/>
      <c r="GJ55" s="6"/>
      <c r="GK55" s="7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13"/>
      <c r="HA55" s="7"/>
    </row>
    <row r="56" spans="1:209" x14ac:dyDescent="0.25">
      <c r="A56" s="3" t="s">
        <v>918</v>
      </c>
      <c r="B56" s="4" t="s">
        <v>919</v>
      </c>
      <c r="C56" s="5" t="s">
        <v>920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7"/>
      <c r="GH56" s="6"/>
      <c r="GI56" s="6"/>
      <c r="GJ56" s="13"/>
      <c r="GK56" s="7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13"/>
      <c r="HA56" s="7"/>
    </row>
    <row r="57" spans="1:209" x14ac:dyDescent="0.25">
      <c r="A57" s="3" t="s">
        <v>921</v>
      </c>
      <c r="B57" s="4" t="s">
        <v>922</v>
      </c>
      <c r="C57" s="5" t="s">
        <v>923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7"/>
      <c r="GD57" s="6"/>
      <c r="GE57" s="6"/>
      <c r="GF57" s="6"/>
      <c r="GG57" s="7"/>
      <c r="GH57" s="6"/>
      <c r="GI57" s="6"/>
      <c r="GJ57" s="13"/>
      <c r="GK57" s="7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7"/>
    </row>
    <row r="58" spans="1:209" x14ac:dyDescent="0.25">
      <c r="A58" s="3" t="s">
        <v>924</v>
      </c>
      <c r="B58" s="4" t="s">
        <v>925</v>
      </c>
      <c r="C58" s="5" t="s">
        <v>926</v>
      </c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13"/>
      <c r="GG58" s="7"/>
      <c r="GH58" s="6"/>
      <c r="GI58" s="6"/>
      <c r="GJ58" s="13"/>
      <c r="GK58" s="7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13"/>
      <c r="HA58" s="7"/>
    </row>
    <row r="59" spans="1:209" x14ac:dyDescent="0.25">
      <c r="A59" s="3" t="s">
        <v>927</v>
      </c>
      <c r="B59" s="4" t="s">
        <v>928</v>
      </c>
      <c r="C59" s="5" t="s">
        <v>929</v>
      </c>
      <c r="D59" s="13">
        <v>1365</v>
      </c>
      <c r="E59" s="7">
        <v>201429</v>
      </c>
      <c r="F59" s="13">
        <v>22</v>
      </c>
      <c r="G59" s="7">
        <v>3348.58</v>
      </c>
      <c r="H59" s="13">
        <v>455</v>
      </c>
      <c r="I59" s="7">
        <v>68095.25</v>
      </c>
      <c r="J59" s="6"/>
      <c r="K59" s="6"/>
      <c r="L59" s="13">
        <v>819</v>
      </c>
      <c r="M59" s="7">
        <v>134196.29999999999</v>
      </c>
      <c r="N59" s="13">
        <v>455</v>
      </c>
      <c r="O59" s="7">
        <v>71875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13">
        <v>108</v>
      </c>
      <c r="AE59" s="7">
        <v>8142.9</v>
      </c>
      <c r="AF59" s="6"/>
      <c r="AG59" s="6"/>
      <c r="AH59" s="6"/>
      <c r="AI59" s="6"/>
      <c r="AJ59" s="13">
        <v>10</v>
      </c>
      <c r="AK59" s="7">
        <v>2754.24</v>
      </c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13">
        <v>143</v>
      </c>
      <c r="BK59" s="7">
        <v>22500</v>
      </c>
      <c r="BL59" s="13">
        <v>1365</v>
      </c>
      <c r="BM59" s="7">
        <v>203571</v>
      </c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13">
        <v>7</v>
      </c>
      <c r="CO59" s="7">
        <v>1205.3599999999999</v>
      </c>
      <c r="CP59" s="13">
        <v>137</v>
      </c>
      <c r="CQ59" s="7">
        <v>22366.05</v>
      </c>
      <c r="CR59" s="13">
        <v>137</v>
      </c>
      <c r="CS59" s="7">
        <v>22366.05</v>
      </c>
      <c r="CT59" s="13">
        <v>137</v>
      </c>
      <c r="CU59" s="7">
        <v>23973.15</v>
      </c>
      <c r="CV59" s="6"/>
      <c r="CW59" s="6"/>
      <c r="CX59" s="6"/>
      <c r="CY59" s="6"/>
      <c r="CZ59" s="13">
        <v>50</v>
      </c>
      <c r="DA59" s="7">
        <v>3095.25</v>
      </c>
      <c r="DB59" s="6"/>
      <c r="DC59" s="6"/>
      <c r="DD59" s="6"/>
      <c r="DE59" s="6"/>
      <c r="DF59" s="6"/>
      <c r="DG59" s="6"/>
      <c r="DH59" s="6"/>
      <c r="DI59" s="6"/>
      <c r="DJ59" s="13">
        <v>143</v>
      </c>
      <c r="DK59" s="7">
        <v>22500</v>
      </c>
      <c r="DL59" s="13">
        <v>7</v>
      </c>
      <c r="DM59" s="7">
        <v>1205.3599999999999</v>
      </c>
      <c r="DN59" s="6"/>
      <c r="DO59" s="6"/>
      <c r="DP59" s="6"/>
      <c r="DQ59" s="6"/>
      <c r="DR59" s="13">
        <v>91</v>
      </c>
      <c r="DS59" s="7">
        <v>14375</v>
      </c>
      <c r="DT59" s="13">
        <v>91</v>
      </c>
      <c r="DU59" s="7">
        <v>14375</v>
      </c>
      <c r="DV59" s="13">
        <v>91</v>
      </c>
      <c r="DW59" s="7">
        <v>14375</v>
      </c>
      <c r="DX59" s="13">
        <v>33</v>
      </c>
      <c r="DY59" s="7">
        <v>5142.87</v>
      </c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13">
        <v>91</v>
      </c>
      <c r="FK59" s="7">
        <v>13437.5</v>
      </c>
      <c r="FL59" s="13">
        <v>91</v>
      </c>
      <c r="FM59" s="7">
        <v>13303.6</v>
      </c>
      <c r="FN59" s="6"/>
      <c r="FO59" s="6"/>
      <c r="FP59" s="6"/>
      <c r="FQ59" s="6"/>
      <c r="FR59" s="6"/>
      <c r="FS59" s="7">
        <v>887632.46</v>
      </c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13"/>
      <c r="GG59" s="7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13"/>
      <c r="HA59" s="7"/>
    </row>
    <row r="60" spans="1:209" x14ac:dyDescent="0.25">
      <c r="A60" s="3" t="s">
        <v>930</v>
      </c>
      <c r="B60" s="4" t="s">
        <v>931</v>
      </c>
      <c r="C60" s="5" t="s">
        <v>932</v>
      </c>
      <c r="D60" s="13">
        <v>3640</v>
      </c>
      <c r="E60" s="7">
        <v>536380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13">
        <v>57</v>
      </c>
      <c r="BK60" s="7">
        <v>9000</v>
      </c>
      <c r="BL60" s="13">
        <v>1820</v>
      </c>
      <c r="BM60" s="7">
        <v>271050</v>
      </c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13">
        <v>229</v>
      </c>
      <c r="DK60" s="7">
        <v>36000</v>
      </c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13">
        <v>5746</v>
      </c>
      <c r="FS60" s="7">
        <v>852430</v>
      </c>
      <c r="FT60" s="6"/>
      <c r="FU60" s="6"/>
      <c r="FV60" s="6"/>
      <c r="FW60" s="6"/>
      <c r="FX60" s="6"/>
      <c r="FY60" s="6"/>
      <c r="FZ60" s="6"/>
      <c r="GA60" s="6"/>
      <c r="GB60" s="13"/>
      <c r="GC60" s="7"/>
      <c r="GD60" s="6"/>
      <c r="GE60" s="6"/>
      <c r="GF60" s="6"/>
      <c r="GG60" s="7"/>
      <c r="GH60" s="6"/>
      <c r="GI60" s="6"/>
      <c r="GJ60" s="13"/>
      <c r="GK60" s="7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</row>
    <row r="61" spans="1:209" x14ac:dyDescent="0.25">
      <c r="A61" s="3" t="s">
        <v>933</v>
      </c>
      <c r="B61" s="4" t="s">
        <v>934</v>
      </c>
      <c r="C61" s="5" t="s">
        <v>935</v>
      </c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7"/>
      <c r="GD61" s="6"/>
      <c r="GE61" s="6"/>
      <c r="GF61" s="13"/>
      <c r="GG61" s="7"/>
      <c r="GH61" s="6"/>
      <c r="GI61" s="6"/>
      <c r="GJ61" s="13"/>
      <c r="GK61" s="7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</row>
    <row r="62" spans="1:209" x14ac:dyDescent="0.25">
      <c r="A62" s="3" t="s">
        <v>936</v>
      </c>
      <c r="B62" s="4" t="s">
        <v>937</v>
      </c>
      <c r="C62" s="5" t="s">
        <v>938</v>
      </c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13"/>
      <c r="GC62" s="7"/>
      <c r="GD62" s="6"/>
      <c r="GE62" s="6"/>
      <c r="GF62" s="13"/>
      <c r="GG62" s="7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</row>
    <row r="63" spans="1:209" x14ac:dyDescent="0.25">
      <c r="A63" s="3" t="s">
        <v>939</v>
      </c>
      <c r="B63" s="4" t="s">
        <v>940</v>
      </c>
      <c r="C63" s="5" t="s">
        <v>941</v>
      </c>
      <c r="D63" s="13">
        <v>1365</v>
      </c>
      <c r="E63" s="7">
        <v>201429</v>
      </c>
      <c r="F63" s="6"/>
      <c r="G63" s="6"/>
      <c r="H63" s="13">
        <v>273</v>
      </c>
      <c r="I63" s="7">
        <v>40857.15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13">
        <v>455</v>
      </c>
      <c r="BM63" s="7">
        <v>67857</v>
      </c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13">
        <v>2093</v>
      </c>
      <c r="FS63" s="7">
        <v>310143.15000000002</v>
      </c>
      <c r="FT63" s="6"/>
      <c r="FU63" s="6"/>
      <c r="FV63" s="6"/>
      <c r="FW63" s="6"/>
      <c r="FX63" s="6"/>
      <c r="FY63" s="6"/>
      <c r="FZ63" s="6"/>
      <c r="GA63" s="6"/>
      <c r="GB63" s="6"/>
      <c r="GC63" s="7"/>
      <c r="GD63" s="6"/>
      <c r="GE63" s="6"/>
      <c r="GF63" s="6"/>
      <c r="GG63" s="6"/>
      <c r="GH63" s="6"/>
      <c r="GI63" s="6"/>
      <c r="GJ63" s="13"/>
      <c r="GK63" s="7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</row>
    <row r="64" spans="1:209" x14ac:dyDescent="0.25">
      <c r="A64" s="3" t="s">
        <v>942</v>
      </c>
      <c r="B64" s="4" t="s">
        <v>943</v>
      </c>
      <c r="C64" s="5" t="s">
        <v>944</v>
      </c>
      <c r="D64" s="13">
        <v>637</v>
      </c>
      <c r="E64" s="7">
        <v>94000.2</v>
      </c>
      <c r="F64" s="6"/>
      <c r="G64" s="6"/>
      <c r="H64" s="13">
        <v>273</v>
      </c>
      <c r="I64" s="7">
        <v>40857.15</v>
      </c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3">
        <v>60</v>
      </c>
      <c r="AC64" s="7">
        <v>3660.96</v>
      </c>
      <c r="AD64" s="13">
        <v>108</v>
      </c>
      <c r="AE64" s="7">
        <v>8142.9</v>
      </c>
      <c r="AF64" s="6"/>
      <c r="AG64" s="6"/>
      <c r="AH64" s="6"/>
      <c r="AI64" s="6"/>
      <c r="AJ64" s="13">
        <v>5</v>
      </c>
      <c r="AK64" s="7">
        <v>1377.12</v>
      </c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13">
        <v>57</v>
      </c>
      <c r="BK64" s="7">
        <v>9000</v>
      </c>
      <c r="BL64" s="13">
        <v>273</v>
      </c>
      <c r="BM64" s="7">
        <v>40714.199999999997</v>
      </c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13">
        <v>7</v>
      </c>
      <c r="CO64" s="7">
        <v>1205.3599999999999</v>
      </c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13">
        <v>20</v>
      </c>
      <c r="DA64" s="7">
        <v>1238.0999999999999</v>
      </c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13">
        <v>7</v>
      </c>
      <c r="DM64" s="7">
        <v>1205.3599999999999</v>
      </c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7">
        <v>201401.35</v>
      </c>
      <c r="FT64" s="6"/>
      <c r="FU64" s="6"/>
      <c r="FV64" s="6"/>
      <c r="FW64" s="6"/>
      <c r="FX64" s="6"/>
      <c r="FY64" s="6"/>
      <c r="FZ64" s="6"/>
      <c r="GA64" s="6"/>
      <c r="GB64" s="13"/>
      <c r="GC64" s="7"/>
      <c r="GD64" s="6"/>
      <c r="GE64" s="6"/>
      <c r="GF64" s="13"/>
      <c r="GG64" s="7"/>
      <c r="GH64" s="6"/>
      <c r="GI64" s="6"/>
      <c r="GJ64" s="13"/>
      <c r="GK64" s="7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</row>
    <row r="65" spans="1:209" x14ac:dyDescent="0.25">
      <c r="A65" s="3" t="s">
        <v>945</v>
      </c>
      <c r="B65" s="4" t="s">
        <v>946</v>
      </c>
      <c r="C65" s="5" t="s">
        <v>947</v>
      </c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</row>
    <row r="66" spans="1:209" x14ac:dyDescent="0.25">
      <c r="A66" s="3" t="s">
        <v>948</v>
      </c>
      <c r="B66" s="4" t="s">
        <v>949</v>
      </c>
      <c r="C66" s="5" t="s">
        <v>950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</row>
    <row r="67" spans="1:209" x14ac:dyDescent="0.25">
      <c r="A67" s="3" t="s">
        <v>951</v>
      </c>
      <c r="B67" s="4" t="s">
        <v>952</v>
      </c>
      <c r="C67" s="5" t="s">
        <v>953</v>
      </c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13"/>
      <c r="GK67" s="7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</row>
    <row r="68" spans="1:209" x14ac:dyDescent="0.25">
      <c r="A68" s="3" t="s">
        <v>954</v>
      </c>
      <c r="B68" s="4" t="s">
        <v>955</v>
      </c>
      <c r="C68" s="5" t="s">
        <v>956</v>
      </c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13"/>
      <c r="GC68" s="7"/>
      <c r="GD68" s="6"/>
      <c r="GE68" s="6"/>
      <c r="GF68" s="13"/>
      <c r="GG68" s="7"/>
      <c r="GH68" s="6"/>
      <c r="GI68" s="6"/>
      <c r="GJ68" s="6"/>
      <c r="GK68" s="7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</row>
    <row r="69" spans="1:209" x14ac:dyDescent="0.25">
      <c r="A69" s="3" t="s">
        <v>957</v>
      </c>
      <c r="B69" s="4" t="s">
        <v>958</v>
      </c>
      <c r="C69" s="5" t="s">
        <v>959</v>
      </c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13"/>
      <c r="GC69" s="7"/>
      <c r="GD69" s="6"/>
      <c r="GE69" s="6"/>
      <c r="GF69" s="6"/>
      <c r="GG69" s="6"/>
      <c r="GH69" s="6"/>
      <c r="GI69" s="6"/>
      <c r="GJ69" s="6"/>
      <c r="GK69" s="7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</row>
    <row r="70" spans="1:209" x14ac:dyDescent="0.25">
      <c r="A70" s="3" t="s">
        <v>960</v>
      </c>
      <c r="B70" s="4" t="s">
        <v>961</v>
      </c>
      <c r="C70" s="5" t="s">
        <v>962</v>
      </c>
      <c r="D70" s="13">
        <v>2730</v>
      </c>
      <c r="E70" s="7">
        <v>401430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3">
        <v>300</v>
      </c>
      <c r="AC70" s="7">
        <v>18209.5</v>
      </c>
      <c r="AD70" s="6"/>
      <c r="AE70" s="6"/>
      <c r="AF70" s="6"/>
      <c r="AG70" s="6"/>
      <c r="AH70" s="6"/>
      <c r="AI70" s="6"/>
      <c r="AJ70" s="13">
        <v>5</v>
      </c>
      <c r="AK70" s="7">
        <v>1377.12</v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7">
        <v>421016.62</v>
      </c>
      <c r="FT70" s="6"/>
      <c r="FU70" s="6"/>
      <c r="FV70" s="6"/>
      <c r="FW70" s="6"/>
      <c r="FX70" s="6"/>
      <c r="FY70" s="6"/>
      <c r="FZ70" s="6"/>
      <c r="GA70" s="6"/>
      <c r="GB70" s="13"/>
      <c r="GC70" s="7"/>
      <c r="GD70" s="6"/>
      <c r="GE70" s="6"/>
      <c r="GF70" s="13"/>
      <c r="GG70" s="7"/>
      <c r="GH70" s="6"/>
      <c r="GI70" s="6"/>
      <c r="GJ70" s="13"/>
      <c r="GK70" s="7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</row>
    <row r="71" spans="1:209" x14ac:dyDescent="0.25">
      <c r="A71" s="3" t="s">
        <v>963</v>
      </c>
      <c r="B71" s="4" t="s">
        <v>964</v>
      </c>
      <c r="C71" s="5" t="s">
        <v>965</v>
      </c>
      <c r="D71" s="13">
        <v>364</v>
      </c>
      <c r="E71" s="7">
        <v>53524</v>
      </c>
      <c r="F71" s="13">
        <v>55</v>
      </c>
      <c r="G71" s="7">
        <v>8371.4500000000007</v>
      </c>
      <c r="H71" s="13">
        <v>546</v>
      </c>
      <c r="I71" s="7">
        <v>81714.3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13">
        <v>5</v>
      </c>
      <c r="AK71" s="7">
        <v>1377.12</v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13">
        <v>115</v>
      </c>
      <c r="BK71" s="7">
        <v>18000</v>
      </c>
      <c r="BL71" s="13">
        <v>637</v>
      </c>
      <c r="BM71" s="7">
        <v>94666.6</v>
      </c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13">
        <v>86</v>
      </c>
      <c r="DK71" s="7">
        <v>13500</v>
      </c>
      <c r="DL71" s="6"/>
      <c r="DM71" s="6"/>
      <c r="DN71" s="13">
        <v>91</v>
      </c>
      <c r="DO71" s="7">
        <v>14857.15</v>
      </c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13">
        <v>1899</v>
      </c>
      <c r="FS71" s="7">
        <v>286010.62</v>
      </c>
      <c r="FT71" s="6"/>
      <c r="FU71" s="6"/>
      <c r="FV71" s="6"/>
      <c r="FW71" s="6"/>
      <c r="FX71" s="6"/>
      <c r="FY71" s="6"/>
      <c r="FZ71" s="6"/>
      <c r="GA71" s="6"/>
      <c r="GB71" s="6"/>
      <c r="GC71" s="7"/>
      <c r="GD71" s="6"/>
      <c r="GE71" s="6"/>
      <c r="GF71" s="6"/>
      <c r="GG71" s="7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</row>
    <row r="72" spans="1:209" x14ac:dyDescent="0.25">
      <c r="A72" s="3" t="s">
        <v>966</v>
      </c>
      <c r="B72" s="4" t="s">
        <v>967</v>
      </c>
      <c r="C72" s="5" t="s">
        <v>968</v>
      </c>
      <c r="D72" s="6"/>
      <c r="E72" s="6"/>
      <c r="F72" s="6"/>
      <c r="G72" s="6"/>
      <c r="H72" s="6"/>
      <c r="I72" s="6"/>
      <c r="J72" s="6"/>
      <c r="K72" s="6"/>
      <c r="L72" s="13">
        <v>137</v>
      </c>
      <c r="M72" s="7">
        <v>22366.05</v>
      </c>
      <c r="N72" s="13">
        <v>319</v>
      </c>
      <c r="O72" s="7">
        <v>50312.5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13">
        <v>455</v>
      </c>
      <c r="BW72" s="7">
        <v>74047.5</v>
      </c>
      <c r="BX72" s="13">
        <v>455</v>
      </c>
      <c r="BY72" s="7">
        <v>70238</v>
      </c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13">
        <v>91</v>
      </c>
      <c r="CQ72" s="7">
        <v>14910.7</v>
      </c>
      <c r="CR72" s="13">
        <v>91</v>
      </c>
      <c r="CS72" s="7">
        <v>14910.7</v>
      </c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13">
        <v>55</v>
      </c>
      <c r="DQ72" s="7">
        <v>18857.16</v>
      </c>
      <c r="DR72" s="13">
        <v>91</v>
      </c>
      <c r="DS72" s="7">
        <v>14375</v>
      </c>
      <c r="DT72" s="13">
        <v>91</v>
      </c>
      <c r="DU72" s="7">
        <v>14375</v>
      </c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13">
        <v>1785</v>
      </c>
      <c r="FS72" s="7">
        <v>294392.61</v>
      </c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7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</row>
    <row r="73" spans="1:209" x14ac:dyDescent="0.25">
      <c r="A73" s="3" t="s">
        <v>969</v>
      </c>
      <c r="B73" s="4" t="s">
        <v>970</v>
      </c>
      <c r="C73" s="5" t="s">
        <v>971</v>
      </c>
      <c r="D73" s="6"/>
      <c r="E73" s="6"/>
      <c r="F73" s="6"/>
      <c r="G73" s="6"/>
      <c r="H73" s="6"/>
      <c r="I73" s="6"/>
      <c r="J73" s="6"/>
      <c r="K73" s="6"/>
      <c r="L73" s="13">
        <v>46</v>
      </c>
      <c r="M73" s="7">
        <v>7544.65</v>
      </c>
      <c r="N73" s="13">
        <v>273</v>
      </c>
      <c r="O73" s="7">
        <v>43660.800000000003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13">
        <v>46</v>
      </c>
      <c r="BW73" s="7">
        <v>7571.45</v>
      </c>
      <c r="BX73" s="13">
        <v>46</v>
      </c>
      <c r="BY73" s="7">
        <v>7190.5</v>
      </c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13">
        <v>7</v>
      </c>
      <c r="CO73" s="7">
        <v>1205.3599999999999</v>
      </c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13">
        <v>7</v>
      </c>
      <c r="DM73" s="7">
        <v>1205.3599999999999</v>
      </c>
      <c r="DN73" s="6"/>
      <c r="DO73" s="6"/>
      <c r="DP73" s="6"/>
      <c r="DQ73" s="6"/>
      <c r="DR73" s="13">
        <v>46</v>
      </c>
      <c r="DS73" s="7">
        <v>7276.8</v>
      </c>
      <c r="DT73" s="13">
        <v>46</v>
      </c>
      <c r="DU73" s="7">
        <v>7276.8</v>
      </c>
      <c r="DV73" s="13">
        <v>46</v>
      </c>
      <c r="DW73" s="7">
        <v>7276.8</v>
      </c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13">
        <v>563</v>
      </c>
      <c r="FS73" s="7">
        <v>90208.52</v>
      </c>
      <c r="FT73" s="6"/>
      <c r="FU73" s="6"/>
      <c r="FV73" s="6"/>
      <c r="FW73" s="6"/>
      <c r="FX73" s="6"/>
      <c r="FY73" s="6"/>
      <c r="FZ73" s="6"/>
      <c r="GA73" s="6"/>
      <c r="GB73" s="13"/>
      <c r="GC73" s="7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</row>
    <row r="74" spans="1:209" x14ac:dyDescent="0.25">
      <c r="A74" s="3" t="s">
        <v>972</v>
      </c>
      <c r="B74" s="4" t="s">
        <v>973</v>
      </c>
      <c r="C74" s="5" t="s">
        <v>974</v>
      </c>
      <c r="D74" s="13">
        <v>1820</v>
      </c>
      <c r="E74" s="7">
        <v>265714</v>
      </c>
      <c r="F74" s="6"/>
      <c r="G74" s="6"/>
      <c r="H74" s="6"/>
      <c r="I74" s="6"/>
      <c r="J74" s="13">
        <v>728</v>
      </c>
      <c r="K74" s="7">
        <v>123048</v>
      </c>
      <c r="L74" s="13">
        <v>91</v>
      </c>
      <c r="M74" s="7">
        <v>15178.6</v>
      </c>
      <c r="N74" s="13">
        <v>91</v>
      </c>
      <c r="O74" s="7">
        <v>14642.9</v>
      </c>
      <c r="P74" s="13">
        <v>182</v>
      </c>
      <c r="Q74" s="7">
        <v>30762</v>
      </c>
      <c r="R74" s="6"/>
      <c r="S74" s="6"/>
      <c r="T74" s="13">
        <v>91</v>
      </c>
      <c r="U74" s="7">
        <v>12857.1</v>
      </c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13">
        <v>97</v>
      </c>
      <c r="BK74" s="7">
        <v>15138.16</v>
      </c>
      <c r="BL74" s="13">
        <v>910</v>
      </c>
      <c r="BM74" s="7">
        <v>134286</v>
      </c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13">
        <v>46</v>
      </c>
      <c r="CU74" s="7">
        <v>8125</v>
      </c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13">
        <v>74</v>
      </c>
      <c r="DK74" s="7">
        <v>11576.24</v>
      </c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13">
        <v>4130</v>
      </c>
      <c r="FS74" s="7">
        <v>631328</v>
      </c>
      <c r="FT74" s="6"/>
      <c r="FU74" s="6"/>
      <c r="FV74" s="6"/>
      <c r="FW74" s="6"/>
      <c r="FX74" s="6"/>
      <c r="FY74" s="6"/>
      <c r="FZ74" s="6"/>
      <c r="GA74" s="6"/>
      <c r="GB74" s="13"/>
      <c r="GC74" s="7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13"/>
      <c r="HA74" s="7"/>
    </row>
    <row r="75" spans="1:209" x14ac:dyDescent="0.25">
      <c r="A75" s="3" t="s">
        <v>975</v>
      </c>
      <c r="B75" s="4" t="s">
        <v>976</v>
      </c>
      <c r="C75" s="5" t="s">
        <v>977</v>
      </c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13"/>
      <c r="GC75" s="7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13"/>
      <c r="HA75" s="7"/>
    </row>
    <row r="76" spans="1:209" x14ac:dyDescent="0.25">
      <c r="A76" s="3" t="s">
        <v>978</v>
      </c>
      <c r="B76" s="4" t="s">
        <v>979</v>
      </c>
      <c r="C76" s="5" t="s">
        <v>980</v>
      </c>
      <c r="D76" s="13">
        <v>455</v>
      </c>
      <c r="E76" s="7">
        <v>66428.5</v>
      </c>
      <c r="F76" s="13">
        <v>55</v>
      </c>
      <c r="G76" s="7">
        <v>8142.85</v>
      </c>
      <c r="H76" s="13">
        <v>728</v>
      </c>
      <c r="I76" s="7">
        <v>108190.39999999999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13">
        <v>137</v>
      </c>
      <c r="BW76" s="7">
        <v>22357.200000000001</v>
      </c>
      <c r="BX76" s="13">
        <v>319</v>
      </c>
      <c r="BY76" s="7">
        <v>49500.15</v>
      </c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13">
        <v>1694</v>
      </c>
      <c r="FS76" s="7">
        <v>254619.1</v>
      </c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13"/>
      <c r="GG76" s="7"/>
      <c r="GH76" s="6"/>
      <c r="GI76" s="6"/>
      <c r="GJ76" s="13"/>
      <c r="GK76" s="7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7"/>
    </row>
    <row r="77" spans="1:209" x14ac:dyDescent="0.25">
      <c r="A77" s="3" t="s">
        <v>981</v>
      </c>
      <c r="B77" s="4" t="s">
        <v>982</v>
      </c>
      <c r="C77" s="5" t="s">
        <v>983</v>
      </c>
      <c r="D77" s="13">
        <v>4550</v>
      </c>
      <c r="E77" s="7">
        <v>655240</v>
      </c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13">
        <v>910</v>
      </c>
      <c r="U77" s="7">
        <v>122476</v>
      </c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13">
        <v>5460</v>
      </c>
      <c r="FS77" s="7">
        <v>777716</v>
      </c>
      <c r="FT77" s="6"/>
      <c r="FU77" s="6"/>
      <c r="FV77" s="6"/>
      <c r="FW77" s="6"/>
      <c r="FX77" s="6"/>
      <c r="FY77" s="6"/>
      <c r="FZ77" s="6"/>
      <c r="GA77" s="6"/>
      <c r="GB77" s="13"/>
      <c r="GC77" s="7"/>
      <c r="GD77" s="6"/>
      <c r="GE77" s="6"/>
      <c r="GF77" s="6"/>
      <c r="GG77" s="7"/>
      <c r="GH77" s="6"/>
      <c r="GI77" s="6"/>
      <c r="GJ77" s="13"/>
      <c r="GK77" s="7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13"/>
      <c r="HA77" s="7"/>
    </row>
    <row r="78" spans="1:209" x14ac:dyDescent="0.25">
      <c r="A78" s="3" t="s">
        <v>984</v>
      </c>
      <c r="B78" s="4" t="s">
        <v>985</v>
      </c>
      <c r="C78" s="5" t="s">
        <v>986</v>
      </c>
      <c r="D78" s="13">
        <v>2184</v>
      </c>
      <c r="E78" s="7">
        <v>322286.40000000002</v>
      </c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13">
        <v>5</v>
      </c>
      <c r="AK78" s="7">
        <v>1377.12</v>
      </c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13">
        <v>57</v>
      </c>
      <c r="BK78" s="7">
        <v>9000</v>
      </c>
      <c r="BL78" s="13">
        <v>546</v>
      </c>
      <c r="BM78" s="7">
        <v>81428.399999999994</v>
      </c>
      <c r="BN78" s="13">
        <v>46</v>
      </c>
      <c r="BO78" s="7">
        <v>7000</v>
      </c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13">
        <v>57</v>
      </c>
      <c r="DK78" s="7">
        <v>9000</v>
      </c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13">
        <v>2895</v>
      </c>
      <c r="FS78" s="7">
        <v>430091.92</v>
      </c>
      <c r="FT78" s="13"/>
      <c r="FU78" s="7"/>
      <c r="FV78" s="6"/>
      <c r="FW78" s="6"/>
      <c r="FX78" s="6"/>
      <c r="FY78" s="6"/>
      <c r="FZ78" s="6"/>
      <c r="GA78" s="6"/>
      <c r="GB78" s="13"/>
      <c r="GC78" s="7"/>
      <c r="GD78" s="6"/>
      <c r="GE78" s="6"/>
      <c r="GF78" s="6"/>
      <c r="GG78" s="7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13"/>
      <c r="HA78" s="7"/>
    </row>
    <row r="79" spans="1:209" x14ac:dyDescent="0.25">
      <c r="A79" s="3" t="s">
        <v>987</v>
      </c>
      <c r="B79" s="4" t="s">
        <v>988</v>
      </c>
      <c r="C79" s="5" t="s">
        <v>989</v>
      </c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13"/>
      <c r="GC79" s="7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13"/>
      <c r="HA79" s="7"/>
    </row>
    <row r="80" spans="1:209" x14ac:dyDescent="0.25">
      <c r="A80" s="3" t="s">
        <v>990</v>
      </c>
      <c r="B80" s="4" t="s">
        <v>991</v>
      </c>
      <c r="C80" s="5" t="s">
        <v>992</v>
      </c>
      <c r="D80" s="13">
        <v>1820</v>
      </c>
      <c r="E80" s="7">
        <v>268572</v>
      </c>
      <c r="F80" s="6"/>
      <c r="G80" s="6"/>
      <c r="H80" s="13">
        <v>91</v>
      </c>
      <c r="I80" s="7">
        <v>13619.05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13">
        <v>57</v>
      </c>
      <c r="BK80" s="7">
        <v>9000</v>
      </c>
      <c r="BL80" s="6"/>
      <c r="BM80" s="6"/>
      <c r="BN80" s="13">
        <v>46</v>
      </c>
      <c r="BO80" s="7">
        <v>7000</v>
      </c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13">
        <v>57</v>
      </c>
      <c r="DK80" s="7">
        <v>9000</v>
      </c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13">
        <v>55</v>
      </c>
      <c r="DY80" s="7">
        <v>8571.4500000000007</v>
      </c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13">
        <v>2126</v>
      </c>
      <c r="FS80" s="7">
        <v>315762.5</v>
      </c>
      <c r="FT80" s="13"/>
      <c r="FU80" s="7"/>
      <c r="FV80" s="13"/>
      <c r="FW80" s="7"/>
      <c r="FX80" s="13"/>
      <c r="FY80" s="7"/>
      <c r="FZ80" s="13"/>
      <c r="GA80" s="7"/>
      <c r="GB80" s="13"/>
      <c r="GC80" s="7"/>
      <c r="GD80" s="6"/>
      <c r="GE80" s="6"/>
      <c r="GF80" s="6"/>
      <c r="GG80" s="6"/>
      <c r="GH80" s="6"/>
      <c r="GI80" s="6"/>
      <c r="GJ80" s="13"/>
      <c r="GK80" s="7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13"/>
      <c r="HA80" s="7"/>
    </row>
    <row r="81" spans="1:209" x14ac:dyDescent="0.25">
      <c r="A81" s="3" t="s">
        <v>993</v>
      </c>
      <c r="B81" s="4" t="s">
        <v>994</v>
      </c>
      <c r="C81" s="5" t="s">
        <v>995</v>
      </c>
      <c r="D81" s="6"/>
      <c r="E81" s="6"/>
      <c r="F81" s="6"/>
      <c r="G81" s="6"/>
      <c r="H81" s="6"/>
      <c r="I81" s="6"/>
      <c r="J81" s="6"/>
      <c r="K81" s="6"/>
      <c r="L81" s="13">
        <v>182</v>
      </c>
      <c r="M81" s="7">
        <v>30000</v>
      </c>
      <c r="N81" s="13">
        <v>91</v>
      </c>
      <c r="O81" s="7">
        <v>14464.3</v>
      </c>
      <c r="P81" s="6"/>
      <c r="Q81" s="6"/>
      <c r="R81" s="6"/>
      <c r="S81" s="6"/>
      <c r="T81" s="13">
        <v>182</v>
      </c>
      <c r="U81" s="7">
        <v>25523.8</v>
      </c>
      <c r="V81" s="6"/>
      <c r="W81" s="6"/>
      <c r="X81" s="6"/>
      <c r="Y81" s="6"/>
      <c r="Z81" s="6"/>
      <c r="AA81" s="6"/>
      <c r="AB81" s="13">
        <v>450</v>
      </c>
      <c r="AC81" s="7">
        <v>27242.85</v>
      </c>
      <c r="AD81" s="6"/>
      <c r="AE81" s="6"/>
      <c r="AF81" s="13">
        <v>180</v>
      </c>
      <c r="AG81" s="7">
        <v>20228.580000000002</v>
      </c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13">
        <v>118</v>
      </c>
      <c r="BE81" s="7">
        <v>40423.760000000002</v>
      </c>
      <c r="BF81" s="13">
        <v>9</v>
      </c>
      <c r="BG81" s="7">
        <v>3052.38</v>
      </c>
      <c r="BH81" s="13">
        <v>200</v>
      </c>
      <c r="BI81" s="7">
        <v>14476.2</v>
      </c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13">
        <v>27</v>
      </c>
      <c r="BW81" s="7">
        <v>4542.87</v>
      </c>
      <c r="BX81" s="13">
        <v>64</v>
      </c>
      <c r="BY81" s="7">
        <v>10066.700000000001</v>
      </c>
      <c r="BZ81" s="6"/>
      <c r="CA81" s="6"/>
      <c r="CB81" s="6"/>
      <c r="CC81" s="6"/>
      <c r="CD81" s="6"/>
      <c r="CE81" s="6"/>
      <c r="CF81" s="13">
        <v>1800</v>
      </c>
      <c r="CG81" s="7">
        <v>133714.79999999999</v>
      </c>
      <c r="CH81" s="6"/>
      <c r="CI81" s="6"/>
      <c r="CJ81" s="6"/>
      <c r="CK81" s="6"/>
      <c r="CL81" s="6"/>
      <c r="CM81" s="6"/>
      <c r="CN81" s="13">
        <v>34</v>
      </c>
      <c r="CO81" s="7">
        <v>5803.55</v>
      </c>
      <c r="CP81" s="13">
        <v>91</v>
      </c>
      <c r="CQ81" s="7">
        <v>15000</v>
      </c>
      <c r="CR81" s="13">
        <v>91</v>
      </c>
      <c r="CS81" s="7">
        <v>15000</v>
      </c>
      <c r="CT81" s="13">
        <v>91</v>
      </c>
      <c r="CU81" s="7">
        <v>16071.4</v>
      </c>
      <c r="CV81" s="6"/>
      <c r="CW81" s="6"/>
      <c r="CX81" s="6"/>
      <c r="CY81" s="6"/>
      <c r="CZ81" s="13">
        <v>170</v>
      </c>
      <c r="DA81" s="7">
        <v>10309.5</v>
      </c>
      <c r="DB81" s="6"/>
      <c r="DC81" s="6"/>
      <c r="DD81" s="6"/>
      <c r="DE81" s="6"/>
      <c r="DF81" s="13">
        <v>6</v>
      </c>
      <c r="DG81" s="7">
        <v>3619.05</v>
      </c>
      <c r="DH81" s="6"/>
      <c r="DI81" s="6"/>
      <c r="DJ81" s="6"/>
      <c r="DK81" s="6"/>
      <c r="DL81" s="13">
        <v>68</v>
      </c>
      <c r="DM81" s="7">
        <v>11607.1</v>
      </c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13">
        <v>10</v>
      </c>
      <c r="EA81" s="7">
        <v>3628.58</v>
      </c>
      <c r="EB81" s="13">
        <v>145</v>
      </c>
      <c r="EC81" s="7">
        <v>24428.7</v>
      </c>
      <c r="ED81" s="13">
        <v>60</v>
      </c>
      <c r="EE81" s="7">
        <v>3600</v>
      </c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7">
        <v>432804.12</v>
      </c>
      <c r="FT81" s="6"/>
      <c r="FU81" s="6"/>
      <c r="FV81" s="6"/>
      <c r="FW81" s="6"/>
      <c r="FX81" s="6"/>
      <c r="FY81" s="6"/>
      <c r="FZ81" s="6"/>
      <c r="GA81" s="6"/>
      <c r="GB81" s="6"/>
      <c r="GC81" s="7"/>
      <c r="GD81" s="6"/>
      <c r="GE81" s="6"/>
      <c r="GF81" s="6"/>
      <c r="GG81" s="6"/>
      <c r="GH81" s="6"/>
      <c r="GI81" s="6"/>
      <c r="GJ81" s="13"/>
      <c r="GK81" s="7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13"/>
      <c r="HA81" s="7"/>
    </row>
    <row r="82" spans="1:209" x14ac:dyDescent="0.25">
      <c r="A82" s="3" t="s">
        <v>996</v>
      </c>
      <c r="B82" s="4" t="s">
        <v>997</v>
      </c>
      <c r="C82" s="5" t="s">
        <v>998</v>
      </c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13">
        <v>450</v>
      </c>
      <c r="AC82" s="7">
        <v>27242.85</v>
      </c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13">
        <v>250</v>
      </c>
      <c r="BI82" s="7">
        <v>18095.25</v>
      </c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13">
        <v>1750</v>
      </c>
      <c r="CG82" s="7">
        <v>130000.5</v>
      </c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13">
        <v>150</v>
      </c>
      <c r="DA82" s="7">
        <v>9071.4</v>
      </c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7">
        <v>184410</v>
      </c>
      <c r="FT82" s="6"/>
      <c r="FU82" s="6"/>
      <c r="FV82" s="6"/>
      <c r="FW82" s="6"/>
      <c r="FX82" s="6"/>
      <c r="FY82" s="6"/>
      <c r="FZ82" s="6"/>
      <c r="GA82" s="6"/>
      <c r="GB82" s="13"/>
      <c r="GC82" s="7"/>
      <c r="GD82" s="6"/>
      <c r="GE82" s="6"/>
      <c r="GF82" s="13"/>
      <c r="GG82" s="7"/>
      <c r="GH82" s="6"/>
      <c r="GI82" s="6"/>
      <c r="GJ82" s="13"/>
      <c r="GK82" s="7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</row>
    <row r="83" spans="1:209" x14ac:dyDescent="0.25">
      <c r="A83" s="3" t="s">
        <v>999</v>
      </c>
      <c r="B83" s="4" t="s">
        <v>1000</v>
      </c>
      <c r="C83" s="5" t="s">
        <v>1001</v>
      </c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13"/>
      <c r="GG83" s="7"/>
      <c r="GH83" s="6"/>
      <c r="GI83" s="6"/>
      <c r="GJ83" s="13"/>
      <c r="GK83" s="7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</row>
    <row r="84" spans="1:209" x14ac:dyDescent="0.25">
      <c r="A84" s="3" t="s">
        <v>1002</v>
      </c>
      <c r="B84" s="4" t="s">
        <v>1003</v>
      </c>
      <c r="C84" s="5" t="s">
        <v>1004</v>
      </c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13"/>
      <c r="GG84" s="7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13"/>
      <c r="HA84" s="7"/>
    </row>
    <row r="85" spans="1:209" x14ac:dyDescent="0.25">
      <c r="A85" s="3" t="s">
        <v>1005</v>
      </c>
      <c r="B85" s="4" t="s">
        <v>1006</v>
      </c>
      <c r="C85" s="5" t="s">
        <v>1007</v>
      </c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13"/>
      <c r="GC85" s="7"/>
      <c r="GD85" s="6"/>
      <c r="GE85" s="6"/>
      <c r="GF85" s="13"/>
      <c r="GG85" s="7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13"/>
      <c r="HA85" s="7"/>
    </row>
    <row r="86" spans="1:209" x14ac:dyDescent="0.25">
      <c r="A86" s="3" t="s">
        <v>1008</v>
      </c>
      <c r="B86" s="4" t="s">
        <v>1009</v>
      </c>
      <c r="C86" s="5" t="s">
        <v>1010</v>
      </c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7"/>
      <c r="GD86" s="6"/>
      <c r="GE86" s="6"/>
      <c r="GF86" s="13"/>
      <c r="GG86" s="7"/>
      <c r="GH86" s="6"/>
      <c r="GI86" s="6"/>
      <c r="GJ86" s="13"/>
      <c r="GK86" s="7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7"/>
    </row>
    <row r="87" spans="1:209" x14ac:dyDescent="0.25">
      <c r="A87" s="3" t="s">
        <v>1011</v>
      </c>
      <c r="B87" s="4" t="s">
        <v>1012</v>
      </c>
      <c r="C87" s="5" t="s">
        <v>1013</v>
      </c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13"/>
      <c r="GC87" s="7"/>
      <c r="GD87" s="6"/>
      <c r="GE87" s="6"/>
      <c r="GF87" s="6"/>
      <c r="GG87" s="6"/>
      <c r="GH87" s="6"/>
      <c r="GI87" s="6"/>
      <c r="GJ87" s="13"/>
      <c r="GK87" s="7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13"/>
      <c r="HA87" s="7"/>
    </row>
    <row r="88" spans="1:209" x14ac:dyDescent="0.25">
      <c r="A88" s="3" t="s">
        <v>1014</v>
      </c>
      <c r="B88" s="4" t="s">
        <v>1015</v>
      </c>
      <c r="C88" s="5" t="s">
        <v>1016</v>
      </c>
      <c r="D88" s="13">
        <v>1365</v>
      </c>
      <c r="E88" s="7">
        <v>199999.5</v>
      </c>
      <c r="F88" s="6"/>
      <c r="G88" s="6"/>
      <c r="H88" s="13">
        <v>510</v>
      </c>
      <c r="I88" s="7">
        <v>76266.679999999993</v>
      </c>
      <c r="J88" s="6"/>
      <c r="K88" s="6"/>
      <c r="L88" s="6"/>
      <c r="M88" s="6"/>
      <c r="N88" s="6"/>
      <c r="O88" s="6"/>
      <c r="P88" s="6"/>
      <c r="Q88" s="6"/>
      <c r="R88" s="13">
        <v>109</v>
      </c>
      <c r="S88" s="7">
        <v>19771.439999999999</v>
      </c>
      <c r="T88" s="13">
        <v>182</v>
      </c>
      <c r="U88" s="7">
        <v>24952.400000000001</v>
      </c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13">
        <v>601</v>
      </c>
      <c r="BU88" s="7">
        <v>100571.46</v>
      </c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13">
        <v>200</v>
      </c>
      <c r="CG88" s="7">
        <v>13333.4</v>
      </c>
      <c r="CH88" s="13">
        <v>36</v>
      </c>
      <c r="CI88" s="7">
        <v>12000</v>
      </c>
      <c r="CJ88" s="13">
        <v>91</v>
      </c>
      <c r="CK88" s="7">
        <v>25238.1</v>
      </c>
      <c r="CL88" s="13">
        <v>18</v>
      </c>
      <c r="CM88" s="7">
        <v>6038.1</v>
      </c>
      <c r="CN88" s="6"/>
      <c r="CO88" s="6"/>
      <c r="CP88" s="6"/>
      <c r="CQ88" s="6"/>
      <c r="CR88" s="6"/>
      <c r="CS88" s="6"/>
      <c r="CT88" s="6"/>
      <c r="CU88" s="6"/>
      <c r="CV88" s="13">
        <v>73</v>
      </c>
      <c r="CW88" s="7">
        <v>11285.68</v>
      </c>
      <c r="CX88" s="13">
        <v>46</v>
      </c>
      <c r="CY88" s="7">
        <v>12714.3</v>
      </c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13">
        <v>82</v>
      </c>
      <c r="EG88" s="7">
        <v>13178.61</v>
      </c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13">
        <v>3313</v>
      </c>
      <c r="FS88" s="7">
        <v>515349.67</v>
      </c>
      <c r="FT88" s="14"/>
      <c r="FU88" s="12"/>
      <c r="FV88" s="14"/>
      <c r="FW88" s="12"/>
      <c r="FX88" s="14"/>
      <c r="FY88" s="12"/>
      <c r="FZ88" s="14"/>
      <c r="GA88" s="12"/>
      <c r="GB88" s="11"/>
      <c r="GC88" s="12"/>
      <c r="GD88" s="6"/>
      <c r="GE88" s="6"/>
      <c r="GF88" s="6"/>
      <c r="GG88" s="6"/>
      <c r="GH88" s="6"/>
      <c r="GI88" s="6"/>
      <c r="GJ88" s="13"/>
      <c r="GK88" s="7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13"/>
      <c r="HA88" s="7"/>
    </row>
    <row r="89" spans="1:209" x14ac:dyDescent="0.25">
      <c r="A89" s="3" t="s">
        <v>1017</v>
      </c>
      <c r="B89" s="4" t="s">
        <v>1018</v>
      </c>
      <c r="C89" s="5" t="s">
        <v>1019</v>
      </c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13">
        <v>137</v>
      </c>
      <c r="CK89" s="7">
        <v>37428.6</v>
      </c>
      <c r="CL89" s="6"/>
      <c r="CM89" s="6"/>
      <c r="CN89" s="13">
        <v>7</v>
      </c>
      <c r="CO89" s="7">
        <v>1205.3599999999999</v>
      </c>
      <c r="CP89" s="6"/>
      <c r="CQ89" s="6"/>
      <c r="CR89" s="6"/>
      <c r="CS89" s="6"/>
      <c r="CT89" s="6"/>
      <c r="CU89" s="6"/>
      <c r="CV89" s="6"/>
      <c r="CW89" s="6"/>
      <c r="CX89" s="13">
        <v>46</v>
      </c>
      <c r="CY89" s="7">
        <v>12547.6</v>
      </c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13">
        <v>7</v>
      </c>
      <c r="DM89" s="7">
        <v>1205.3599999999999</v>
      </c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13">
        <v>46</v>
      </c>
      <c r="EI89" s="7">
        <v>13190.5</v>
      </c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13">
        <v>243</v>
      </c>
      <c r="FS89" s="7">
        <v>65577.42</v>
      </c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13"/>
      <c r="GK89" s="7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13"/>
      <c r="HA89" s="7"/>
    </row>
    <row r="90" spans="1:209" x14ac:dyDescent="0.25">
      <c r="A90" s="3" t="s">
        <v>1020</v>
      </c>
      <c r="B90" s="4" t="s">
        <v>1021</v>
      </c>
      <c r="C90" s="5" t="s">
        <v>1022</v>
      </c>
      <c r="D90" s="6"/>
      <c r="E90" s="6"/>
      <c r="F90" s="6"/>
      <c r="G90" s="6"/>
      <c r="H90" s="6"/>
      <c r="I90" s="6"/>
      <c r="J90" s="13">
        <v>1547</v>
      </c>
      <c r="K90" s="7">
        <v>260666.1</v>
      </c>
      <c r="L90" s="13">
        <v>182</v>
      </c>
      <c r="M90" s="7">
        <v>30357.200000000001</v>
      </c>
      <c r="N90" s="6"/>
      <c r="O90" s="6"/>
      <c r="P90" s="6"/>
      <c r="Q90" s="6"/>
      <c r="R90" s="6"/>
      <c r="S90" s="6"/>
      <c r="T90" s="6"/>
      <c r="U90" s="6"/>
      <c r="V90" s="6"/>
      <c r="W90" s="7">
        <v>2038.1</v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7">
        <v>4472.38</v>
      </c>
      <c r="AR90" s="6"/>
      <c r="AS90" s="6"/>
      <c r="AT90" s="6"/>
      <c r="AU90" s="6"/>
      <c r="AV90" s="6"/>
      <c r="AW90" s="6"/>
      <c r="AX90" s="6"/>
      <c r="AY90" s="7">
        <v>2038.1</v>
      </c>
      <c r="AZ90" s="6"/>
      <c r="BA90" s="7">
        <v>2038.1</v>
      </c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13">
        <v>228</v>
      </c>
      <c r="BY90" s="7">
        <v>35595.25</v>
      </c>
      <c r="BZ90" s="6"/>
      <c r="CA90" s="6"/>
      <c r="CB90" s="13">
        <v>455</v>
      </c>
      <c r="CC90" s="7">
        <v>77381</v>
      </c>
      <c r="CD90" s="13">
        <v>273</v>
      </c>
      <c r="CE90" s="7">
        <v>46428.6</v>
      </c>
      <c r="CF90" s="6"/>
      <c r="CG90" s="6"/>
      <c r="CH90" s="6"/>
      <c r="CI90" s="6"/>
      <c r="CJ90" s="6"/>
      <c r="CK90" s="6"/>
      <c r="CL90" s="6"/>
      <c r="CM90" s="6"/>
      <c r="CN90" s="13">
        <v>13</v>
      </c>
      <c r="CO90" s="7">
        <v>2410.7199999999998</v>
      </c>
      <c r="CP90" s="6"/>
      <c r="CQ90" s="6"/>
      <c r="CR90" s="6"/>
      <c r="CS90" s="6"/>
      <c r="CT90" s="13">
        <v>46</v>
      </c>
      <c r="CU90" s="7">
        <v>8125</v>
      </c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13">
        <v>14</v>
      </c>
      <c r="DM90" s="7">
        <v>2410.7199999999998</v>
      </c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7">
        <v>2038.1</v>
      </c>
      <c r="EL90" s="6"/>
      <c r="EM90" s="7">
        <v>2038.1</v>
      </c>
      <c r="EN90" s="6"/>
      <c r="EO90" s="7">
        <v>4472.38</v>
      </c>
      <c r="EP90" s="6"/>
      <c r="EQ90" s="7">
        <v>2038.1</v>
      </c>
      <c r="ER90" s="6"/>
      <c r="ES90" s="7">
        <v>2038.1</v>
      </c>
      <c r="ET90" s="6"/>
      <c r="EU90" s="7">
        <v>4472.38</v>
      </c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7">
        <v>491058.43</v>
      </c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13"/>
      <c r="GG90" s="7"/>
      <c r="GH90" s="6"/>
      <c r="GI90" s="6"/>
      <c r="GJ90" s="13"/>
      <c r="GK90" s="7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13"/>
      <c r="HA90" s="7"/>
    </row>
    <row r="91" spans="1:209" x14ac:dyDescent="0.25">
      <c r="A91" s="3" t="s">
        <v>1023</v>
      </c>
      <c r="B91" s="4" t="s">
        <v>1024</v>
      </c>
      <c r="C91" s="5" t="s">
        <v>1025</v>
      </c>
      <c r="D91" s="6"/>
      <c r="E91" s="6"/>
      <c r="F91" s="6"/>
      <c r="G91" s="6"/>
      <c r="H91" s="6"/>
      <c r="I91" s="6"/>
      <c r="J91" s="13">
        <v>592</v>
      </c>
      <c r="K91" s="7">
        <v>99976.5</v>
      </c>
      <c r="L91" s="13">
        <v>109</v>
      </c>
      <c r="M91" s="7">
        <v>18214.32</v>
      </c>
      <c r="N91" s="13">
        <v>73</v>
      </c>
      <c r="O91" s="7">
        <v>11714.32</v>
      </c>
      <c r="P91" s="13">
        <v>46</v>
      </c>
      <c r="Q91" s="7">
        <v>7690.5</v>
      </c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13">
        <v>228</v>
      </c>
      <c r="CC91" s="7">
        <v>38809.5</v>
      </c>
      <c r="CD91" s="13">
        <v>46</v>
      </c>
      <c r="CE91" s="7">
        <v>7761.9</v>
      </c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13">
        <v>46</v>
      </c>
      <c r="CU91" s="7">
        <v>8125</v>
      </c>
      <c r="CV91" s="6"/>
      <c r="CW91" s="6"/>
      <c r="CX91" s="6"/>
      <c r="CY91" s="6"/>
      <c r="CZ91" s="6"/>
      <c r="DA91" s="6"/>
      <c r="DB91" s="13">
        <v>18</v>
      </c>
      <c r="DC91" s="7">
        <v>4571.42</v>
      </c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13">
        <v>1158</v>
      </c>
      <c r="FS91" s="7">
        <v>196863.46</v>
      </c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13"/>
      <c r="GG91" s="7"/>
      <c r="GH91" s="6"/>
      <c r="GI91" s="6"/>
      <c r="GJ91" s="13"/>
      <c r="GK91" s="7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</row>
    <row r="92" spans="1:209" x14ac:dyDescent="0.25">
      <c r="A92" s="3" t="s">
        <v>1026</v>
      </c>
      <c r="B92" s="4" t="s">
        <v>1027</v>
      </c>
      <c r="C92" s="5" t="s">
        <v>1028</v>
      </c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13">
        <v>1820</v>
      </c>
      <c r="U92" s="7">
        <v>249524</v>
      </c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13">
        <v>364</v>
      </c>
      <c r="BE92" s="7">
        <v>123428.4</v>
      </c>
      <c r="BF92" s="13">
        <v>420</v>
      </c>
      <c r="BG92" s="7">
        <v>139314.22</v>
      </c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13">
        <v>2604</v>
      </c>
      <c r="FS92" s="7">
        <v>512266.62</v>
      </c>
      <c r="FT92" s="6"/>
      <c r="FU92" s="6"/>
      <c r="FV92" s="6"/>
      <c r="FW92" s="6"/>
      <c r="FX92" s="6"/>
      <c r="FY92" s="6"/>
      <c r="FZ92" s="13"/>
      <c r="GA92" s="7"/>
      <c r="GB92" s="6"/>
      <c r="GC92" s="6"/>
      <c r="GD92" s="6"/>
      <c r="GE92" s="6"/>
      <c r="GF92" s="6"/>
      <c r="GG92" s="7"/>
      <c r="GH92" s="6"/>
      <c r="GI92" s="6"/>
      <c r="GJ92" s="13"/>
      <c r="GK92" s="7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</row>
    <row r="93" spans="1:209" x14ac:dyDescent="0.25">
      <c r="A93" s="3" t="s">
        <v>1029</v>
      </c>
      <c r="B93" s="4" t="s">
        <v>1030</v>
      </c>
      <c r="C93" s="5" t="s">
        <v>1031</v>
      </c>
      <c r="D93" s="13">
        <v>2503</v>
      </c>
      <c r="E93" s="7">
        <v>367977.5</v>
      </c>
      <c r="F93" s="6"/>
      <c r="G93" s="6"/>
      <c r="H93" s="6"/>
      <c r="I93" s="6"/>
      <c r="J93" s="6"/>
      <c r="K93" s="6"/>
      <c r="L93" s="13">
        <v>46</v>
      </c>
      <c r="M93" s="7">
        <v>7424.1</v>
      </c>
      <c r="N93" s="13">
        <v>46</v>
      </c>
      <c r="O93" s="7">
        <v>7388.4</v>
      </c>
      <c r="P93" s="6"/>
      <c r="Q93" s="6"/>
      <c r="R93" s="6"/>
      <c r="S93" s="6"/>
      <c r="T93" s="13">
        <v>46</v>
      </c>
      <c r="U93" s="7">
        <v>6285.7</v>
      </c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13">
        <v>683</v>
      </c>
      <c r="BM93" s="7">
        <v>101428.5</v>
      </c>
      <c r="BN93" s="6"/>
      <c r="BO93" s="6"/>
      <c r="BP93" s="6"/>
      <c r="BQ93" s="6"/>
      <c r="BR93" s="6"/>
      <c r="BS93" s="6"/>
      <c r="BT93" s="6"/>
      <c r="BU93" s="6"/>
      <c r="BV93" s="13">
        <v>18</v>
      </c>
      <c r="BW93" s="7">
        <v>3009.52</v>
      </c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13">
        <v>137</v>
      </c>
      <c r="EI93" s="7">
        <v>40000.050000000003</v>
      </c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13">
        <v>91</v>
      </c>
      <c r="EW93" s="7">
        <v>26000</v>
      </c>
      <c r="EX93" s="13">
        <v>18</v>
      </c>
      <c r="EY93" s="7">
        <v>3250</v>
      </c>
      <c r="EZ93" s="13">
        <v>46</v>
      </c>
      <c r="FA93" s="7">
        <v>6666.65</v>
      </c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13">
        <v>3634</v>
      </c>
      <c r="FS93" s="7">
        <v>569430.42000000004</v>
      </c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7"/>
      <c r="GH93" s="6"/>
      <c r="GI93" s="6"/>
      <c r="GJ93" s="13"/>
      <c r="GK93" s="7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</row>
    <row r="94" spans="1:209" x14ac:dyDescent="0.25">
      <c r="A94" s="3" t="s">
        <v>1032</v>
      </c>
      <c r="B94" s="4" t="s">
        <v>1033</v>
      </c>
      <c r="C94" s="5" t="s">
        <v>1034</v>
      </c>
      <c r="D94" s="13">
        <v>2821</v>
      </c>
      <c r="E94" s="7">
        <v>414811</v>
      </c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13">
        <v>182</v>
      </c>
      <c r="BM94" s="7">
        <v>27047.599999999999</v>
      </c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13">
        <v>3003</v>
      </c>
      <c r="FS94" s="7">
        <v>441858.6</v>
      </c>
      <c r="FT94" s="6"/>
      <c r="FU94" s="6"/>
      <c r="FV94" s="6"/>
      <c r="FW94" s="6"/>
      <c r="FX94" s="6"/>
      <c r="FY94" s="6"/>
      <c r="FZ94" s="6"/>
      <c r="GA94" s="6"/>
      <c r="GB94" s="13"/>
      <c r="GC94" s="7"/>
      <c r="GD94" s="6"/>
      <c r="GE94" s="7"/>
      <c r="GF94" s="6"/>
      <c r="GG94" s="7"/>
      <c r="GH94" s="6"/>
      <c r="GI94" s="6"/>
      <c r="GJ94" s="13"/>
      <c r="GK94" s="7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</row>
    <row r="95" spans="1:209" x14ac:dyDescent="0.25">
      <c r="A95" s="3" t="s">
        <v>1035</v>
      </c>
      <c r="B95" s="4" t="s">
        <v>1036</v>
      </c>
      <c r="C95" s="5" t="s">
        <v>1037</v>
      </c>
      <c r="D95" s="13">
        <v>1001</v>
      </c>
      <c r="E95" s="7">
        <v>147191</v>
      </c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13">
        <v>1001</v>
      </c>
      <c r="FS95" s="7">
        <v>147191</v>
      </c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7"/>
      <c r="GH95" s="6"/>
      <c r="GI95" s="6"/>
      <c r="GJ95" s="13"/>
      <c r="GK95" s="7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</row>
    <row r="96" spans="1:209" x14ac:dyDescent="0.25">
      <c r="A96" s="3" t="s">
        <v>1038</v>
      </c>
      <c r="B96" s="4" t="s">
        <v>1039</v>
      </c>
      <c r="C96" s="5" t="s">
        <v>1040</v>
      </c>
      <c r="D96" s="13">
        <v>1820</v>
      </c>
      <c r="E96" s="7">
        <v>267430</v>
      </c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13">
        <v>455</v>
      </c>
      <c r="BM96" s="7">
        <v>67571.5</v>
      </c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13">
        <v>2275</v>
      </c>
      <c r="FS96" s="7">
        <v>335001.5</v>
      </c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13"/>
      <c r="GG96" s="7"/>
      <c r="GH96" s="6"/>
      <c r="GI96" s="6"/>
      <c r="GJ96" s="13"/>
      <c r="GK96" s="7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</row>
    <row r="97" spans="1:209" x14ac:dyDescent="0.25">
      <c r="A97" s="3" t="s">
        <v>1041</v>
      </c>
      <c r="B97" s="4" t="s">
        <v>1042</v>
      </c>
      <c r="C97" s="5" t="s">
        <v>1043</v>
      </c>
      <c r="D97" s="6"/>
      <c r="E97" s="6"/>
      <c r="F97" s="6"/>
      <c r="G97" s="6"/>
      <c r="H97" s="6"/>
      <c r="I97" s="6"/>
      <c r="J97" s="13">
        <v>910</v>
      </c>
      <c r="K97" s="7">
        <v>152381</v>
      </c>
      <c r="L97" s="6"/>
      <c r="M97" s="6"/>
      <c r="N97" s="6"/>
      <c r="O97" s="6"/>
      <c r="P97" s="13">
        <v>455</v>
      </c>
      <c r="Q97" s="7">
        <v>77857</v>
      </c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13">
        <v>455</v>
      </c>
      <c r="CC97" s="7">
        <v>78571.5</v>
      </c>
      <c r="CD97" s="6"/>
      <c r="CE97" s="6"/>
      <c r="CF97" s="13">
        <v>1000</v>
      </c>
      <c r="CG97" s="7">
        <v>72857</v>
      </c>
      <c r="CH97" s="6"/>
      <c r="CI97" s="6"/>
      <c r="CJ97" s="13">
        <v>455</v>
      </c>
      <c r="CK97" s="7">
        <v>120238</v>
      </c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13">
        <v>20</v>
      </c>
      <c r="DA97" s="7">
        <v>1238.0999999999999</v>
      </c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13">
        <v>91</v>
      </c>
      <c r="DQ97" s="7">
        <v>30952.400000000001</v>
      </c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13">
        <v>18</v>
      </c>
      <c r="FC97" s="7">
        <v>7085.72</v>
      </c>
      <c r="FD97" s="13">
        <v>91</v>
      </c>
      <c r="FE97" s="7">
        <v>29857.1</v>
      </c>
      <c r="FF97" s="13">
        <v>900</v>
      </c>
      <c r="FG97" s="7">
        <v>146667</v>
      </c>
      <c r="FH97" s="13">
        <v>900</v>
      </c>
      <c r="FI97" s="7">
        <v>145238</v>
      </c>
      <c r="FJ97" s="6"/>
      <c r="FK97" s="6"/>
      <c r="FL97" s="6"/>
      <c r="FM97" s="6"/>
      <c r="FN97" s="6"/>
      <c r="FO97" s="6"/>
      <c r="FP97" s="6"/>
      <c r="FQ97" s="6"/>
      <c r="FR97" s="6"/>
      <c r="FS97" s="7">
        <v>862942.82</v>
      </c>
      <c r="FT97" s="14"/>
      <c r="FU97" s="12"/>
      <c r="FV97" s="14"/>
      <c r="FW97" s="12"/>
      <c r="FX97" s="14"/>
      <c r="FY97" s="12"/>
      <c r="FZ97" s="14"/>
      <c r="GA97" s="12"/>
      <c r="GB97" s="14"/>
      <c r="GC97" s="12"/>
      <c r="GD97" s="11"/>
      <c r="GE97" s="12"/>
      <c r="GF97" s="11"/>
      <c r="GG97" s="12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7"/>
    </row>
    <row r="98" spans="1:209" x14ac:dyDescent="0.25">
      <c r="A98" s="3" t="s">
        <v>1044</v>
      </c>
      <c r="B98" s="4" t="s">
        <v>1045</v>
      </c>
      <c r="C98" s="5" t="s">
        <v>1046</v>
      </c>
      <c r="D98" s="13">
        <v>364</v>
      </c>
      <c r="E98" s="7">
        <v>56000</v>
      </c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13">
        <v>364</v>
      </c>
      <c r="FS98" s="7">
        <v>56000</v>
      </c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13"/>
      <c r="GK98" s="7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13"/>
      <c r="HA98" s="7"/>
    </row>
    <row r="99" spans="1:209" x14ac:dyDescent="0.25">
      <c r="A99" s="3" t="s">
        <v>1047</v>
      </c>
      <c r="B99" s="4" t="s">
        <v>1048</v>
      </c>
      <c r="C99" s="5" t="s">
        <v>1049</v>
      </c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7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13"/>
      <c r="HA99" s="7"/>
    </row>
    <row r="100" spans="1:209" x14ac:dyDescent="0.25">
      <c r="A100" s="3" t="s">
        <v>1050</v>
      </c>
      <c r="B100" s="4" t="s">
        <v>1051</v>
      </c>
      <c r="C100" s="5" t="s">
        <v>1052</v>
      </c>
      <c r="D100" s="13">
        <v>2275</v>
      </c>
      <c r="E100" s="7">
        <v>335715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13">
        <v>287</v>
      </c>
      <c r="BK100" s="7">
        <v>45000</v>
      </c>
      <c r="BL100" s="13">
        <v>455</v>
      </c>
      <c r="BM100" s="7">
        <v>67857</v>
      </c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13">
        <v>3017</v>
      </c>
      <c r="FS100" s="7">
        <v>448572</v>
      </c>
      <c r="FT100" s="13"/>
      <c r="FU100" s="7"/>
      <c r="FV100" s="13"/>
      <c r="FW100" s="7"/>
      <c r="FX100" s="13"/>
      <c r="FY100" s="7"/>
      <c r="FZ100" s="13"/>
      <c r="GA100" s="7"/>
      <c r="GB100" s="13"/>
      <c r="GC100" s="7"/>
      <c r="GD100" s="13"/>
      <c r="GE100" s="7"/>
      <c r="GF100" s="13"/>
      <c r="GG100" s="7"/>
      <c r="GH100" s="13"/>
      <c r="GI100" s="7"/>
      <c r="GJ100" s="6"/>
      <c r="GK100" s="7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13"/>
      <c r="HA100" s="7"/>
    </row>
    <row r="101" spans="1:209" x14ac:dyDescent="0.25">
      <c r="A101" s="3" t="s">
        <v>1053</v>
      </c>
      <c r="B101" s="4" t="s">
        <v>1054</v>
      </c>
      <c r="C101" s="5" t="s">
        <v>1055</v>
      </c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13"/>
      <c r="GK101" s="7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13"/>
      <c r="HA101" s="7"/>
    </row>
    <row r="102" spans="1:209" x14ac:dyDescent="0.25">
      <c r="A102" s="3" t="s">
        <v>1056</v>
      </c>
      <c r="B102" s="4" t="s">
        <v>1057</v>
      </c>
      <c r="C102" s="5" t="s">
        <v>1058</v>
      </c>
      <c r="D102" s="13">
        <v>2730</v>
      </c>
      <c r="E102" s="7">
        <v>402858</v>
      </c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13">
        <v>228</v>
      </c>
      <c r="BM102" s="7">
        <v>33928.5</v>
      </c>
      <c r="BN102" s="13">
        <v>91</v>
      </c>
      <c r="BO102" s="7">
        <v>14238.1</v>
      </c>
      <c r="BP102" s="13">
        <v>179</v>
      </c>
      <c r="BQ102" s="7">
        <v>34666.800000000003</v>
      </c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13">
        <v>3228</v>
      </c>
      <c r="FS102" s="7">
        <v>485691.4</v>
      </c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13"/>
      <c r="GK102" s="7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13"/>
      <c r="HA102" s="7"/>
    </row>
    <row r="103" spans="1:209" x14ac:dyDescent="0.25">
      <c r="A103" s="3" t="s">
        <v>1059</v>
      </c>
      <c r="B103" s="4" t="s">
        <v>1060</v>
      </c>
      <c r="C103" s="5" t="s">
        <v>1061</v>
      </c>
      <c r="D103" s="6"/>
      <c r="E103" s="6"/>
      <c r="F103" s="6"/>
      <c r="G103" s="6"/>
      <c r="H103" s="6"/>
      <c r="I103" s="6"/>
      <c r="J103" s="13">
        <v>2730</v>
      </c>
      <c r="K103" s="7">
        <v>458571</v>
      </c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13">
        <v>18</v>
      </c>
      <c r="CA103" s="7">
        <v>3438.1</v>
      </c>
      <c r="CB103" s="13">
        <v>455</v>
      </c>
      <c r="CC103" s="7">
        <v>77143</v>
      </c>
      <c r="CD103" s="13">
        <v>18</v>
      </c>
      <c r="CE103" s="7">
        <v>3171.42</v>
      </c>
      <c r="CF103" s="6"/>
      <c r="CG103" s="6"/>
      <c r="CH103" s="6"/>
      <c r="CI103" s="6"/>
      <c r="CJ103" s="6"/>
      <c r="CK103" s="6"/>
      <c r="CL103" s="6"/>
      <c r="CM103" s="6"/>
      <c r="CN103" s="13">
        <v>54</v>
      </c>
      <c r="CO103" s="7">
        <v>9642.8799999999992</v>
      </c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13">
        <v>14</v>
      </c>
      <c r="DM103" s="7">
        <v>2410.7199999999998</v>
      </c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13">
        <v>3289</v>
      </c>
      <c r="FS103" s="7">
        <v>554377.12</v>
      </c>
      <c r="FT103" s="14"/>
      <c r="FU103" s="12"/>
      <c r="FV103" s="14"/>
      <c r="FW103" s="12"/>
      <c r="FX103" s="14"/>
      <c r="FY103" s="12"/>
      <c r="FZ103" s="14"/>
      <c r="GA103" s="12"/>
      <c r="GB103" s="14"/>
      <c r="GC103" s="12"/>
      <c r="GD103" s="14"/>
      <c r="GE103" s="12"/>
      <c r="GF103" s="14"/>
      <c r="GG103" s="12"/>
      <c r="GH103" s="14"/>
      <c r="GI103" s="12"/>
      <c r="GJ103" s="11"/>
      <c r="GK103" s="12"/>
      <c r="GL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13"/>
      <c r="HA103" s="7"/>
    </row>
    <row r="104" spans="1:209" x14ac:dyDescent="0.25">
      <c r="A104" s="3" t="s">
        <v>1062</v>
      </c>
      <c r="B104" s="4" t="s">
        <v>1063</v>
      </c>
      <c r="C104" s="5" t="s">
        <v>1064</v>
      </c>
      <c r="D104" s="13">
        <v>1638</v>
      </c>
      <c r="E104" s="7">
        <v>241714.8</v>
      </c>
      <c r="F104" s="6"/>
      <c r="G104" s="6"/>
      <c r="H104" s="13">
        <v>182</v>
      </c>
      <c r="I104" s="7">
        <v>27238.1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13">
        <v>20</v>
      </c>
      <c r="AG104" s="7">
        <v>2247.62</v>
      </c>
      <c r="AH104" s="6"/>
      <c r="AI104" s="6"/>
      <c r="AJ104" s="13">
        <v>5</v>
      </c>
      <c r="AK104" s="7">
        <v>1377.12</v>
      </c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13">
        <v>182</v>
      </c>
      <c r="BM104" s="7">
        <v>27142.799999999999</v>
      </c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7">
        <v>299720.44</v>
      </c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  <c r="GW104" s="6"/>
      <c r="GX104" s="6"/>
      <c r="GY104" s="6"/>
      <c r="GZ104" s="6"/>
      <c r="HA104" s="6"/>
    </row>
    <row r="105" spans="1:209" x14ac:dyDescent="0.25">
      <c r="A105" s="3" t="s">
        <v>1065</v>
      </c>
      <c r="B105" s="4" t="s">
        <v>1066</v>
      </c>
      <c r="C105" s="5" t="s">
        <v>1067</v>
      </c>
      <c r="D105" s="13">
        <v>1183</v>
      </c>
      <c r="E105" s="7">
        <v>173332.9</v>
      </c>
      <c r="F105" s="6"/>
      <c r="G105" s="6"/>
      <c r="H105" s="13">
        <v>546</v>
      </c>
      <c r="I105" s="7">
        <v>81714.3</v>
      </c>
      <c r="J105" s="6"/>
      <c r="K105" s="6"/>
      <c r="L105" s="6"/>
      <c r="M105" s="6"/>
      <c r="N105" s="6"/>
      <c r="O105" s="6"/>
      <c r="P105" s="6"/>
      <c r="Q105" s="6"/>
      <c r="R105" s="13">
        <v>237</v>
      </c>
      <c r="S105" s="7">
        <v>42838.12</v>
      </c>
      <c r="T105" s="13">
        <v>455</v>
      </c>
      <c r="U105" s="7">
        <v>62381</v>
      </c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13">
        <v>774</v>
      </c>
      <c r="BU105" s="7">
        <v>129523.85</v>
      </c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13">
        <v>130</v>
      </c>
      <c r="CG105" s="7">
        <v>8666.7099999999991</v>
      </c>
      <c r="CH105" s="13">
        <v>46</v>
      </c>
      <c r="CI105" s="7">
        <v>15000</v>
      </c>
      <c r="CJ105" s="13">
        <v>546</v>
      </c>
      <c r="CK105" s="7">
        <v>134286</v>
      </c>
      <c r="CL105" s="13">
        <v>18</v>
      </c>
      <c r="CM105" s="7">
        <v>6038.1</v>
      </c>
      <c r="CN105" s="6"/>
      <c r="CO105" s="6"/>
      <c r="CP105" s="6"/>
      <c r="CQ105" s="6"/>
      <c r="CR105" s="6"/>
      <c r="CS105" s="6"/>
      <c r="CT105" s="6"/>
      <c r="CU105" s="6"/>
      <c r="CV105" s="13">
        <v>319</v>
      </c>
      <c r="CW105" s="7">
        <v>49374.85</v>
      </c>
      <c r="CX105" s="13">
        <v>273</v>
      </c>
      <c r="CY105" s="7">
        <v>67714.2</v>
      </c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13">
        <v>64</v>
      </c>
      <c r="EG105" s="7">
        <v>10250.030000000001</v>
      </c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13">
        <v>4591</v>
      </c>
      <c r="FS105" s="7">
        <v>781120.06</v>
      </c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  <c r="GW105" s="6"/>
      <c r="GX105" s="6"/>
      <c r="GY105" s="6"/>
      <c r="GZ105" s="13"/>
      <c r="HA105" s="7"/>
    </row>
    <row r="106" spans="1:209" x14ac:dyDescent="0.25">
      <c r="A106" s="3" t="s">
        <v>1068</v>
      </c>
      <c r="B106" s="4" t="s">
        <v>1069</v>
      </c>
      <c r="C106" s="5" t="s">
        <v>1070</v>
      </c>
      <c r="D106" s="13">
        <v>728</v>
      </c>
      <c r="E106" s="7">
        <v>106666.4</v>
      </c>
      <c r="F106" s="6"/>
      <c r="G106" s="6"/>
      <c r="H106" s="13">
        <v>546</v>
      </c>
      <c r="I106" s="7">
        <v>81714.3</v>
      </c>
      <c r="J106" s="6"/>
      <c r="K106" s="6"/>
      <c r="L106" s="6"/>
      <c r="M106" s="6"/>
      <c r="N106" s="6"/>
      <c r="O106" s="6"/>
      <c r="P106" s="6"/>
      <c r="Q106" s="6"/>
      <c r="R106" s="13">
        <v>109</v>
      </c>
      <c r="S106" s="7">
        <v>19771.439999999999</v>
      </c>
      <c r="T106" s="13">
        <v>273</v>
      </c>
      <c r="U106" s="7">
        <v>37428.6</v>
      </c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13">
        <v>364</v>
      </c>
      <c r="BU106" s="7">
        <v>60952.4</v>
      </c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13">
        <v>364</v>
      </c>
      <c r="CK106" s="7">
        <v>89524</v>
      </c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13">
        <v>273</v>
      </c>
      <c r="CY106" s="7">
        <v>67714.2</v>
      </c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/>
      <c r="FB106" s="6"/>
      <c r="FC106" s="6"/>
      <c r="FD106" s="6"/>
      <c r="FE106" s="6"/>
      <c r="FF106" s="6"/>
      <c r="FG106" s="6"/>
      <c r="FH106" s="6"/>
      <c r="FI106" s="6"/>
      <c r="FJ106" s="6"/>
      <c r="FK106" s="6"/>
      <c r="FL106" s="6"/>
      <c r="FM106" s="6"/>
      <c r="FN106" s="6"/>
      <c r="FO106" s="6"/>
      <c r="FP106" s="6"/>
      <c r="FQ106" s="6"/>
      <c r="FR106" s="13">
        <v>2657</v>
      </c>
      <c r="FS106" s="7">
        <v>463771.34</v>
      </c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  <c r="GM106" s="6"/>
      <c r="GN106" s="6"/>
      <c r="GO106" s="6"/>
      <c r="GP106" s="6"/>
      <c r="GQ106" s="6"/>
      <c r="GR106" s="6"/>
      <c r="GS106" s="6"/>
      <c r="GT106" s="6"/>
      <c r="GU106" s="6"/>
      <c r="GV106" s="6"/>
      <c r="GW106" s="6"/>
      <c r="GX106" s="6"/>
      <c r="GY106" s="6"/>
      <c r="GZ106" s="6"/>
      <c r="HA106" s="6"/>
    </row>
    <row r="107" spans="1:209" x14ac:dyDescent="0.25">
      <c r="A107" s="3" t="s">
        <v>1071</v>
      </c>
      <c r="B107" s="4" t="s">
        <v>1072</v>
      </c>
      <c r="C107" s="5" t="s">
        <v>1073</v>
      </c>
      <c r="D107" s="13">
        <v>728</v>
      </c>
      <c r="E107" s="7">
        <v>109714.4</v>
      </c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13">
        <v>728</v>
      </c>
      <c r="FS107" s="7">
        <v>109714.4</v>
      </c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  <c r="GW107" s="6"/>
      <c r="GX107" s="6"/>
      <c r="GY107" s="6"/>
      <c r="GZ107" s="6"/>
      <c r="HA107" s="6"/>
    </row>
    <row r="108" spans="1:209" x14ac:dyDescent="0.25">
      <c r="A108" s="3" t="s">
        <v>1074</v>
      </c>
      <c r="B108" s="4" t="s">
        <v>1075</v>
      </c>
      <c r="C108" s="5" t="s">
        <v>1076</v>
      </c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13">
        <v>455</v>
      </c>
      <c r="CK108" s="7">
        <v>110952.5</v>
      </c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13">
        <v>455</v>
      </c>
      <c r="FS108" s="7">
        <v>110952.5</v>
      </c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  <c r="GW108" s="6"/>
      <c r="GX108" s="6"/>
      <c r="GY108" s="6"/>
      <c r="GZ108" s="13"/>
      <c r="HA108" s="7"/>
    </row>
    <row r="109" spans="1:209" x14ac:dyDescent="0.25">
      <c r="A109" s="3" t="s">
        <v>1077</v>
      </c>
      <c r="B109" s="4" t="s">
        <v>1078</v>
      </c>
      <c r="C109" s="5" t="s">
        <v>1079</v>
      </c>
      <c r="D109" s="6"/>
      <c r="E109" s="6"/>
      <c r="F109" s="6"/>
      <c r="G109" s="6"/>
      <c r="H109" s="13">
        <v>16671</v>
      </c>
      <c r="I109" s="7">
        <v>2458200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13">
        <v>1957</v>
      </c>
      <c r="DS109" s="7">
        <v>311750</v>
      </c>
      <c r="DT109" s="13">
        <v>1820</v>
      </c>
      <c r="DU109" s="7">
        <v>290000</v>
      </c>
      <c r="DV109" s="13">
        <v>1019</v>
      </c>
      <c r="DW109" s="7">
        <v>162400</v>
      </c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13">
        <v>21467</v>
      </c>
      <c r="FS109" s="7">
        <v>3222350</v>
      </c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  <c r="GU109" s="6"/>
      <c r="GV109" s="6"/>
      <c r="GW109" s="6"/>
      <c r="GX109" s="6"/>
      <c r="GY109" s="6"/>
      <c r="GZ109" s="6"/>
      <c r="HA109" s="7"/>
    </row>
    <row r="110" spans="1:209" x14ac:dyDescent="0.25">
      <c r="A110" s="3" t="s">
        <v>1080</v>
      </c>
      <c r="B110" s="4" t="s">
        <v>1081</v>
      </c>
      <c r="C110" s="5" t="s">
        <v>1082</v>
      </c>
      <c r="D110" s="13">
        <v>12285</v>
      </c>
      <c r="E110" s="7">
        <v>1773250</v>
      </c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13">
        <v>250</v>
      </c>
      <c r="FO110" s="7">
        <v>24525</v>
      </c>
      <c r="FP110" s="6"/>
      <c r="FQ110" s="6"/>
      <c r="FR110" s="13">
        <v>12535</v>
      </c>
      <c r="FS110" s="7">
        <v>1797775</v>
      </c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  <c r="GU110" s="6"/>
      <c r="GV110" s="6"/>
      <c r="GW110" s="6"/>
      <c r="GX110" s="6"/>
      <c r="GY110" s="6"/>
      <c r="GZ110" s="6"/>
      <c r="HA110" s="7"/>
    </row>
    <row r="111" spans="1:209" x14ac:dyDescent="0.25">
      <c r="A111" s="3" t="s">
        <v>1083</v>
      </c>
      <c r="B111" s="4" t="s">
        <v>1084</v>
      </c>
      <c r="C111" s="5" t="s">
        <v>1085</v>
      </c>
      <c r="D111" s="13">
        <v>8190</v>
      </c>
      <c r="E111" s="7">
        <v>1182100</v>
      </c>
      <c r="F111" s="6"/>
      <c r="G111" s="6"/>
      <c r="H111" s="6"/>
      <c r="I111" s="6"/>
      <c r="J111" s="13">
        <v>1820</v>
      </c>
      <c r="K111" s="7">
        <v>297200</v>
      </c>
      <c r="L111" s="6"/>
      <c r="M111" s="6"/>
      <c r="N111" s="6"/>
      <c r="O111" s="6"/>
      <c r="P111" s="13">
        <v>910</v>
      </c>
      <c r="Q111" s="7">
        <v>148600</v>
      </c>
      <c r="R111" s="13">
        <v>364</v>
      </c>
      <c r="S111" s="7">
        <v>61440</v>
      </c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13">
        <v>216</v>
      </c>
      <c r="AE111" s="7">
        <v>15540</v>
      </c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13">
        <v>4550</v>
      </c>
      <c r="BM111" s="7">
        <v>663500</v>
      </c>
      <c r="BN111" s="13">
        <v>910</v>
      </c>
      <c r="BO111" s="7">
        <v>135900</v>
      </c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13">
        <v>1820</v>
      </c>
      <c r="CK111" s="7">
        <v>481800</v>
      </c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13">
        <v>455</v>
      </c>
      <c r="CY111" s="7">
        <v>121150</v>
      </c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13">
        <v>46</v>
      </c>
      <c r="EW111" s="7">
        <v>12405</v>
      </c>
      <c r="EX111" s="6"/>
      <c r="EY111" s="6"/>
      <c r="EZ111" s="13">
        <v>182</v>
      </c>
      <c r="FA111" s="7">
        <v>26000</v>
      </c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13">
        <v>364</v>
      </c>
      <c r="FQ111" s="7">
        <v>105800</v>
      </c>
      <c r="FR111" s="6"/>
      <c r="FS111" s="7">
        <v>3251435</v>
      </c>
      <c r="FT111" s="13"/>
      <c r="FU111" s="7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  <c r="GU111" s="6"/>
      <c r="GV111" s="6"/>
      <c r="GW111" s="6"/>
      <c r="GX111" s="6"/>
      <c r="GY111" s="6"/>
      <c r="GZ111" s="6"/>
      <c r="HA111" s="7"/>
    </row>
    <row r="112" spans="1:209" x14ac:dyDescent="0.25">
      <c r="A112" s="8" t="s">
        <v>757</v>
      </c>
      <c r="B112" s="9" t="s">
        <v>757</v>
      </c>
      <c r="C112" s="10" t="s">
        <v>212</v>
      </c>
      <c r="D112" s="14">
        <v>98818</v>
      </c>
      <c r="E112" s="12">
        <v>14460903.26</v>
      </c>
      <c r="F112" s="14">
        <v>372</v>
      </c>
      <c r="G112" s="12">
        <v>56697.26</v>
      </c>
      <c r="H112" s="14">
        <v>21913</v>
      </c>
      <c r="I112" s="12">
        <v>3241457.13</v>
      </c>
      <c r="J112" s="14">
        <v>16244</v>
      </c>
      <c r="K112" s="12">
        <v>2706546.5</v>
      </c>
      <c r="L112" s="14">
        <v>1977</v>
      </c>
      <c r="M112" s="12">
        <v>325683.07</v>
      </c>
      <c r="N112" s="14">
        <v>1667</v>
      </c>
      <c r="O112" s="12">
        <v>264951.17</v>
      </c>
      <c r="P112" s="14">
        <v>2731</v>
      </c>
      <c r="Q112" s="12">
        <v>453481.75</v>
      </c>
      <c r="R112" s="14">
        <v>1128</v>
      </c>
      <c r="S112" s="12">
        <v>199459.13</v>
      </c>
      <c r="T112" s="14">
        <v>5152</v>
      </c>
      <c r="U112" s="12">
        <v>706847.31</v>
      </c>
      <c r="V112" s="11"/>
      <c r="W112" s="12">
        <v>6126.67</v>
      </c>
      <c r="X112" s="14">
        <v>10</v>
      </c>
      <c r="Y112" s="12">
        <v>2400</v>
      </c>
      <c r="Z112" s="14">
        <v>5</v>
      </c>
      <c r="AA112" s="12">
        <v>1219.05</v>
      </c>
      <c r="AB112" s="14">
        <v>1530</v>
      </c>
      <c r="AC112" s="12">
        <v>92806.63</v>
      </c>
      <c r="AD112" s="14">
        <v>576</v>
      </c>
      <c r="AE112" s="12">
        <v>42683</v>
      </c>
      <c r="AF112" s="14">
        <v>400</v>
      </c>
      <c r="AG112" s="12">
        <v>44595.25</v>
      </c>
      <c r="AH112" s="14">
        <v>20</v>
      </c>
      <c r="AI112" s="12">
        <v>5624.5</v>
      </c>
      <c r="AJ112" s="14">
        <v>65</v>
      </c>
      <c r="AK112" s="12">
        <v>17890.7</v>
      </c>
      <c r="AL112" s="11"/>
      <c r="AM112" s="12">
        <v>4465.71</v>
      </c>
      <c r="AN112" s="11"/>
      <c r="AO112" s="12">
        <v>8957.14</v>
      </c>
      <c r="AP112" s="11"/>
      <c r="AQ112" s="12">
        <v>8938.09</v>
      </c>
      <c r="AR112" s="11"/>
      <c r="AS112" s="12">
        <v>4465.71</v>
      </c>
      <c r="AT112" s="11"/>
      <c r="AU112" s="12">
        <v>2031.43</v>
      </c>
      <c r="AV112" s="11"/>
      <c r="AW112" s="12">
        <v>2031.43</v>
      </c>
      <c r="AX112" s="11"/>
      <c r="AY112" s="12">
        <v>4069.53</v>
      </c>
      <c r="AZ112" s="11"/>
      <c r="BA112" s="12">
        <v>4069.53</v>
      </c>
      <c r="BB112" s="11"/>
      <c r="BC112" s="12">
        <v>4465.71</v>
      </c>
      <c r="BD112" s="14">
        <v>582</v>
      </c>
      <c r="BE112" s="12">
        <v>198004.52</v>
      </c>
      <c r="BF112" s="14">
        <v>475</v>
      </c>
      <c r="BG112" s="12">
        <v>157604.70000000001</v>
      </c>
      <c r="BH112" s="14">
        <v>500</v>
      </c>
      <c r="BI112" s="12">
        <v>36452.400000000001</v>
      </c>
      <c r="BJ112" s="14">
        <v>1959</v>
      </c>
      <c r="BK112" s="12">
        <v>307638.15999999997</v>
      </c>
      <c r="BL112" s="14">
        <v>18611</v>
      </c>
      <c r="BM112" s="12">
        <v>2751985.45</v>
      </c>
      <c r="BN112" s="14">
        <v>1139</v>
      </c>
      <c r="BO112" s="12">
        <v>171061.9</v>
      </c>
      <c r="BP112" s="14">
        <v>205</v>
      </c>
      <c r="BQ112" s="12">
        <v>39666.800000000003</v>
      </c>
      <c r="BR112" s="14">
        <v>64</v>
      </c>
      <c r="BS112" s="12">
        <v>10000</v>
      </c>
      <c r="BT112" s="14">
        <v>3995</v>
      </c>
      <c r="BU112" s="12">
        <v>661980.91</v>
      </c>
      <c r="BV112" s="14">
        <v>1276</v>
      </c>
      <c r="BW112" s="12">
        <v>207766.59</v>
      </c>
      <c r="BX112" s="14">
        <v>1932</v>
      </c>
      <c r="BY112" s="12">
        <v>299876.5</v>
      </c>
      <c r="BZ112" s="14">
        <v>110</v>
      </c>
      <c r="CA112" s="12">
        <v>19080.95</v>
      </c>
      <c r="CB112" s="14">
        <v>3823</v>
      </c>
      <c r="CC112" s="12">
        <v>644072.25</v>
      </c>
      <c r="CD112" s="14">
        <v>383</v>
      </c>
      <c r="CE112" s="12">
        <v>65171.42</v>
      </c>
      <c r="CF112" s="14">
        <v>6900</v>
      </c>
      <c r="CG112" s="12">
        <v>507625.29</v>
      </c>
      <c r="CH112" s="14">
        <v>400</v>
      </c>
      <c r="CI112" s="12">
        <v>130333.3</v>
      </c>
      <c r="CJ112" s="14">
        <v>4678</v>
      </c>
      <c r="CK112" s="12">
        <v>1199162.81</v>
      </c>
      <c r="CL112" s="14">
        <v>236</v>
      </c>
      <c r="CM112" s="12">
        <v>77447.66</v>
      </c>
      <c r="CN112" s="14">
        <v>143</v>
      </c>
      <c r="CO112" s="12">
        <v>25089.31</v>
      </c>
      <c r="CP112" s="14">
        <v>410</v>
      </c>
      <c r="CQ112" s="12">
        <v>67366.05</v>
      </c>
      <c r="CR112" s="14">
        <v>410</v>
      </c>
      <c r="CS112" s="12">
        <v>67366.05</v>
      </c>
      <c r="CT112" s="14">
        <v>412</v>
      </c>
      <c r="CU112" s="12">
        <v>72499.899999999994</v>
      </c>
      <c r="CV112" s="14">
        <v>938</v>
      </c>
      <c r="CW112" s="12">
        <v>145303.13</v>
      </c>
      <c r="CX112" s="14">
        <v>1184</v>
      </c>
      <c r="CY112" s="12">
        <v>304411.7</v>
      </c>
      <c r="CZ112" s="14">
        <v>430</v>
      </c>
      <c r="DA112" s="12">
        <v>26190.45</v>
      </c>
      <c r="DB112" s="14">
        <v>36</v>
      </c>
      <c r="DC112" s="12">
        <v>9142.84</v>
      </c>
      <c r="DD112" s="14">
        <v>0</v>
      </c>
      <c r="DE112" s="12">
        <v>1028.57</v>
      </c>
      <c r="DF112" s="14">
        <v>12</v>
      </c>
      <c r="DG112" s="12">
        <v>7238.1</v>
      </c>
      <c r="DH112" s="14">
        <v>22</v>
      </c>
      <c r="DI112" s="12">
        <v>3619.04</v>
      </c>
      <c r="DJ112" s="14">
        <v>732</v>
      </c>
      <c r="DK112" s="12">
        <v>115076.24</v>
      </c>
      <c r="DL112" s="14">
        <v>124</v>
      </c>
      <c r="DM112" s="12">
        <v>21249.98</v>
      </c>
      <c r="DN112" s="14">
        <v>91</v>
      </c>
      <c r="DO112" s="12">
        <v>14857.15</v>
      </c>
      <c r="DP112" s="14">
        <v>146</v>
      </c>
      <c r="DQ112" s="12">
        <v>49809.56</v>
      </c>
      <c r="DR112" s="14">
        <v>2185</v>
      </c>
      <c r="DS112" s="12">
        <v>347776.8</v>
      </c>
      <c r="DT112" s="14">
        <v>2048</v>
      </c>
      <c r="DU112" s="12">
        <v>326026.8</v>
      </c>
      <c r="DV112" s="14">
        <v>1156</v>
      </c>
      <c r="DW112" s="12">
        <v>184051.8</v>
      </c>
      <c r="DX112" s="14">
        <v>88</v>
      </c>
      <c r="DY112" s="12">
        <v>13714.32</v>
      </c>
      <c r="DZ112" s="14">
        <v>10</v>
      </c>
      <c r="EA112" s="12">
        <v>3628.58</v>
      </c>
      <c r="EB112" s="14">
        <v>145</v>
      </c>
      <c r="EC112" s="12">
        <v>24428.7</v>
      </c>
      <c r="ED112" s="14">
        <v>60</v>
      </c>
      <c r="EE112" s="12">
        <v>3600</v>
      </c>
      <c r="EF112" s="14">
        <v>146</v>
      </c>
      <c r="EG112" s="12">
        <v>23428.639999999999</v>
      </c>
      <c r="EH112" s="14">
        <v>183</v>
      </c>
      <c r="EI112" s="12">
        <v>53190.55</v>
      </c>
      <c r="EJ112" s="11"/>
      <c r="EK112" s="12">
        <v>2038.1</v>
      </c>
      <c r="EL112" s="11"/>
      <c r="EM112" s="12">
        <v>2038.1</v>
      </c>
      <c r="EN112" s="11"/>
      <c r="EO112" s="12">
        <v>4472.38</v>
      </c>
      <c r="EP112" s="11"/>
      <c r="EQ112" s="12">
        <v>2038.1</v>
      </c>
      <c r="ER112" s="11"/>
      <c r="ES112" s="12">
        <v>2038.1</v>
      </c>
      <c r="ET112" s="11"/>
      <c r="EU112" s="12">
        <v>4472.38</v>
      </c>
      <c r="EV112" s="14">
        <v>137</v>
      </c>
      <c r="EW112" s="12">
        <v>38405</v>
      </c>
      <c r="EX112" s="14">
        <v>18</v>
      </c>
      <c r="EY112" s="12">
        <v>3250</v>
      </c>
      <c r="EZ112" s="14">
        <v>228</v>
      </c>
      <c r="FA112" s="12">
        <v>32666.65</v>
      </c>
      <c r="FB112" s="14">
        <v>18</v>
      </c>
      <c r="FC112" s="12">
        <v>7085.72</v>
      </c>
      <c r="FD112" s="14">
        <v>91</v>
      </c>
      <c r="FE112" s="12">
        <v>29857.1</v>
      </c>
      <c r="FF112" s="14">
        <v>900</v>
      </c>
      <c r="FG112" s="12">
        <v>146667</v>
      </c>
      <c r="FH112" s="14">
        <v>900</v>
      </c>
      <c r="FI112" s="12">
        <v>145238</v>
      </c>
      <c r="FJ112" s="14">
        <v>91</v>
      </c>
      <c r="FK112" s="12">
        <v>13437.5</v>
      </c>
      <c r="FL112" s="14">
        <v>91</v>
      </c>
      <c r="FM112" s="12">
        <v>13303.6</v>
      </c>
      <c r="FN112" s="14">
        <v>250</v>
      </c>
      <c r="FO112" s="12">
        <v>24525</v>
      </c>
      <c r="FP112" s="14">
        <v>364</v>
      </c>
      <c r="FQ112" s="12">
        <v>105800</v>
      </c>
      <c r="FR112" s="11"/>
      <c r="FS112" s="12">
        <v>32645225.260000002</v>
      </c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  <c r="GU112" s="6"/>
      <c r="GV112" s="6"/>
      <c r="GW112" s="6"/>
      <c r="GX112" s="6"/>
      <c r="GY112" s="6"/>
      <c r="GZ112" s="6"/>
      <c r="HA112" s="7"/>
    </row>
    <row r="113" spans="1:209" x14ac:dyDescent="0.25">
      <c r="A113" s="3"/>
      <c r="B113" s="4"/>
      <c r="C113" s="5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13"/>
      <c r="FA113" s="7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13"/>
      <c r="FS113" s="7"/>
      <c r="FT113" s="6"/>
      <c r="FU113" s="6"/>
      <c r="FV113" s="6"/>
      <c r="FW113" s="7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  <c r="GX113" s="6"/>
      <c r="GY113" s="6"/>
      <c r="GZ113" s="6"/>
      <c r="HA113" s="7"/>
    </row>
    <row r="114" spans="1:209" x14ac:dyDescent="0.25">
      <c r="A114" s="3"/>
      <c r="B114" s="4"/>
      <c r="C114" s="5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  <c r="ER114" s="6"/>
      <c r="ES114" s="6"/>
      <c r="ET114" s="6"/>
      <c r="EU114" s="6"/>
      <c r="EV114" s="6"/>
      <c r="EW114" s="6"/>
      <c r="EX114" s="6"/>
      <c r="EY114" s="6"/>
      <c r="EZ114" s="6"/>
      <c r="FA114" s="6"/>
      <c r="FB114" s="6"/>
      <c r="FC114" s="6"/>
      <c r="FD114" s="6"/>
      <c r="FE114" s="6"/>
      <c r="FF114" s="6"/>
      <c r="FG114" s="6"/>
      <c r="FH114" s="6"/>
      <c r="FI114" s="6"/>
      <c r="FJ114" s="6"/>
      <c r="FK114" s="6"/>
      <c r="FL114" s="6"/>
      <c r="FM114" s="6"/>
      <c r="FN114" s="6"/>
      <c r="FO114" s="6"/>
      <c r="FP114" s="13"/>
      <c r="FQ114" s="7"/>
      <c r="FR114" s="6"/>
      <c r="FS114" s="6"/>
      <c r="FT114" s="6"/>
      <c r="FU114" s="6"/>
      <c r="FV114" s="6"/>
      <c r="FW114" s="6"/>
      <c r="FX114" s="13"/>
      <c r="FY114" s="7"/>
      <c r="FZ114" s="6"/>
      <c r="GA114" s="6"/>
      <c r="GB114" s="6"/>
      <c r="GC114" s="6"/>
      <c r="GD114" s="6"/>
      <c r="GE114" s="6"/>
      <c r="GF114" s="6"/>
      <c r="GG114" s="6"/>
      <c r="GH114" s="6"/>
      <c r="GI114" s="6"/>
      <c r="GJ114" s="6"/>
      <c r="GK114" s="6"/>
      <c r="GL114" s="6"/>
      <c r="GM114" s="6"/>
      <c r="GN114" s="6"/>
      <c r="GO114" s="6"/>
      <c r="GP114" s="6"/>
      <c r="GQ114" s="6"/>
      <c r="GR114" s="6"/>
      <c r="GS114" s="6"/>
      <c r="GT114" s="6"/>
      <c r="GU114" s="6"/>
      <c r="GV114" s="6"/>
      <c r="GW114" s="6"/>
      <c r="GX114" s="6"/>
      <c r="GY114" s="6"/>
      <c r="GZ114" s="13"/>
      <c r="HA114" s="7"/>
    </row>
    <row r="115" spans="1:209" x14ac:dyDescent="0.25">
      <c r="A115" s="3"/>
      <c r="B115" s="4"/>
      <c r="C115" s="5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13"/>
      <c r="FK115" s="7"/>
      <c r="FL115" s="6"/>
      <c r="FM115" s="6"/>
      <c r="FN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7"/>
    </row>
    <row r="116" spans="1:209" x14ac:dyDescent="0.25">
      <c r="A116" s="3"/>
      <c r="B116" s="4"/>
      <c r="C116" s="5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6"/>
      <c r="FH116" s="6"/>
      <c r="FI116" s="6"/>
      <c r="FJ116" s="6"/>
      <c r="FK116" s="6"/>
      <c r="FL116" s="6"/>
      <c r="FM116" s="6"/>
      <c r="FN116" s="6"/>
      <c r="FO116" s="6"/>
      <c r="FP116" s="6"/>
      <c r="FQ116" s="6"/>
      <c r="FR116" s="6"/>
      <c r="FS116" s="6"/>
      <c r="FT116" s="6"/>
      <c r="FU116" s="6"/>
      <c r="FV116" s="6"/>
      <c r="FW116" s="6"/>
      <c r="FX116" s="6"/>
      <c r="FY116" s="6"/>
      <c r="FZ116" s="13"/>
      <c r="GA116" s="7"/>
      <c r="GB116" s="13"/>
      <c r="GC116" s="7"/>
      <c r="GD116" s="13"/>
      <c r="GE116" s="7"/>
      <c r="GF116" s="13"/>
      <c r="GG116" s="7"/>
      <c r="GH116" s="13"/>
      <c r="GI116" s="7"/>
      <c r="GJ116" s="13"/>
      <c r="GK116" s="7"/>
      <c r="GL116" s="13"/>
      <c r="GM116" s="7"/>
      <c r="GN116" s="13"/>
      <c r="GO116" s="7"/>
      <c r="GP116" s="13"/>
      <c r="GQ116" s="7"/>
      <c r="GR116" s="13"/>
      <c r="GS116" s="7"/>
      <c r="GT116" s="13"/>
      <c r="GU116" s="7"/>
      <c r="GV116" s="13"/>
      <c r="GW116" s="7"/>
      <c r="GX116" s="6"/>
      <c r="GY116" s="6"/>
      <c r="GZ116" s="6"/>
      <c r="HA116" s="7"/>
    </row>
    <row r="117" spans="1:209" x14ac:dyDescent="0.25">
      <c r="A117" s="3"/>
      <c r="B117" s="4"/>
      <c r="C117" s="5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13"/>
      <c r="FS117" s="7"/>
      <c r="FT117" s="13"/>
      <c r="FU117" s="7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  <c r="GM117" s="6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6"/>
      <c r="HA117" s="7"/>
    </row>
    <row r="118" spans="1:209" x14ac:dyDescent="0.25">
      <c r="A118" s="3"/>
      <c r="B118" s="4"/>
      <c r="C118" s="5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  <c r="ER118" s="6"/>
      <c r="ES118" s="6"/>
      <c r="ET118" s="6"/>
      <c r="EU118" s="6"/>
      <c r="EV118" s="6"/>
      <c r="EW118" s="6"/>
      <c r="EX118" s="6"/>
      <c r="EY118" s="6"/>
      <c r="EZ118" s="6"/>
      <c r="FA118" s="6"/>
      <c r="FB118" s="6"/>
      <c r="FC118" s="6"/>
      <c r="FD118" s="6"/>
      <c r="FE118" s="6"/>
      <c r="FF118" s="6"/>
      <c r="FG118" s="6"/>
      <c r="FH118" s="6"/>
      <c r="FI118" s="6"/>
      <c r="FJ118" s="6"/>
      <c r="FK118" s="6"/>
      <c r="FL118" s="6"/>
      <c r="FM118" s="6"/>
      <c r="FN118" s="6"/>
      <c r="FO118" s="6"/>
      <c r="FP118" s="6"/>
      <c r="FQ118" s="6"/>
      <c r="FR118" s="6"/>
      <c r="FS118" s="6"/>
      <c r="FT118" s="6"/>
      <c r="FU118" s="6"/>
      <c r="FV118" s="6"/>
      <c r="FW118" s="6"/>
      <c r="FX118" s="6"/>
      <c r="FY118" s="6"/>
      <c r="FZ118" s="6"/>
      <c r="GA118" s="6"/>
      <c r="GB118" s="6"/>
      <c r="GC118" s="6"/>
      <c r="GD118" s="6"/>
      <c r="GE118" s="6"/>
      <c r="GF118" s="6"/>
      <c r="GG118" s="6"/>
      <c r="GH118" s="6"/>
      <c r="GI118" s="6"/>
      <c r="GJ118" s="6"/>
      <c r="GK118" s="6"/>
      <c r="GL118" s="6"/>
      <c r="GM118" s="6"/>
      <c r="GN118" s="6"/>
      <c r="GO118" s="6"/>
      <c r="GP118" s="6"/>
      <c r="GQ118" s="6"/>
      <c r="GR118" s="6"/>
      <c r="GS118" s="6"/>
      <c r="GT118" s="6"/>
      <c r="GU118" s="6"/>
      <c r="GV118" s="6"/>
      <c r="GW118" s="6"/>
      <c r="GX118" s="13"/>
      <c r="GY118" s="7"/>
      <c r="GZ118" s="13"/>
      <c r="HA118" s="7"/>
    </row>
    <row r="119" spans="1:209" x14ac:dyDescent="0.25">
      <c r="A119" s="3"/>
      <c r="B119" s="4"/>
      <c r="C119" s="5"/>
      <c r="D119" s="6"/>
      <c r="E119" s="6"/>
      <c r="F119" s="6"/>
      <c r="G119" s="6"/>
      <c r="H119" s="13"/>
      <c r="I119" s="7"/>
      <c r="J119" s="13"/>
      <c r="K119" s="7"/>
      <c r="L119" s="6"/>
      <c r="M119" s="6"/>
      <c r="N119" s="6"/>
      <c r="O119" s="6"/>
      <c r="P119" s="6"/>
      <c r="Q119" s="6"/>
      <c r="R119" s="13"/>
      <c r="S119" s="7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13"/>
      <c r="AI119" s="7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13"/>
      <c r="AU119" s="7"/>
      <c r="AV119" s="13"/>
      <c r="AW119" s="7"/>
      <c r="AX119" s="13"/>
      <c r="AY119" s="7"/>
      <c r="AZ119" s="13"/>
      <c r="BA119" s="7"/>
      <c r="BB119" s="6"/>
      <c r="BC119" s="6"/>
      <c r="BD119" s="13"/>
      <c r="BE119" s="7"/>
      <c r="BF119" s="6"/>
      <c r="BG119" s="6"/>
      <c r="BH119" s="13"/>
      <c r="BI119" s="7"/>
      <c r="BJ119" s="13"/>
      <c r="BK119" s="7"/>
      <c r="BL119" s="6"/>
      <c r="BM119" s="6"/>
      <c r="BN119" s="6"/>
      <c r="BO119" s="6"/>
      <c r="BP119" s="6"/>
      <c r="BQ119" s="6"/>
      <c r="BR119" s="13"/>
      <c r="BS119" s="7"/>
      <c r="BT119" s="13"/>
      <c r="BU119" s="7"/>
      <c r="BV119" s="13"/>
      <c r="BW119" s="7"/>
      <c r="BX119" s="6"/>
      <c r="BY119" s="6"/>
      <c r="BZ119" s="13"/>
      <c r="CA119" s="7"/>
      <c r="CB119" s="6"/>
      <c r="CC119" s="6"/>
      <c r="CD119" s="6"/>
      <c r="CE119" s="6"/>
      <c r="CF119" s="13"/>
      <c r="CG119" s="7"/>
      <c r="CH119" s="13"/>
      <c r="CI119" s="7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13"/>
      <c r="DA119" s="7"/>
      <c r="DB119" s="6"/>
      <c r="DC119" s="6"/>
      <c r="DD119" s="13"/>
      <c r="DE119" s="7"/>
      <c r="DF119" s="13"/>
      <c r="DG119" s="7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13"/>
      <c r="EA119" s="7"/>
      <c r="EB119" s="13"/>
      <c r="EC119" s="7"/>
      <c r="ED119" s="13"/>
      <c r="EE119" s="7"/>
      <c r="EF119" s="13"/>
      <c r="EG119" s="7"/>
      <c r="EH119" s="13"/>
      <c r="EI119" s="7"/>
      <c r="EJ119" s="13"/>
      <c r="EK119" s="7"/>
      <c r="EL119" s="6"/>
      <c r="EM119" s="6"/>
      <c r="EN119" s="6"/>
      <c r="EO119" s="6"/>
      <c r="EP119" s="6"/>
      <c r="EQ119" s="7"/>
      <c r="ER119" s="11"/>
      <c r="ES119" s="12"/>
      <c r="ET119" s="14"/>
      <c r="EU119" s="12"/>
      <c r="EV119" s="14"/>
      <c r="EW119" s="12"/>
      <c r="EX119" s="14"/>
      <c r="EY119" s="12"/>
      <c r="EZ119" s="14"/>
      <c r="FA119" s="12"/>
      <c r="FB119" s="14"/>
      <c r="FC119" s="12"/>
      <c r="FD119" s="14"/>
      <c r="FE119" s="12"/>
      <c r="FF119" s="14"/>
      <c r="FG119" s="12"/>
      <c r="FH119" s="14"/>
      <c r="FI119" s="12"/>
      <c r="FJ119" s="14"/>
      <c r="FK119" s="12"/>
      <c r="FL119" s="14"/>
      <c r="FM119" s="12"/>
      <c r="FN119" s="14"/>
      <c r="FO119" s="12"/>
      <c r="FP119" s="14"/>
      <c r="FQ119" s="12"/>
      <c r="FR119" s="14"/>
      <c r="FS119" s="12"/>
      <c r="FT119" s="14"/>
      <c r="FU119" s="12"/>
      <c r="FV119" s="11"/>
      <c r="FW119" s="12"/>
      <c r="FX119" s="14"/>
      <c r="FY119" s="12"/>
      <c r="FZ119" s="14"/>
      <c r="GA119" s="12"/>
      <c r="GB119" s="14"/>
      <c r="GC119" s="12"/>
      <c r="GD119" s="14"/>
      <c r="GE119" s="12"/>
      <c r="GF119" s="14"/>
      <c r="GG119" s="12"/>
      <c r="GH119" s="14"/>
      <c r="GI119" s="12"/>
      <c r="GJ119" s="14"/>
      <c r="GK119" s="12"/>
      <c r="GL119" s="14"/>
      <c r="GM119" s="12"/>
      <c r="GN119" s="14"/>
      <c r="GO119" s="12"/>
      <c r="GP119" s="14"/>
      <c r="GQ119" s="12"/>
      <c r="GR119" s="14"/>
      <c r="GS119" s="12"/>
      <c r="GT119" s="14"/>
      <c r="GU119" s="12"/>
      <c r="GV119" s="14"/>
      <c r="GW119" s="12"/>
      <c r="GX119" s="14"/>
      <c r="GY119" s="12"/>
      <c r="GZ119" s="11"/>
      <c r="HA119" s="12"/>
    </row>
    <row r="120" spans="1:209" x14ac:dyDescent="0.25">
      <c r="A120" s="3"/>
      <c r="B120" s="4"/>
      <c r="C120" s="5"/>
      <c r="D120" s="6"/>
      <c r="E120" s="6"/>
      <c r="F120" s="6"/>
      <c r="G120" s="6"/>
      <c r="H120" s="6"/>
      <c r="I120" s="6"/>
      <c r="J120" s="13"/>
      <c r="K120" s="7"/>
      <c r="L120" s="6"/>
      <c r="M120" s="6"/>
      <c r="N120" s="6"/>
      <c r="O120" s="6"/>
      <c r="P120" s="6"/>
      <c r="Q120" s="6"/>
      <c r="R120" s="13"/>
      <c r="S120" s="7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13"/>
      <c r="BM120" s="7"/>
      <c r="BN120" s="13"/>
      <c r="BO120" s="7"/>
      <c r="BP120" s="13"/>
      <c r="BQ120" s="7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13"/>
      <c r="CG120" s="7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13"/>
      <c r="DS120" s="7"/>
      <c r="DT120" s="13"/>
      <c r="DU120" s="7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13"/>
      <c r="EQ120" s="7"/>
      <c r="ER120" s="6"/>
      <c r="ES120" s="6"/>
      <c r="ET120" s="6"/>
      <c r="EU120" s="6"/>
      <c r="EV120" s="6"/>
      <c r="EW120" s="6"/>
      <c r="EX120" s="6"/>
      <c r="EY120" s="6"/>
      <c r="EZ120" s="6"/>
      <c r="FA120" s="6"/>
      <c r="FB120" s="6"/>
      <c r="FC120" s="6"/>
      <c r="FD120" s="6"/>
      <c r="FE120" s="6"/>
      <c r="FF120" s="6"/>
      <c r="FG120" s="6"/>
      <c r="FH120" s="6"/>
      <c r="FI120" s="6"/>
      <c r="FJ120" s="6"/>
      <c r="FK120" s="6"/>
      <c r="FL120" s="6"/>
      <c r="FM120" s="6"/>
      <c r="FN120" s="6"/>
      <c r="FO120" s="6"/>
      <c r="FP120" s="6"/>
      <c r="FQ120" s="6"/>
      <c r="FR120" s="6"/>
      <c r="FS120" s="6"/>
      <c r="FT120" s="6"/>
      <c r="FU120" s="6"/>
      <c r="FV120" s="6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13"/>
      <c r="GK120" s="7"/>
    </row>
    <row r="121" spans="1:209" x14ac:dyDescent="0.25">
      <c r="A121" s="3"/>
      <c r="B121" s="4"/>
      <c r="C121" s="5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13"/>
      <c r="O121" s="7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13"/>
      <c r="BI121" s="7"/>
      <c r="BJ121" s="13"/>
      <c r="BK121" s="7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13"/>
      <c r="EQ121" s="7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7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7"/>
    </row>
    <row r="122" spans="1:209" x14ac:dyDescent="0.25">
      <c r="A122" s="3"/>
      <c r="B122" s="4"/>
      <c r="C122" s="5"/>
      <c r="D122" s="6"/>
      <c r="E122" s="6"/>
      <c r="F122" s="13"/>
      <c r="G122" s="7"/>
      <c r="H122" s="13"/>
      <c r="I122" s="7"/>
      <c r="J122" s="13"/>
      <c r="K122" s="7"/>
      <c r="L122" s="6"/>
      <c r="M122" s="6"/>
      <c r="N122" s="6"/>
      <c r="O122" s="6"/>
      <c r="P122" s="6"/>
      <c r="Q122" s="6"/>
      <c r="R122" s="13"/>
      <c r="S122" s="7"/>
      <c r="T122" s="6"/>
      <c r="U122" s="6"/>
      <c r="V122" s="6"/>
      <c r="W122" s="6"/>
      <c r="X122" s="13"/>
      <c r="Y122" s="7"/>
      <c r="Z122" s="6"/>
      <c r="AA122" s="6"/>
      <c r="AB122" s="6"/>
      <c r="AC122" s="6"/>
      <c r="AD122" s="6"/>
      <c r="AE122" s="6"/>
      <c r="AF122" s="6"/>
      <c r="AG122" s="6"/>
      <c r="AH122" s="13"/>
      <c r="AI122" s="7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13"/>
      <c r="BE122" s="7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13"/>
      <c r="BS122" s="7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13"/>
      <c r="DE122" s="7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7"/>
      <c r="EN122" s="6"/>
      <c r="EO122" s="6"/>
      <c r="EP122" s="6"/>
      <c r="EQ122" s="7"/>
      <c r="ER122" s="13"/>
      <c r="ES122" s="7"/>
      <c r="ET122" s="6"/>
      <c r="EU122" s="6"/>
      <c r="EV122" s="13"/>
      <c r="EW122" s="7"/>
      <c r="EX122" s="6"/>
      <c r="EY122" s="6"/>
      <c r="EZ122" s="6"/>
      <c r="FA122" s="6"/>
      <c r="FB122" s="6"/>
      <c r="FC122" s="6"/>
      <c r="FD122" s="6"/>
      <c r="FE122" s="6"/>
      <c r="FF122" s="6"/>
      <c r="FG122" s="6"/>
      <c r="FH122" s="6"/>
      <c r="FI122" s="6"/>
      <c r="FJ122" s="6"/>
      <c r="FK122" s="6"/>
      <c r="FL122" s="6"/>
      <c r="FM122" s="6"/>
      <c r="FN122" s="6"/>
      <c r="FO122" s="6"/>
      <c r="FP122" s="6"/>
      <c r="FQ122" s="6"/>
      <c r="FR122" s="6"/>
      <c r="FS122" s="6"/>
      <c r="FT122" s="6"/>
      <c r="FU122" s="6"/>
      <c r="FV122" s="6"/>
      <c r="FW122" s="6"/>
      <c r="FX122" s="6"/>
      <c r="FY122" s="6"/>
      <c r="FZ122" s="13"/>
      <c r="GA122" s="7"/>
      <c r="GB122" s="13"/>
      <c r="GC122" s="7"/>
      <c r="GD122" s="13"/>
      <c r="GE122" s="7"/>
      <c r="GF122" s="13"/>
      <c r="GG122" s="7"/>
      <c r="GH122" s="13"/>
      <c r="GI122" s="7"/>
      <c r="GJ122" s="6"/>
      <c r="GK122" s="7"/>
    </row>
    <row r="123" spans="1:209" x14ac:dyDescent="0.25">
      <c r="A123" s="3"/>
      <c r="B123" s="4"/>
      <c r="C123" s="5"/>
      <c r="D123" s="6"/>
      <c r="E123" s="6"/>
      <c r="F123" s="13"/>
      <c r="G123" s="7"/>
      <c r="H123" s="13"/>
      <c r="I123" s="7"/>
      <c r="J123" s="13"/>
      <c r="K123" s="7"/>
      <c r="L123" s="6"/>
      <c r="M123" s="6"/>
      <c r="N123" s="6"/>
      <c r="O123" s="6"/>
      <c r="P123" s="6"/>
      <c r="Q123" s="6"/>
      <c r="R123" s="13"/>
      <c r="S123" s="7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13"/>
      <c r="AS123" s="7"/>
      <c r="AT123" s="6"/>
      <c r="AU123" s="6"/>
      <c r="AV123" s="6"/>
      <c r="AW123" s="6"/>
      <c r="AX123" s="6"/>
      <c r="AY123" s="6"/>
      <c r="AZ123" s="13"/>
      <c r="BA123" s="7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13"/>
      <c r="BM123" s="7"/>
      <c r="BN123" s="13"/>
      <c r="BO123" s="7"/>
      <c r="BP123" s="13"/>
      <c r="BQ123" s="7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13"/>
      <c r="CO123" s="7"/>
      <c r="CP123" s="13"/>
      <c r="CQ123" s="7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13"/>
      <c r="DC123" s="7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13"/>
      <c r="DS123" s="7"/>
      <c r="DT123" s="13"/>
      <c r="DU123" s="7"/>
      <c r="DV123" s="6"/>
      <c r="DW123" s="6"/>
      <c r="DX123" s="6"/>
      <c r="DY123" s="6"/>
      <c r="DZ123" s="6"/>
      <c r="EA123" s="6"/>
      <c r="EB123" s="6"/>
      <c r="EC123" s="6"/>
      <c r="ED123" s="13"/>
      <c r="EE123" s="7"/>
      <c r="EF123" s="6"/>
      <c r="EG123" s="6"/>
      <c r="EH123" s="6"/>
      <c r="EI123" s="6"/>
      <c r="EJ123" s="6"/>
      <c r="EK123" s="6"/>
      <c r="EL123" s="6"/>
      <c r="EM123" s="6"/>
      <c r="EN123" s="13"/>
      <c r="EO123" s="7"/>
      <c r="EP123" s="6"/>
      <c r="EQ123" s="7"/>
      <c r="ER123" s="14"/>
      <c r="ES123" s="12"/>
      <c r="ET123" s="14"/>
      <c r="EU123" s="12"/>
      <c r="EV123" s="14"/>
      <c r="EW123" s="12"/>
      <c r="EX123" s="14"/>
      <c r="EY123" s="12"/>
      <c r="EZ123" s="14"/>
      <c r="FA123" s="12"/>
      <c r="FB123" s="14"/>
      <c r="FC123" s="12"/>
      <c r="FD123" s="14"/>
      <c r="FE123" s="12"/>
      <c r="FF123" s="14"/>
      <c r="FG123" s="12"/>
      <c r="FH123" s="14"/>
      <c r="FI123" s="12"/>
      <c r="FJ123" s="14"/>
      <c r="FK123" s="12"/>
      <c r="FL123" s="14"/>
      <c r="FM123" s="12"/>
      <c r="FN123" s="14"/>
      <c r="FO123" s="12"/>
      <c r="FP123" s="14"/>
      <c r="FQ123" s="12"/>
      <c r="FR123" s="11"/>
      <c r="FS123" s="12"/>
      <c r="FT123" s="14"/>
      <c r="FU123" s="12"/>
      <c r="FV123" s="14"/>
      <c r="FW123" s="12"/>
      <c r="FX123" s="11"/>
      <c r="FY123" s="12"/>
      <c r="FZ123" s="14"/>
      <c r="GA123" s="12"/>
      <c r="GB123" s="14"/>
      <c r="GC123" s="12"/>
      <c r="GD123" s="14"/>
      <c r="GE123" s="12"/>
      <c r="GF123" s="14"/>
      <c r="GG123" s="12"/>
      <c r="GH123" s="14"/>
      <c r="GI123" s="12"/>
      <c r="GJ123" s="11"/>
      <c r="GK123" s="12"/>
    </row>
    <row r="124" spans="1:209" x14ac:dyDescent="0.25">
      <c r="A124" s="8"/>
      <c r="B124" s="9"/>
      <c r="C124" s="10"/>
      <c r="D124" s="14"/>
      <c r="E124" s="12"/>
      <c r="F124" s="14"/>
      <c r="G124" s="12"/>
      <c r="H124" s="14"/>
      <c r="I124" s="12"/>
      <c r="J124" s="14"/>
      <c r="K124" s="12"/>
      <c r="L124" s="14"/>
      <c r="M124" s="12"/>
      <c r="N124" s="14"/>
      <c r="O124" s="12"/>
      <c r="P124" s="14"/>
      <c r="Q124" s="12"/>
      <c r="R124" s="14"/>
      <c r="S124" s="12"/>
      <c r="T124" s="14"/>
      <c r="U124" s="12"/>
      <c r="V124" s="14"/>
      <c r="W124" s="12"/>
      <c r="X124" s="14"/>
      <c r="Y124" s="12"/>
      <c r="Z124" s="14"/>
      <c r="AA124" s="12"/>
      <c r="AB124" s="14"/>
      <c r="AC124" s="12"/>
      <c r="AD124" s="14"/>
      <c r="AE124" s="12"/>
      <c r="AF124" s="14"/>
      <c r="AG124" s="12"/>
      <c r="AH124" s="14"/>
      <c r="AI124" s="12"/>
      <c r="AJ124" s="14"/>
      <c r="AK124" s="12"/>
      <c r="AL124" s="11"/>
      <c r="AM124" s="12"/>
      <c r="AN124" s="14"/>
      <c r="AO124" s="12"/>
      <c r="AP124" s="14"/>
      <c r="AQ124" s="12"/>
      <c r="AR124" s="14"/>
      <c r="AS124" s="12"/>
      <c r="AT124" s="14"/>
      <c r="AU124" s="12"/>
      <c r="AV124" s="14"/>
      <c r="AW124" s="12"/>
      <c r="AX124" s="14"/>
      <c r="AY124" s="12"/>
      <c r="AZ124" s="14"/>
      <c r="BA124" s="12"/>
      <c r="BB124" s="14"/>
      <c r="BC124" s="12"/>
      <c r="BD124" s="14"/>
      <c r="BE124" s="12"/>
      <c r="BF124" s="14"/>
      <c r="BG124" s="12"/>
      <c r="BH124" s="14"/>
      <c r="BI124" s="12"/>
      <c r="BJ124" s="14"/>
      <c r="BK124" s="12"/>
      <c r="BL124" s="14"/>
      <c r="BM124" s="12"/>
      <c r="BN124" s="14"/>
      <c r="BO124" s="12"/>
      <c r="BP124" s="14"/>
      <c r="BQ124" s="12"/>
      <c r="BR124" s="14"/>
      <c r="BS124" s="12"/>
      <c r="BT124" s="14"/>
      <c r="BU124" s="12"/>
      <c r="BV124" s="14"/>
      <c r="BW124" s="12"/>
      <c r="BX124" s="14"/>
      <c r="BY124" s="12"/>
      <c r="BZ124" s="14"/>
      <c r="CA124" s="12"/>
      <c r="CB124" s="11"/>
      <c r="CC124" s="12"/>
      <c r="CD124" s="14"/>
      <c r="CE124" s="12"/>
      <c r="CF124" s="14"/>
      <c r="CG124" s="12"/>
      <c r="CH124" s="14"/>
      <c r="CI124" s="12"/>
      <c r="CJ124" s="14"/>
      <c r="CK124" s="12"/>
      <c r="CL124" s="14"/>
      <c r="CM124" s="12"/>
      <c r="CN124" s="14"/>
      <c r="CO124" s="12"/>
      <c r="CP124" s="14"/>
      <c r="CQ124" s="12"/>
      <c r="CR124" s="14"/>
      <c r="CS124" s="12"/>
      <c r="CT124" s="14"/>
      <c r="CU124" s="12"/>
      <c r="CV124" s="14"/>
      <c r="CW124" s="12"/>
      <c r="CX124" s="14"/>
      <c r="CY124" s="12"/>
      <c r="CZ124" s="14"/>
      <c r="DA124" s="12"/>
      <c r="DB124" s="14"/>
      <c r="DC124" s="12"/>
      <c r="DD124" s="14"/>
      <c r="DE124" s="12"/>
      <c r="DF124" s="14"/>
      <c r="DG124" s="12"/>
      <c r="DH124" s="11"/>
      <c r="DI124" s="12"/>
      <c r="DJ124" s="14"/>
      <c r="DK124" s="12"/>
      <c r="DL124" s="14"/>
      <c r="DM124" s="12"/>
      <c r="DN124" s="14"/>
      <c r="DO124" s="12"/>
      <c r="DP124" s="14"/>
      <c r="DQ124" s="12"/>
      <c r="DR124" s="14"/>
      <c r="DS124" s="12"/>
      <c r="DT124" s="14"/>
      <c r="DU124" s="12"/>
      <c r="DV124" s="14"/>
      <c r="DW124" s="12"/>
      <c r="DX124" s="14"/>
      <c r="DY124" s="12"/>
      <c r="DZ124" s="14"/>
      <c r="EA124" s="12"/>
      <c r="EB124" s="14"/>
      <c r="EC124" s="12"/>
      <c r="ED124" s="14"/>
      <c r="EE124" s="12"/>
      <c r="EF124" s="14"/>
      <c r="EG124" s="12"/>
      <c r="EH124" s="14"/>
      <c r="EI124" s="12"/>
      <c r="EJ124" s="14"/>
      <c r="EK124" s="12"/>
      <c r="EL124" s="11"/>
      <c r="EM124" s="12"/>
      <c r="EN124" s="14"/>
      <c r="EO124" s="12"/>
      <c r="EP124" s="11"/>
      <c r="EQ124" s="12"/>
      <c r="ER124" s="6"/>
      <c r="ES124" s="6"/>
      <c r="ET124" s="6"/>
      <c r="EU124" s="6"/>
      <c r="EV124" s="13"/>
      <c r="EW124" s="7"/>
      <c r="EX124" s="13"/>
      <c r="EY124" s="7"/>
      <c r="EZ124" s="6"/>
      <c r="FA124" s="6"/>
      <c r="FB124" s="6"/>
      <c r="FC124" s="7"/>
    </row>
    <row r="125" spans="1:209" x14ac:dyDescent="0.25">
      <c r="A125" s="3"/>
      <c r="B125" s="4"/>
      <c r="C125" s="5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13"/>
      <c r="AE125" s="7"/>
      <c r="AF125" s="6"/>
      <c r="AG125" s="6"/>
      <c r="AH125" s="6"/>
      <c r="AI125" s="6"/>
      <c r="AJ125" s="13"/>
      <c r="AK125" s="7"/>
      <c r="AL125" s="13"/>
      <c r="AM125" s="7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13"/>
      <c r="BQ125" s="7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13"/>
      <c r="FC125" s="7"/>
    </row>
    <row r="126" spans="1:209" x14ac:dyDescent="0.25">
      <c r="A126" s="3"/>
      <c r="B126" s="4"/>
      <c r="C126" s="5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13"/>
      <c r="U126" s="7"/>
      <c r="V126" s="6"/>
      <c r="W126" s="6"/>
      <c r="X126" s="6"/>
      <c r="Y126" s="6"/>
      <c r="Z126" s="6"/>
      <c r="AA126" s="6"/>
      <c r="AB126" s="6"/>
      <c r="AC126" s="6"/>
      <c r="AD126" s="13"/>
      <c r="AE126" s="7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13"/>
      <c r="AW126" s="7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13"/>
      <c r="FC126" s="7"/>
    </row>
    <row r="127" spans="1:209" x14ac:dyDescent="0.25">
      <c r="A127" s="3"/>
      <c r="B127" s="4"/>
      <c r="C127" s="5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13"/>
      <c r="AG127" s="7"/>
      <c r="AH127" s="13"/>
      <c r="AI127" s="7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13"/>
      <c r="FC127" s="7"/>
    </row>
    <row r="128" spans="1:209" x14ac:dyDescent="0.25">
      <c r="A128" s="3"/>
      <c r="B128" s="4"/>
      <c r="C128" s="5"/>
      <c r="D128" s="6"/>
      <c r="E128" s="6"/>
      <c r="F128" s="6"/>
      <c r="G128" s="6"/>
      <c r="H128" s="6"/>
      <c r="I128" s="6"/>
      <c r="J128" s="6"/>
      <c r="K128" s="6"/>
      <c r="L128" s="13"/>
      <c r="M128" s="7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13"/>
      <c r="AI128" s="7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13"/>
      <c r="BC128" s="7"/>
      <c r="BD128" s="13"/>
      <c r="BE128" s="7"/>
      <c r="BF128" s="13"/>
      <c r="BG128" s="7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13"/>
      <c r="CA128" s="7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13"/>
      <c r="CW128" s="7"/>
      <c r="CX128" s="6"/>
      <c r="CY128" s="6"/>
      <c r="CZ128" s="6"/>
      <c r="DA128" s="6"/>
      <c r="DB128" s="6"/>
      <c r="DC128" s="6"/>
      <c r="DD128" s="13"/>
      <c r="DE128" s="7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7"/>
    </row>
    <row r="129" spans="1:159" x14ac:dyDescent="0.25">
      <c r="A129" s="3"/>
      <c r="B129" s="4"/>
      <c r="C129" s="5"/>
      <c r="D129" s="6"/>
      <c r="E129" s="6"/>
      <c r="F129" s="13"/>
      <c r="G129" s="7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13"/>
      <c r="U129" s="7"/>
      <c r="V129" s="6"/>
      <c r="W129" s="6"/>
      <c r="X129" s="6"/>
      <c r="Y129" s="6"/>
      <c r="Z129" s="6"/>
      <c r="AA129" s="6"/>
      <c r="AB129" s="6"/>
      <c r="AC129" s="6"/>
      <c r="AD129" s="13"/>
      <c r="AE129" s="7"/>
      <c r="AF129" s="6"/>
      <c r="AG129" s="6"/>
      <c r="AH129" s="13"/>
      <c r="AI129" s="7"/>
      <c r="AJ129" s="6"/>
      <c r="AK129" s="6"/>
      <c r="AL129" s="6"/>
      <c r="AM129" s="6"/>
      <c r="AN129" s="6"/>
      <c r="AO129" s="6"/>
      <c r="AP129" s="13"/>
      <c r="AQ129" s="7"/>
      <c r="AR129" s="6"/>
      <c r="AS129" s="6"/>
      <c r="AT129" s="13"/>
      <c r="AU129" s="7"/>
      <c r="AV129" s="6"/>
      <c r="AW129" s="6"/>
      <c r="AX129" s="6"/>
      <c r="AY129" s="6"/>
      <c r="AZ129" s="6"/>
      <c r="BA129" s="6"/>
      <c r="BB129" s="13"/>
      <c r="BC129" s="7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13"/>
      <c r="CA129" s="7"/>
      <c r="CB129" s="13"/>
      <c r="CC129" s="7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13"/>
      <c r="CO129" s="7"/>
      <c r="CP129" s="6"/>
      <c r="CQ129" s="6"/>
      <c r="CR129" s="6"/>
      <c r="CS129" s="6"/>
      <c r="CT129" s="13"/>
      <c r="CU129" s="7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13"/>
      <c r="FA129" s="7"/>
      <c r="FB129" s="6"/>
      <c r="FC129" s="7"/>
    </row>
    <row r="130" spans="1:159" x14ac:dyDescent="0.25">
      <c r="A130" s="8"/>
      <c r="B130" s="9"/>
      <c r="C130" s="10"/>
      <c r="D130" s="14"/>
      <c r="E130" s="12"/>
      <c r="F130" s="14"/>
      <c r="G130" s="12"/>
      <c r="H130" s="14"/>
      <c r="I130" s="12"/>
      <c r="J130" s="14"/>
      <c r="K130" s="12"/>
      <c r="L130" s="14"/>
      <c r="M130" s="12"/>
      <c r="N130" s="14"/>
      <c r="O130" s="12"/>
      <c r="P130" s="14"/>
      <c r="Q130" s="12"/>
      <c r="R130" s="14"/>
      <c r="S130" s="12"/>
      <c r="T130" s="14"/>
      <c r="U130" s="12"/>
      <c r="V130" s="14"/>
      <c r="W130" s="12"/>
      <c r="X130" s="11"/>
      <c r="Y130" s="12"/>
      <c r="Z130" s="14"/>
      <c r="AA130" s="12"/>
      <c r="AB130" s="14"/>
      <c r="AC130" s="12"/>
      <c r="AD130" s="14"/>
      <c r="AE130" s="12"/>
      <c r="AF130" s="14"/>
      <c r="AG130" s="12"/>
      <c r="AH130" s="14"/>
      <c r="AI130" s="12"/>
      <c r="AJ130" s="14"/>
      <c r="AK130" s="12"/>
      <c r="AL130" s="14"/>
      <c r="AM130" s="12"/>
      <c r="AN130" s="14"/>
      <c r="AO130" s="12"/>
      <c r="AP130" s="14"/>
      <c r="AQ130" s="12"/>
      <c r="AR130" s="14"/>
      <c r="AS130" s="12"/>
      <c r="AT130" s="14"/>
      <c r="AU130" s="12"/>
      <c r="AV130" s="14"/>
      <c r="AW130" s="12"/>
      <c r="AX130" s="14"/>
      <c r="AY130" s="12"/>
      <c r="AZ130" s="14"/>
      <c r="BA130" s="12"/>
      <c r="BB130" s="14"/>
      <c r="BC130" s="12"/>
      <c r="BD130" s="14"/>
      <c r="BE130" s="12"/>
      <c r="BF130" s="14"/>
      <c r="BG130" s="12"/>
      <c r="BH130" s="14"/>
      <c r="BI130" s="12"/>
      <c r="BJ130" s="14"/>
      <c r="BK130" s="12"/>
      <c r="BL130" s="14"/>
      <c r="BM130" s="12"/>
      <c r="BN130" s="14"/>
      <c r="BO130" s="12"/>
      <c r="BP130" s="14"/>
      <c r="BQ130" s="12"/>
      <c r="BR130" s="14"/>
      <c r="BS130" s="12"/>
      <c r="BT130" s="14"/>
      <c r="BU130" s="12"/>
      <c r="BV130" s="14"/>
      <c r="BW130" s="12"/>
      <c r="BX130" s="14"/>
      <c r="BY130" s="12"/>
      <c r="BZ130" s="14"/>
      <c r="CA130" s="12"/>
      <c r="CB130" s="14"/>
      <c r="CC130" s="12"/>
      <c r="CD130" s="14"/>
      <c r="CE130" s="12"/>
      <c r="CF130" s="14"/>
      <c r="CG130" s="12"/>
      <c r="CH130" s="14"/>
      <c r="CI130" s="12"/>
      <c r="CJ130" s="14"/>
      <c r="CK130" s="12"/>
      <c r="CL130" s="11"/>
      <c r="CM130" s="12"/>
      <c r="CN130" s="14"/>
      <c r="CO130" s="12"/>
      <c r="CP130" s="11"/>
      <c r="CQ130" s="12"/>
      <c r="CR130" s="11"/>
      <c r="CS130" s="12"/>
      <c r="CT130" s="14"/>
      <c r="CU130" s="12"/>
      <c r="CV130" s="14"/>
      <c r="CW130" s="12"/>
      <c r="CX130" s="14"/>
      <c r="CY130" s="12"/>
      <c r="CZ130" s="14"/>
      <c r="DA130" s="12"/>
      <c r="DB130" s="14"/>
      <c r="DC130" s="12"/>
      <c r="DD130" s="14"/>
      <c r="DE130" s="12"/>
      <c r="DF130" s="14"/>
      <c r="DG130" s="12"/>
      <c r="DH130" s="14"/>
      <c r="DI130" s="12"/>
      <c r="DJ130" s="14"/>
      <c r="DK130" s="12"/>
      <c r="DL130" s="14"/>
      <c r="DM130" s="12"/>
      <c r="DN130" s="14"/>
      <c r="DO130" s="12"/>
      <c r="DP130" s="14"/>
      <c r="DQ130" s="12"/>
      <c r="DR130" s="14"/>
      <c r="DS130" s="12"/>
      <c r="DT130" s="14"/>
      <c r="DU130" s="12"/>
      <c r="DV130" s="14"/>
      <c r="DW130" s="12"/>
      <c r="DX130" s="14"/>
      <c r="DY130" s="12"/>
      <c r="DZ130" s="14"/>
      <c r="EA130" s="12"/>
      <c r="EB130" s="14"/>
      <c r="EC130" s="12"/>
      <c r="ED130" s="14"/>
      <c r="EE130" s="12"/>
      <c r="EF130" s="11"/>
      <c r="EG130" s="12"/>
      <c r="EH130" s="14"/>
      <c r="EI130" s="12"/>
      <c r="EJ130" s="11"/>
      <c r="EK130" s="12"/>
      <c r="EL130" s="11"/>
      <c r="EM130" s="12"/>
      <c r="EN130" s="11"/>
      <c r="EO130" s="12"/>
      <c r="EP130" s="14"/>
      <c r="EQ130" s="12"/>
      <c r="ER130" s="14"/>
      <c r="ES130" s="12"/>
      <c r="ET130" s="14"/>
      <c r="EU130" s="12"/>
      <c r="EV130" s="14"/>
      <c r="EW130" s="12"/>
      <c r="EX130" s="14"/>
      <c r="EY130" s="12"/>
      <c r="EZ130" s="14"/>
      <c r="FA130" s="12"/>
      <c r="FB130" s="11"/>
      <c r="FC130" s="12"/>
    </row>
  </sheetData>
  <mergeCells count="86">
    <mergeCell ref="N1:O1"/>
    <mergeCell ref="D1:E1"/>
    <mergeCell ref="F1:G1"/>
    <mergeCell ref="H1:I1"/>
    <mergeCell ref="J1:K1"/>
    <mergeCell ref="L1:M1"/>
    <mergeCell ref="AL1:AM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BJ1:BK1"/>
    <mergeCell ref="AN1:AO1"/>
    <mergeCell ref="AP1:AQ1"/>
    <mergeCell ref="AR1:AS1"/>
    <mergeCell ref="AT1:AU1"/>
    <mergeCell ref="AV1:AW1"/>
    <mergeCell ref="AX1:AY1"/>
    <mergeCell ref="AZ1:BA1"/>
    <mergeCell ref="BB1:BC1"/>
    <mergeCell ref="BD1:BE1"/>
    <mergeCell ref="BF1:BG1"/>
    <mergeCell ref="BH1:BI1"/>
    <mergeCell ref="CH1:CI1"/>
    <mergeCell ref="BL1:BM1"/>
    <mergeCell ref="BN1:BO1"/>
    <mergeCell ref="BP1:BQ1"/>
    <mergeCell ref="BR1:BS1"/>
    <mergeCell ref="BT1:BU1"/>
    <mergeCell ref="BV1:BW1"/>
    <mergeCell ref="BX1:BY1"/>
    <mergeCell ref="BZ1:CA1"/>
    <mergeCell ref="CB1:CC1"/>
    <mergeCell ref="CD1:CE1"/>
    <mergeCell ref="CF1:CG1"/>
    <mergeCell ref="DF1:DG1"/>
    <mergeCell ref="CJ1:CK1"/>
    <mergeCell ref="CL1:CM1"/>
    <mergeCell ref="CN1:CO1"/>
    <mergeCell ref="CP1:CQ1"/>
    <mergeCell ref="CR1:CS1"/>
    <mergeCell ref="CT1:CU1"/>
    <mergeCell ref="CV1:CW1"/>
    <mergeCell ref="CX1:CY1"/>
    <mergeCell ref="CZ1:DA1"/>
    <mergeCell ref="DB1:DC1"/>
    <mergeCell ref="DD1:DE1"/>
    <mergeCell ref="ED1:EE1"/>
    <mergeCell ref="DH1:DI1"/>
    <mergeCell ref="DJ1:DK1"/>
    <mergeCell ref="DL1:DM1"/>
    <mergeCell ref="DN1:DO1"/>
    <mergeCell ref="DP1:DQ1"/>
    <mergeCell ref="DR1:DS1"/>
    <mergeCell ref="DT1:DU1"/>
    <mergeCell ref="DV1:DW1"/>
    <mergeCell ref="DX1:DY1"/>
    <mergeCell ref="DZ1:EA1"/>
    <mergeCell ref="EB1:EC1"/>
    <mergeCell ref="FB1:FC1"/>
    <mergeCell ref="EF1:EG1"/>
    <mergeCell ref="EH1:EI1"/>
    <mergeCell ref="EJ1:EK1"/>
    <mergeCell ref="EL1:EM1"/>
    <mergeCell ref="EN1:EO1"/>
    <mergeCell ref="EP1:EQ1"/>
    <mergeCell ref="ER1:ES1"/>
    <mergeCell ref="ET1:EU1"/>
    <mergeCell ref="EV1:EW1"/>
    <mergeCell ref="EX1:EY1"/>
    <mergeCell ref="EZ1:FA1"/>
    <mergeCell ref="FP1:FQ1"/>
    <mergeCell ref="FR1:FS1"/>
    <mergeCell ref="FD1:FE1"/>
    <mergeCell ref="FF1:FG1"/>
    <mergeCell ref="FH1:FI1"/>
    <mergeCell ref="FJ1:FK1"/>
    <mergeCell ref="FL1:FM1"/>
    <mergeCell ref="FN1:FO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1"/>
  </sheetPr>
  <dimension ref="A1:CI6019"/>
  <sheetViews>
    <sheetView showGridLines="0" zoomScaleNormal="100" workbookViewId="0"/>
  </sheetViews>
  <sheetFormatPr defaultRowHeight="15" x14ac:dyDescent="0.25"/>
  <cols>
    <col min="1" max="1" width="57.7109375" style="25" customWidth="1"/>
    <col min="2" max="2" width="33.5703125" style="25" bestFit="1" customWidth="1"/>
    <col min="3" max="3" width="14.5703125" style="25" customWidth="1"/>
    <col min="4" max="7" width="15.42578125" style="25" customWidth="1"/>
    <col min="8" max="8" width="40.85546875" style="25" bestFit="1" customWidth="1"/>
    <col min="9" max="9" width="18.42578125" style="25" customWidth="1"/>
    <col min="10" max="10" width="4.140625" style="25" customWidth="1"/>
    <col min="11" max="11" width="15.5703125" style="25" customWidth="1"/>
    <col min="12" max="12" width="4.5703125" customWidth="1"/>
    <col min="13" max="16" width="14" customWidth="1"/>
    <col min="17" max="17" width="33.5703125" bestFit="1" customWidth="1"/>
    <col min="18" max="18" width="36.7109375" bestFit="1" customWidth="1"/>
    <col min="20" max="20" width="16.85546875" customWidth="1"/>
    <col min="21" max="22" width="12.85546875" customWidth="1"/>
    <col min="23" max="23" width="12.28515625" bestFit="1" customWidth="1"/>
    <col min="64" max="66" width="9.140625" customWidth="1"/>
    <col min="67" max="68" width="9.5703125" customWidth="1"/>
    <col min="69" max="69" width="35.42578125" customWidth="1"/>
    <col min="70" max="71" width="29.42578125" customWidth="1"/>
    <col min="72" max="72" width="11.140625" customWidth="1"/>
    <col min="73" max="73" width="57" customWidth="1"/>
    <col min="74" max="74" width="9.140625" customWidth="1"/>
    <col min="75" max="75" width="16" style="18" customWidth="1"/>
    <col min="76" max="76" width="59.140625" style="18" customWidth="1"/>
    <col min="77" max="77" width="38.28515625" style="18" customWidth="1"/>
    <col min="78" max="78" width="56.5703125" style="18" customWidth="1"/>
    <col min="79" max="79" width="26" style="18" customWidth="1"/>
    <col min="80" max="81" width="60.5703125" style="18" customWidth="1"/>
    <col min="82" max="82" width="11.7109375" style="18" customWidth="1"/>
    <col min="83" max="83" width="63.85546875" style="18" customWidth="1"/>
    <col min="84" max="84" width="21" customWidth="1"/>
    <col min="85" max="85" width="20.85546875" customWidth="1"/>
    <col min="86" max="86" width="14.7109375" customWidth="1"/>
    <col min="87" max="87" width="18.5703125" customWidth="1"/>
  </cols>
  <sheetData>
    <row r="1" spans="1:87" ht="32.25" customHeight="1" x14ac:dyDescent="0.25">
      <c r="A1" s="28" t="s">
        <v>483</v>
      </c>
      <c r="B1" s="29" t="s">
        <v>482</v>
      </c>
      <c r="C1" s="29" t="s">
        <v>500</v>
      </c>
      <c r="D1" s="37"/>
      <c r="E1" s="37"/>
      <c r="F1" s="37"/>
      <c r="G1" s="37"/>
      <c r="H1" s="32" t="s">
        <v>241</v>
      </c>
      <c r="I1" s="32" t="s">
        <v>242</v>
      </c>
      <c r="J1" s="33"/>
      <c r="K1" s="32" t="s">
        <v>344</v>
      </c>
      <c r="L1" s="18"/>
      <c r="M1" s="32" t="s">
        <v>646</v>
      </c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>
        <v>74</v>
      </c>
      <c r="BW1" s="15" t="s">
        <v>510</v>
      </c>
      <c r="BX1" s="15" t="s">
        <v>511</v>
      </c>
      <c r="BY1" s="24" t="s">
        <v>512</v>
      </c>
      <c r="BZ1" s="15" t="s">
        <v>508</v>
      </c>
      <c r="CA1" s="24" t="s">
        <v>509</v>
      </c>
      <c r="CB1" s="16" t="s">
        <v>487</v>
      </c>
      <c r="CC1" s="16" t="s">
        <v>486</v>
      </c>
      <c r="CD1" s="16" t="s">
        <v>484</v>
      </c>
      <c r="CE1" s="16" t="s">
        <v>485</v>
      </c>
      <c r="CF1" s="26" t="s">
        <v>498</v>
      </c>
      <c r="CG1" s="26" t="s">
        <v>496</v>
      </c>
      <c r="CH1" s="26" t="s">
        <v>497</v>
      </c>
      <c r="CI1" s="26" t="s">
        <v>499</v>
      </c>
    </row>
    <row r="2" spans="1:87" ht="15.75" x14ac:dyDescent="0.25">
      <c r="A2" s="30" t="s">
        <v>3</v>
      </c>
      <c r="B2" s="30" t="s">
        <v>3</v>
      </c>
      <c r="C2" s="30" t="s">
        <v>210</v>
      </c>
      <c r="D2" s="35"/>
      <c r="E2" s="35"/>
      <c r="F2" s="35"/>
      <c r="G2" s="35"/>
      <c r="H2" s="31" t="s">
        <v>240</v>
      </c>
      <c r="I2" s="31" t="s">
        <v>243</v>
      </c>
      <c r="J2" s="34"/>
      <c r="K2" s="31" t="s">
        <v>345</v>
      </c>
      <c r="M2" s="31" t="s">
        <v>647</v>
      </c>
      <c r="X2" s="25"/>
      <c r="BW2" s="17" t="s">
        <v>211</v>
      </c>
      <c r="BX2" s="17" t="str" cm="1">
        <f t="array" ref="BX2:BY471">_xlfn._xlws.FILTER($A1:$B600,$C1:$C600="Qty")</f>
        <v>1 LTR Pouch</v>
      </c>
      <c r="BY2" s="17" t="str">
        <v>1 LTR Pouch</v>
      </c>
      <c r="BZ2" s="17" t="str" cm="1">
        <f t="array" ref="BZ2:CA48">_xlfn._xlws.FILTER($A1:$B600,$C1:$C600="Amount")</f>
        <v>NAKSHATRA AGARBATTI Rs 10 BOX (3 in 1)</v>
      </c>
      <c r="CA2" s="17" t="str">
        <v>AGARBATTI 3 in 1 RS.10 LUP</v>
      </c>
      <c r="CB2" s="17" t="str" cm="1">
        <f t="array" ref="CB2">_xlfn._xlws.SORT(_xlfn.UNIQUE(_xlfn._xlws.FILTER($CC$2:$CC$2000,$CD$2:$CD$2000="NOT ADDED","NO DATA")))</f>
        <v>NO DATA</v>
      </c>
      <c r="CC2" s="17" t="str" cm="1">
        <f t="array" ref="CC2:CC87">_xlfn._xlws.SORT(_xlfn._xlws.FILTER(_xlfn.UNIQUE($CE2:$CE2000),(_xlfn.UNIQUE($CE2:$CE2000)&lt;&gt;0)*(_xlfn.UNIQUE($CE2:$CE2000)&lt;&gt;""),"NO DATA"))</f>
        <v>COCONUT OIL 1 LTR BOX</v>
      </c>
      <c r="CD2" s="17" t="str" cm="1">
        <f t="array" ref="CD2">_xlfn.IFS(CC2="","",COUNTIF(A:A,CC2)&gt;0,"ADDED",COUNTIF(B:B,CC2)&gt;0,"ADDED",COUNTIF(A:A,CC2)=0,"NOT ADDED")</f>
        <v>ADDED</v>
      </c>
      <c r="CE2" s="17" t="str" cm="1">
        <f t="array" ref="CE2:CE88">_xlfn.UNIQUE(TRANSPOSE('TALLY BOX DUMP'!D1:IN1))</f>
        <v>REF SUNFLOWER OIL 1 LTR BOX</v>
      </c>
      <c r="CF2" s="27">
        <f>(COUNTA($A:$A)=COUNTA($B:$B))*1</f>
        <v>1</v>
      </c>
      <c r="CG2" s="27">
        <f>(COUNTA('TALLY BOX DUMP'!$A:$A)=COUNTA('TALLY KG DUMP'!$A:$A))*1</f>
        <v>1</v>
      </c>
      <c r="CH2" s="27">
        <f>((COUNTA('TALLY KG DUMP'!$A:$A)&gt;0)*1)+((COUNTA('TALLY BOX DUMP'!$A:$A)&gt;0)*1)</f>
        <v>2</v>
      </c>
      <c r="CI2" s="27">
        <f>(COUNTIF($B:$B,CC2)&gt;0)*1</f>
        <v>0</v>
      </c>
    </row>
    <row r="3" spans="1:87" x14ac:dyDescent="0.25">
      <c r="A3" s="31" t="s">
        <v>501</v>
      </c>
      <c r="B3" s="30" t="s">
        <v>688</v>
      </c>
      <c r="C3" s="30" t="s">
        <v>211</v>
      </c>
      <c r="D3" s="35"/>
      <c r="E3" s="35"/>
      <c r="H3" s="31" t="s">
        <v>255</v>
      </c>
      <c r="I3" s="31" t="s">
        <v>256</v>
      </c>
      <c r="J3" s="34"/>
      <c r="K3" s="31" t="s">
        <v>346</v>
      </c>
      <c r="M3" s="31" t="s">
        <v>648</v>
      </c>
      <c r="BW3" s="17" t="s">
        <v>210</v>
      </c>
      <c r="BX3" s="17" t="str">
        <v>SUNRAJA DAILY BADAM DRINK MIX 200gm POUCH BOX</v>
      </c>
      <c r="BY3" s="17" t="str">
        <v>DAILY BADAM 200 G</v>
      </c>
      <c r="BZ3" s="17" t="str">
        <v>NAKSHATRA AGARBATTI Rs 10 PACK BOX (3 in 1)</v>
      </c>
      <c r="CA3" s="17" t="str">
        <v>AGARBATTI 3 in 1 RS.10 LUP</v>
      </c>
      <c r="CB3" s="17"/>
      <c r="CC3" s="17" t="str">
        <v>COCONUT OIL 1 LTR PET BOX</v>
      </c>
      <c r="CD3" s="17" t="str" cm="1">
        <f t="array" ref="CD3">_xlfn.IFS(CC3="","",COUNTIF(A:A,CC3)&gt;0,"ADDED",COUNTIF(B:B,CC3)&gt;0,"ADDED",COUNTIF(A:A,CC3)=0,"NOT ADDED")</f>
        <v>ADDED</v>
      </c>
      <c r="CE3" s="17">
        <v>0</v>
      </c>
    </row>
    <row r="4" spans="1:87" ht="15.75" x14ac:dyDescent="0.25">
      <c r="A4" s="31" t="s">
        <v>613</v>
      </c>
      <c r="B4" s="30" t="s">
        <v>688</v>
      </c>
      <c r="C4" s="30" t="s">
        <v>211</v>
      </c>
      <c r="D4" s="35"/>
      <c r="E4" s="35"/>
      <c r="H4" s="31" t="s">
        <v>276</v>
      </c>
      <c r="I4" s="31" t="s">
        <v>277</v>
      </c>
      <c r="J4" s="34"/>
      <c r="K4" s="31" t="s">
        <v>347</v>
      </c>
      <c r="M4" s="31"/>
      <c r="BW4" s="17"/>
      <c r="BX4" s="17" t="str">
        <v>SUNRAJA DAILY BADAM DRINK MIX  200gm POUCH (FREE)</v>
      </c>
      <c r="BY4" s="17" t="str">
        <v>DAILY BADAM 200 G FREE</v>
      </c>
      <c r="BZ4" s="17" t="str">
        <v>Rs 10 BOX (3 in 1)</v>
      </c>
      <c r="CA4" s="17" t="str">
        <v>AGARBATTI 3 IN 1 RS.10 LUP</v>
      </c>
      <c r="CB4" s="17"/>
      <c r="CC4" s="17" t="str">
        <v>COCONUT OIL 1/2 LTR BOX</v>
      </c>
      <c r="CD4" s="17" t="str" cm="1">
        <f t="array" ref="CD4">_xlfn.IFS(CC4="","",COUNTIF(A:A,CC4)&gt;0,"ADDED",COUNTIF(B:B,CC4)&gt;0,"ADDED",COUNTIF(A:A,CC4)=0,"NOT ADDED")</f>
        <v>ADDED</v>
      </c>
      <c r="CE4" s="17" t="str">
        <v>REF SUNFLOWER OIL 2 LTR PET BOX</v>
      </c>
      <c r="CF4" s="26" t="s">
        <v>649</v>
      </c>
      <c r="CG4" s="26" t="s">
        <v>650</v>
      </c>
      <c r="CH4" s="26" t="s">
        <v>212</v>
      </c>
    </row>
    <row r="5" spans="1:87" ht="15.75" x14ac:dyDescent="0.25">
      <c r="A5" s="31" t="s">
        <v>549</v>
      </c>
      <c r="B5" s="30" t="s">
        <v>689</v>
      </c>
      <c r="C5" s="30" t="s">
        <v>211</v>
      </c>
      <c r="D5" s="35"/>
      <c r="E5" s="35"/>
      <c r="H5" s="31" t="s">
        <v>278</v>
      </c>
      <c r="I5" s="31" t="s">
        <v>279</v>
      </c>
      <c r="J5" s="34"/>
      <c r="K5" s="31" t="s">
        <v>348</v>
      </c>
      <c r="M5" s="31"/>
      <c r="BW5" s="17"/>
      <c r="BX5" s="17" t="str">
        <v>SUNRAJA DAILY BADAM MIX Rs 10 POUCH BOX</v>
      </c>
      <c r="BY5" s="17" t="str">
        <v>DAILY BADAM RS.10 LUP</v>
      </c>
      <c r="BZ5" s="17" t="str">
        <v>Rs 10 BOX (3 in 1) Free</v>
      </c>
      <c r="CA5" s="17" t="str">
        <v>AGARBATTI 3 IN 1 RS.10 LUP</v>
      </c>
      <c r="CB5" s="17"/>
      <c r="CC5" s="17" t="str">
        <v>COCONUT OIL 1/2 LTR PET BOX</v>
      </c>
      <c r="CD5" s="17" t="str" cm="1">
        <f t="array" ref="CD5">_xlfn.IFS(CC5="","",COUNTIF(A:A,CC5)&gt;0,"ADDED",COUNTIF(B:B,CC5)&gt;0,"ADDED",COUNTIF(A:A,CC5)=0,"NOT ADDED")</f>
        <v>ADDED</v>
      </c>
      <c r="CE5" s="17" t="str">
        <v>REF SUNFLOWER OIL 5 LTR CAN BOX</v>
      </c>
      <c r="CF5" s="54">
        <f>(COUNTA('TALLY BOX DUMP'!2:2)-1)/2</f>
        <v>87</v>
      </c>
      <c r="CG5" s="27">
        <f>COUNTA('TALLY BOX DUMP'!A:A)</f>
        <v>112</v>
      </c>
      <c r="CH5" s="27">
        <f>COLUMN(_xlfn.XLOOKUP($CH$4,'TALLY BOX DUMP'!1:1,'TALLY BOX DUMP'!1:1))</f>
        <v>174</v>
      </c>
    </row>
    <row r="6" spans="1:87" x14ac:dyDescent="0.25">
      <c r="A6" s="31" t="s">
        <v>550</v>
      </c>
      <c r="B6" s="30" t="s">
        <v>689</v>
      </c>
      <c r="C6" s="30" t="s">
        <v>211</v>
      </c>
      <c r="D6" s="35"/>
      <c r="E6" s="35"/>
      <c r="H6" s="31" t="s">
        <v>280</v>
      </c>
      <c r="I6" s="31" t="s">
        <v>280</v>
      </c>
      <c r="J6" s="34"/>
      <c r="K6" s="31" t="s">
        <v>349</v>
      </c>
      <c r="BW6" s="17"/>
      <c r="BX6" s="17" t="str">
        <v>Mr.CASTOR OIL 100ml PET</v>
      </c>
      <c r="BY6" s="17" t="str">
        <v>CASTOR 100ML LUP</v>
      </c>
      <c r="BZ6" s="17" t="str">
        <v>NAKSHATRA AGARBATTI Rs 12 PACK BOX (3in1)</v>
      </c>
      <c r="CA6" s="17" t="str">
        <v>AGARBATTI 3 IN 1 RS.12 LUP</v>
      </c>
      <c r="CB6" s="17"/>
      <c r="CC6" s="17" t="str">
        <v>COCONUT OIL 200 ML PET BOX</v>
      </c>
      <c r="CD6" s="17" t="str" cm="1">
        <f t="array" ref="CD6">_xlfn.IFS(CC6="","",COUNTIF(A:A,CC6)&gt;0,"ADDED",COUNTIF(B:B,CC6)&gt;0,"ADDED",COUNTIF(A:A,CC6)=0,"NOT ADDED")</f>
        <v>ADDED</v>
      </c>
      <c r="CE6" s="17" t="str">
        <v>GROUNDNUT RAW OIL 1 LTR BOX (GULAS OFFER)</v>
      </c>
    </row>
    <row r="7" spans="1:87" x14ac:dyDescent="0.25">
      <c r="A7" s="31" t="s">
        <v>490</v>
      </c>
      <c r="B7" s="30" t="s">
        <v>684</v>
      </c>
      <c r="C7" s="30" t="s">
        <v>211</v>
      </c>
      <c r="D7" s="35"/>
      <c r="E7" s="35"/>
      <c r="F7" s="35"/>
      <c r="G7" s="35"/>
      <c r="H7" s="31" t="s">
        <v>297</v>
      </c>
      <c r="I7" s="31" t="s">
        <v>298</v>
      </c>
      <c r="J7" s="34"/>
      <c r="K7" s="31" t="s">
        <v>350</v>
      </c>
      <c r="BW7" s="17"/>
      <c r="BX7" s="17" t="str">
        <v>Mr.CASTOR OIL 100ml PET BOX</v>
      </c>
      <c r="BY7" s="17" t="str">
        <v>CASTOR 100ML LUP</v>
      </c>
      <c r="BZ7" s="17" t="str">
        <v>NAKSHATRA AGARBATTI Rs 55 BOX (3 in 1)</v>
      </c>
      <c r="CA7" s="17" t="str">
        <v>AGARBATTI 3 IN 1 RS.55</v>
      </c>
      <c r="CB7" s="17"/>
      <c r="CC7" s="17" t="str">
        <v>DAILY BADAM DRINK MIX 200gm POUCH BOX</v>
      </c>
      <c r="CD7" s="17" t="str" cm="1">
        <f t="array" ref="CD7">_xlfn.IFS(CC7="","",COUNTIF(A:A,CC7)&gt;0,"ADDED",COUNTIF(B:B,CC7)&gt;0,"ADDED",COUNTIF(A:A,CC7)=0,"NOT ADDED")</f>
        <v>ADDED</v>
      </c>
      <c r="CE7" s="17" t="str">
        <v>NAKSHATRA POOJA OIL 1/2 LTR PET BOX (AGARBATHI)</v>
      </c>
    </row>
    <row r="8" spans="1:87" x14ac:dyDescent="0.25">
      <c r="A8" s="31" t="s">
        <v>504</v>
      </c>
      <c r="B8" s="30" t="s">
        <v>631</v>
      </c>
      <c r="C8" s="30" t="s">
        <v>211</v>
      </c>
      <c r="D8" s="35"/>
      <c r="E8" s="35"/>
      <c r="F8" s="35"/>
      <c r="G8" s="35"/>
      <c r="H8" s="31" t="s">
        <v>300</v>
      </c>
      <c r="I8" s="31" t="s">
        <v>301</v>
      </c>
      <c r="J8" s="34"/>
      <c r="K8" s="31" t="s">
        <v>351</v>
      </c>
      <c r="BW8" s="17"/>
      <c r="BX8" s="17" t="str">
        <v>CHAKKI FRESH ATTA</v>
      </c>
      <c r="BY8" s="17" t="str">
        <v>DAILY CHAKKI ATTA 1 KG</v>
      </c>
      <c r="BZ8" s="17" t="str">
        <v>NAKSHATRA AGARBATTI Rs 55 PACK BOX (3 in 1)</v>
      </c>
      <c r="CA8" s="17" t="str">
        <v>AGARBATTI 3 IN 1 RS.55</v>
      </c>
      <c r="CB8" s="17"/>
      <c r="CC8" s="17" t="str">
        <v>DAILY BADAM MIX Rs 10 POUCH BOX</v>
      </c>
      <c r="CD8" s="17" t="str" cm="1">
        <f t="array" ref="CD8">_xlfn.IFS(CC8="","",COUNTIF(A:A,CC8)&gt;0,"ADDED",COUNTIF(B:B,CC8)&gt;0,"ADDED",COUNTIF(A:A,CC8)=0,"NOT ADDED")</f>
        <v>ADDED</v>
      </c>
      <c r="CE8" s="17" t="str">
        <v>NAKSHATRA POOJA OIL 1 LTR PET BOX (AGARBATHI)</v>
      </c>
    </row>
    <row r="9" spans="1:87" ht="15" customHeight="1" x14ac:dyDescent="0.25">
      <c r="A9" s="31" t="s">
        <v>469</v>
      </c>
      <c r="B9" s="30" t="s">
        <v>631</v>
      </c>
      <c r="C9" s="30" t="s">
        <v>211</v>
      </c>
      <c r="D9" s="35"/>
      <c r="E9" s="35"/>
      <c r="F9" s="35"/>
      <c r="G9" s="35"/>
      <c r="H9" s="31" t="s">
        <v>308</v>
      </c>
      <c r="I9" s="31" t="s">
        <v>309</v>
      </c>
      <c r="J9" s="34"/>
      <c r="K9" s="31" t="s">
        <v>352</v>
      </c>
      <c r="BW9" s="17"/>
      <c r="BX9" s="17" t="str">
        <v>CHAKKI FRESH ATTA 30Kg</v>
      </c>
      <c r="BY9" s="17" t="str">
        <v>DAILY CHAKKI ATTA 1 KG</v>
      </c>
      <c r="BZ9" s="17" t="str">
        <v>Rs 55 BOX (3 in 1)</v>
      </c>
      <c r="CA9" s="17" t="str">
        <v>AGARBATTI 3 IN 1 RS.55</v>
      </c>
      <c r="CB9" s="17"/>
      <c r="CC9" s="17" t="str">
        <v>DAILY DOUBLE ROASTED RAVA 200g POUCH - 10Kg BAG</v>
      </c>
      <c r="CD9" s="17" t="str" cm="1">
        <f t="array" ref="CD9">_xlfn.IFS(CC9="","",COUNTIF(A:A,CC9)&gt;0,"ADDED",COUNTIF(B:B,CC9)&gt;0,"ADDED",COUNTIF(A:A,CC9)=0,"NOT ADDED")</f>
        <v>ADDED</v>
      </c>
      <c r="CE9" s="17" t="str">
        <v>GROUNDNUT RAW OIL 1 LTR PET BOX (GULAS OFFER)</v>
      </c>
    </row>
    <row r="10" spans="1:87" ht="15" customHeight="1" x14ac:dyDescent="0.25">
      <c r="A10" s="31" t="s">
        <v>553</v>
      </c>
      <c r="B10" s="30" t="s">
        <v>631</v>
      </c>
      <c r="C10" s="30" t="s">
        <v>211</v>
      </c>
      <c r="D10" s="35"/>
      <c r="E10" s="35"/>
      <c r="F10" s="35"/>
      <c r="G10" s="35"/>
      <c r="H10" s="31" t="s">
        <v>338</v>
      </c>
      <c r="I10" s="31" t="s">
        <v>339</v>
      </c>
      <c r="J10" s="34"/>
      <c r="K10" s="31" t="s">
        <v>362</v>
      </c>
      <c r="BW10" s="17"/>
      <c r="BX10" s="17" t="str">
        <v>DAILY CHAKKI FRESH ATTA 1 KG POUCH - 30Kg BAG FREE</v>
      </c>
      <c r="BY10" s="17" t="str">
        <v>DAILY CHAKKI ATTA 1 KG</v>
      </c>
      <c r="BZ10" s="17" t="str">
        <v>Rs 55 BOX (3 in 1) Free</v>
      </c>
      <c r="CA10" s="17" t="str">
        <v>AGARBATTI 3 IN 1 RS.55</v>
      </c>
      <c r="CB10" s="17"/>
      <c r="CC10" s="17" t="str">
        <v>DAILY DOUBLE ROASTED RAVA 500g POUCH - 30Kg BAG</v>
      </c>
      <c r="CD10" s="17" t="str" cm="1">
        <f t="array" ref="CD10">_xlfn.IFS(CC10="","",COUNTIF(A:A,CC10)&gt;0,"ADDED",COUNTIF(B:B,CC10)&gt;0,"ADDED",COUNTIF(A:A,CC10)=0,"NOT ADDED")</f>
        <v>ADDED</v>
      </c>
      <c r="CE10" s="17" t="str">
        <v>GROUNDNUT RAW OIL 5 LTR CAN BOX</v>
      </c>
    </row>
    <row r="11" spans="1:87" ht="15" customHeight="1" x14ac:dyDescent="0.25">
      <c r="A11" s="31" t="s">
        <v>554</v>
      </c>
      <c r="B11" s="30" t="s">
        <v>631</v>
      </c>
      <c r="C11" s="30" t="s">
        <v>211</v>
      </c>
      <c r="D11" s="35"/>
      <c r="E11" s="35"/>
      <c r="F11" s="35"/>
      <c r="G11" s="35"/>
      <c r="H11" s="31" t="s">
        <v>340</v>
      </c>
      <c r="I11" s="31" t="s">
        <v>341</v>
      </c>
      <c r="J11" s="34"/>
      <c r="K11" s="31" t="s">
        <v>390</v>
      </c>
      <c r="BW11" s="17"/>
      <c r="BX11" s="17" t="str">
        <v>DAILY CHAKKI FRESH ATTA 1 KG POUCH BAG FREE</v>
      </c>
      <c r="BY11" s="17" t="str">
        <v>DAILY CHAKKI ATTA 1 KG</v>
      </c>
      <c r="BZ11" s="17" t="str">
        <v>NAKSHATRA AGARBATTI Rs 10 COMBO BOX</v>
      </c>
      <c r="CA11" s="17" t="str">
        <v>AGARBATTI COMBO RS.10 LUP</v>
      </c>
      <c r="CB11" s="17"/>
      <c r="CC11" s="17" t="str">
        <v>DAILY REFINED WHEAT FLOUR (MAIDA) - 30 Kg BAG</v>
      </c>
      <c r="CD11" s="17" t="str" cm="1">
        <f t="array" ref="CD11">_xlfn.IFS(CC11="","",COUNTIF(A:A,CC11)&gt;0,"ADDED",COUNTIF(B:B,CC11)&gt;0,"ADDED",COUNTIF(A:A,CC11)=0,"NOT ADDED")</f>
        <v>ADDED</v>
      </c>
      <c r="CE11" s="17" t="str">
        <v>REF RICE BRAN OIL 1 LTR BOX</v>
      </c>
      <c r="CF11" s="56" t="s">
        <v>672</v>
      </c>
      <c r="CG11" s="56" t="s">
        <v>673</v>
      </c>
    </row>
    <row r="12" spans="1:87" ht="15" customHeight="1" x14ac:dyDescent="0.25">
      <c r="A12" s="31" t="s">
        <v>557</v>
      </c>
      <c r="B12" s="30" t="s">
        <v>690</v>
      </c>
      <c r="C12" s="30" t="s">
        <v>211</v>
      </c>
      <c r="D12" s="35"/>
      <c r="E12" s="35"/>
      <c r="F12" s="35"/>
      <c r="G12" s="35"/>
      <c r="H12" s="31" t="s">
        <v>343</v>
      </c>
      <c r="I12" s="31" t="s">
        <v>342</v>
      </c>
      <c r="J12" s="34"/>
      <c r="K12" s="31" t="s">
        <v>353</v>
      </c>
      <c r="BW12" s="17"/>
      <c r="BX12" s="17" t="str">
        <v>DAILY CHAKKI FRESH ATTA 1 KG POUCH FREE</v>
      </c>
      <c r="BY12" s="17" t="str">
        <v>DAILY CHAKKI ATTA 1 KG</v>
      </c>
      <c r="BZ12" s="17" t="str">
        <v>NAKSHATRA AGARBATTI Rs 10 COMBO BOX</v>
      </c>
      <c r="CA12" s="17" t="str">
        <v>AGARBATTI COMBO RS.10 LUP</v>
      </c>
      <c r="CB12" s="17"/>
      <c r="CC12" s="17" t="str">
        <v>DAILY SAMBA  RAVA 500g POUCH - 10Kg BAG</v>
      </c>
      <c r="CD12" s="17" t="str" cm="1">
        <f t="array" ref="CD12">_xlfn.IFS(CC12="","",COUNTIF(A:A,CC12)&gt;0,"ADDED",COUNTIF(B:B,CC12)&gt;0,"ADDED",COUNTIF(A:A,CC12)=0,"NOT ADDED")</f>
        <v>ADDED</v>
      </c>
      <c r="CE12" s="17" t="str">
        <v>NAKSHATRA AGARBATTI Rs 12 PACK BOX (3in1)</v>
      </c>
    </row>
    <row r="13" spans="1:87" ht="15.75" customHeight="1" x14ac:dyDescent="0.25">
      <c r="A13" s="31" t="s">
        <v>561</v>
      </c>
      <c r="B13" s="30" t="s">
        <v>690</v>
      </c>
      <c r="C13" s="30" t="s">
        <v>211</v>
      </c>
      <c r="D13" s="35"/>
      <c r="E13" s="53"/>
      <c r="F13" s="35"/>
      <c r="G13" s="35"/>
      <c r="H13" s="31" t="s">
        <v>630</v>
      </c>
      <c r="I13" s="31" t="s">
        <v>514</v>
      </c>
      <c r="J13" s="34"/>
      <c r="K13" s="31" t="s">
        <v>354</v>
      </c>
      <c r="BW13" s="17"/>
      <c r="BX13" s="17" t="str">
        <v>COCONUT OIL 1 LTR BOX</v>
      </c>
      <c r="BY13" s="17" t="str">
        <v>COC 1 L</v>
      </c>
      <c r="BZ13" s="17" t="str">
        <v>NAKSHATRA AGARBATTI Rs 55 COMBO BOX</v>
      </c>
      <c r="CA13" s="17" t="str">
        <v>AGARBATTI COMBO RS.55</v>
      </c>
      <c r="CB13" s="17"/>
      <c r="CC13" s="17" t="str">
        <v>DAILY VERMICELLI (SEMIYA) 180gm PKT-3.6 Kg BAG</v>
      </c>
      <c r="CD13" s="17" t="str" cm="1">
        <f t="array" ref="CD13">_xlfn.IFS(CC13="","",COUNTIF(A:A,CC13)&gt;0,"ADDED",COUNTIF(B:B,CC13)&gt;0,"ADDED",COUNTIF(A:A,CC13)=0,"NOT ADDED")</f>
        <v>ADDED</v>
      </c>
      <c r="CE13" s="17" t="str">
        <v>GROUNDNUT RAW OIL RS.10PACK BOX (08.01.25)</v>
      </c>
    </row>
    <row r="14" spans="1:87" x14ac:dyDescent="0.25">
      <c r="A14" s="31" t="s">
        <v>558</v>
      </c>
      <c r="B14" s="30" t="s">
        <v>634</v>
      </c>
      <c r="C14" s="30" t="s">
        <v>211</v>
      </c>
      <c r="D14" s="35"/>
      <c r="E14" s="35"/>
      <c r="F14" s="35"/>
      <c r="G14" s="35"/>
      <c r="H14" s="31" t="s">
        <v>636</v>
      </c>
      <c r="I14" s="31" t="s">
        <v>651</v>
      </c>
      <c r="J14" s="34"/>
      <c r="K14" s="31" t="s">
        <v>355</v>
      </c>
      <c r="BW14" s="17"/>
      <c r="BX14" s="17" t="str">
        <v>COCONUT OIL 1 LTR BOX (FREE)</v>
      </c>
      <c r="BY14" s="17" t="str">
        <v>COC 1 L</v>
      </c>
      <c r="BZ14" s="17" t="str">
        <v>NAKSHATRA AGARBATTI Rs 55 COMBO BOX</v>
      </c>
      <c r="CA14" s="17" t="str">
        <v>AGARBATTI COMBO RS.55</v>
      </c>
      <c r="CB14" s="17"/>
      <c r="CC14" s="17" t="str">
        <v>GINGELLY OIL 1 LTR BOX</v>
      </c>
      <c r="CD14" s="17" t="str" cm="1">
        <f t="array" ref="CD14">_xlfn.IFS(CC14="","",COUNTIF(A:A,CC14)&gt;0,"ADDED",COUNTIF(B:B,CC14)&gt;0,"ADDED",COUNTIF(A:A,CC14)=0,"NOT ADDED")</f>
        <v>ADDED</v>
      </c>
      <c r="CE14" s="17" t="str">
        <v>GROUNDNUT RAW OIL RS.20 PACK BOX (08.01.25)</v>
      </c>
    </row>
    <row r="15" spans="1:87" x14ac:dyDescent="0.25">
      <c r="A15" s="31" t="s">
        <v>562</v>
      </c>
      <c r="B15" s="30" t="s">
        <v>634</v>
      </c>
      <c r="C15" s="30" t="s">
        <v>211</v>
      </c>
      <c r="D15" s="35"/>
      <c r="E15" s="53"/>
      <c r="F15" s="35"/>
      <c r="G15" s="35"/>
      <c r="H15" s="31" t="s">
        <v>638</v>
      </c>
      <c r="I15" s="31" t="s">
        <v>652</v>
      </c>
      <c r="J15" s="34"/>
      <c r="K15" s="31" t="s">
        <v>356</v>
      </c>
      <c r="BW15" s="17"/>
      <c r="BX15" s="17" t="str">
        <v>COCONUT OIL 1 LTR BOX (OFFER)</v>
      </c>
      <c r="BY15" s="17" t="str">
        <v>COC 1 L</v>
      </c>
      <c r="BZ15" s="17" t="str">
        <v>NAKSHATRA AGARBATTI Rs 55 MEGA COMBO BOX</v>
      </c>
      <c r="CA15" s="17" t="str">
        <v>AGARBATTI COMBO RS.55</v>
      </c>
      <c r="CB15" s="17"/>
      <c r="CC15" s="17" t="str">
        <v>GINGELLY OIL 1 LTR PET BOX</v>
      </c>
      <c r="CD15" s="17" t="str" cm="1">
        <f t="array" ref="CD15">_xlfn.IFS(CC15="","",COUNTIF(A:A,CC15)&gt;0,"ADDED",COUNTIF(B:B,CC15)&gt;0,"ADDED",COUNTIF(A:A,CC15)=0,"NOT ADDED")</f>
        <v>ADDED</v>
      </c>
      <c r="CE15" s="17" t="str">
        <v>DAILY DOUBLE ROASTED RAVA 500g POUCH - 30Kg BAG</v>
      </c>
    </row>
    <row r="16" spans="1:87" x14ac:dyDescent="0.25">
      <c r="A16" s="31" t="s">
        <v>563</v>
      </c>
      <c r="B16" s="30" t="s">
        <v>634</v>
      </c>
      <c r="C16" s="30" t="s">
        <v>211</v>
      </c>
      <c r="D16" s="35"/>
      <c r="E16" s="35"/>
      <c r="F16" s="35"/>
      <c r="G16" s="35"/>
      <c r="H16" s="31" t="s">
        <v>640</v>
      </c>
      <c r="I16" s="31" t="s">
        <v>653</v>
      </c>
      <c r="J16" s="34"/>
      <c r="K16" s="31" t="s">
        <v>357</v>
      </c>
      <c r="BW16" s="17"/>
      <c r="BX16" s="17" t="str">
        <v>COCONUT OIL 1 LTR POUCH</v>
      </c>
      <c r="BY16" s="17" t="str">
        <v>COC 1 L</v>
      </c>
      <c r="BZ16" s="17" t="str">
        <v>NAKSHATRA AGARPATHI Rs 55 COMBO BOX</v>
      </c>
      <c r="CA16" s="17" t="str">
        <v>AGARBATTI COMBO RS.55</v>
      </c>
      <c r="CB16" s="17"/>
      <c r="CC16" s="17" t="str">
        <v>GINGELLY OIL 1/2 LTR BOX</v>
      </c>
      <c r="CD16" s="17" t="str" cm="1">
        <f t="array" ref="CD16">_xlfn.IFS(CC16="","",COUNTIF(A:A,CC16)&gt;0,"ADDED",COUNTIF(B:B,CC16)&gt;0,"ADDED",COUNTIF(A:A,CC16)=0,"NOT ADDED")</f>
        <v>ADDED</v>
      </c>
      <c r="CE16" s="17" t="str">
        <v>DAILY VERMICELLI (SEMIYA) 180gm PKT-3.6 Kg BAG</v>
      </c>
    </row>
    <row r="17" spans="1:83" x14ac:dyDescent="0.25">
      <c r="A17" s="31" t="s">
        <v>548</v>
      </c>
      <c r="B17" s="30" t="s">
        <v>634</v>
      </c>
      <c r="C17" s="30" t="s">
        <v>211</v>
      </c>
      <c r="D17" s="35"/>
      <c r="E17" s="35"/>
      <c r="F17" s="35"/>
      <c r="G17" s="35"/>
      <c r="H17" s="31" t="s">
        <v>642</v>
      </c>
      <c r="I17" s="31" t="s">
        <v>654</v>
      </c>
      <c r="J17" s="34"/>
      <c r="K17" s="31" t="s">
        <v>353</v>
      </c>
      <c r="BW17" s="17"/>
      <c r="BX17" s="17" t="str">
        <v>COCONUT OIL 1 LTR POUCH (FREE)</v>
      </c>
      <c r="BY17" s="17" t="str">
        <v>COC 1 L</v>
      </c>
      <c r="BZ17" s="17" t="str">
        <v>NAKSHATRA AGARBATTI Rs 10 BOX (Pineapple)</v>
      </c>
      <c r="CA17" s="17" t="str">
        <v>AGARBATTI PINEAPPLE RS.10 LUP</v>
      </c>
      <c r="CB17" s="17"/>
      <c r="CC17" s="17" t="str">
        <v>GINGELLY OIL 1/2 LTR BOX (OFFER)</v>
      </c>
      <c r="CD17" s="17" t="str" cm="1">
        <f t="array" ref="CD17">_xlfn.IFS(CC17="","",COUNTIF(A:A,CC17)&gt;0,"ADDED",COUNTIF(B:B,CC17)&gt;0,"ADDED",COUNTIF(A:A,CC17)=0,"NOT ADDED")</f>
        <v>ADDED</v>
      </c>
      <c r="CE17" s="17" t="str">
        <v>DAILY SAMBA  RAVA 500g POUCH - 10Kg BAG</v>
      </c>
    </row>
    <row r="18" spans="1:83" x14ac:dyDescent="0.25">
      <c r="A18" s="31" t="s">
        <v>502</v>
      </c>
      <c r="B18" s="30" t="s">
        <v>691</v>
      </c>
      <c r="C18" s="30" t="s">
        <v>211</v>
      </c>
      <c r="D18" s="35"/>
      <c r="E18" s="35"/>
      <c r="F18" s="35"/>
      <c r="G18" s="35"/>
      <c r="H18" s="31" t="s">
        <v>643</v>
      </c>
      <c r="I18" s="31" t="s">
        <v>641</v>
      </c>
      <c r="J18" s="34"/>
      <c r="K18" s="31" t="s">
        <v>639</v>
      </c>
      <c r="BW18" s="17"/>
      <c r="BX18" s="17" t="str">
        <v>COCONUT OIL 1 Ltr PET</v>
      </c>
      <c r="BY18" s="17" t="str">
        <v>COC 1 L PET</v>
      </c>
      <c r="BZ18" s="17" t="str">
        <v>NAKSHATRA AGARBATTI Rs 10 PACK BOX (PINEAPPLE)</v>
      </c>
      <c r="CA18" s="17" t="str">
        <v>AGARBATTI PINEAPPLE RS.10 LUP</v>
      </c>
      <c r="CB18" s="17"/>
      <c r="CC18" s="17" t="str">
        <v>GINGELLY OIL 1/2LTR PET BOX</v>
      </c>
      <c r="CD18" s="17" t="str" cm="1">
        <f t="array" ref="CD18">_xlfn.IFS(CC18="","",COUNTIF(A:A,CC18)&gt;0,"ADDED",COUNTIF(B:B,CC18)&gt;0,"ADDED",COUNTIF(A:A,CC18)=0,"NOT ADDED")</f>
        <v>ADDED</v>
      </c>
      <c r="CE18" s="17" t="str">
        <v>DAILY BADAM DRINK MIX 200gm POUCH BOX</v>
      </c>
    </row>
    <row r="19" spans="1:83" x14ac:dyDescent="0.25">
      <c r="A19" s="31" t="s">
        <v>614</v>
      </c>
      <c r="B19" s="30" t="s">
        <v>691</v>
      </c>
      <c r="C19" s="30" t="s">
        <v>211</v>
      </c>
      <c r="D19" s="35"/>
      <c r="E19" s="35"/>
      <c r="F19" s="35"/>
      <c r="G19" s="35"/>
      <c r="H19" s="31" t="s">
        <v>644</v>
      </c>
      <c r="I19" s="31" t="s">
        <v>513</v>
      </c>
      <c r="J19" s="34"/>
      <c r="K19" s="31" t="s">
        <v>392</v>
      </c>
      <c r="BW19" s="17"/>
      <c r="BX19" s="17" t="str">
        <v>COCONUT OIL 1 LTR PET BOX</v>
      </c>
      <c r="BY19" s="17" t="str">
        <v>COC 1 L PET</v>
      </c>
      <c r="BZ19" s="17" t="str">
        <v>Rs 10 BOX (Pineapple)</v>
      </c>
      <c r="CA19" s="17" t="str">
        <v>AGARBATTI PINEAPPLE RS.10 LUP</v>
      </c>
      <c r="CB19" s="17"/>
      <c r="CC19" s="17" t="str">
        <v>GINGELLY OIL 1/2LTR PET BOX (OFFER)</v>
      </c>
      <c r="CD19" s="17" t="str" cm="1">
        <f t="array" ref="CD19">_xlfn.IFS(CC19="","",COUNTIF(A:A,CC19)&gt;0,"ADDED",COUNTIF(B:B,CC19)&gt;0,"ADDED",COUNTIF(A:A,CC19)=0,"NOT ADDED")</f>
        <v>ADDED</v>
      </c>
      <c r="CE19" s="17" t="str">
        <v>DAILY BADAM MIX Rs 10 POUCH BOX</v>
      </c>
    </row>
    <row r="20" spans="1:83" x14ac:dyDescent="0.25">
      <c r="A20" s="31" t="s">
        <v>551</v>
      </c>
      <c r="B20" s="30" t="s">
        <v>691</v>
      </c>
      <c r="C20" s="30" t="s">
        <v>211</v>
      </c>
      <c r="D20" s="35"/>
      <c r="E20" s="52"/>
      <c r="F20" s="35"/>
      <c r="G20" s="35"/>
      <c r="H20" s="31" t="s">
        <v>655</v>
      </c>
      <c r="I20" s="31" t="s">
        <v>656</v>
      </c>
      <c r="J20" s="34"/>
      <c r="K20" s="31" t="s">
        <v>637</v>
      </c>
      <c r="BW20" s="17"/>
      <c r="BX20" s="17" t="str">
        <v>COCONUT OIL 1 LTR PET BOX (Export)</v>
      </c>
      <c r="BY20" s="17" t="str">
        <v>COC 1 L PET</v>
      </c>
      <c r="BZ20" s="17" t="str">
        <v>NAKSHATRA AGARBATTI Rs 12 PACK BOX (Pineapple)</v>
      </c>
      <c r="CA20" s="17" t="str">
        <v>AGARBATTI PINEAPPLE RS.12 LUP</v>
      </c>
      <c r="CB20" s="17"/>
      <c r="CC20" s="17" t="str">
        <v>GINGELLY OIL 100 ML PET BOX</v>
      </c>
      <c r="CD20" s="17" t="str" cm="1">
        <f t="array" ref="CD20">_xlfn.IFS(CC20="","",COUNTIF(A:A,CC20)&gt;0,"ADDED",COUNTIF(B:B,CC20)&gt;0,"ADDED",COUNTIF(A:A,CC20)=0,"NOT ADDED")</f>
        <v>ADDED</v>
      </c>
      <c r="CE20" s="17" t="str">
        <v>NAKSHATRA AGARBATTI Rs 55 PACK BOX (PINEAPPLE)</v>
      </c>
    </row>
    <row r="21" spans="1:83" x14ac:dyDescent="0.25">
      <c r="A21" s="31" t="s">
        <v>620</v>
      </c>
      <c r="B21" s="30" t="s">
        <v>685</v>
      </c>
      <c r="C21" s="30" t="s">
        <v>211</v>
      </c>
      <c r="D21" s="35"/>
      <c r="E21" s="52"/>
      <c r="F21" s="35"/>
      <c r="G21" s="35"/>
      <c r="H21" s="59" t="s">
        <v>681</v>
      </c>
      <c r="I21" s="59" t="s">
        <v>682</v>
      </c>
      <c r="J21" s="35"/>
      <c r="K21" s="31" t="s">
        <v>393</v>
      </c>
      <c r="BW21" s="17"/>
      <c r="BX21" s="17" t="str">
        <v>COCONUT OIL 1 LTR PET BOX (OFFER)</v>
      </c>
      <c r="BY21" s="17" t="str">
        <v>COC 1 L PET</v>
      </c>
      <c r="BZ21" s="17" t="str">
        <v>NAKSHATRA AGARBATTI Rs 55 BOX (Pineapple)</v>
      </c>
      <c r="CA21" s="17" t="str">
        <v>AGARBATTI PINEAPPLE RS.55</v>
      </c>
      <c r="CB21" s="17"/>
      <c r="CC21" s="17" t="str">
        <v>GINGELLY OIL RS.15 PACK BOX (08.01.25)</v>
      </c>
      <c r="CD21" s="17" t="str" cm="1">
        <f t="array" ref="CD21">_xlfn.IFS(CC21="","",COUNTIF(A:A,CC21)&gt;0,"ADDED",COUNTIF(B:B,CC21)&gt;0,"ADDED",COUNTIF(A:A,CC21)=0,"NOT ADDED")</f>
        <v>ADDED</v>
      </c>
      <c r="CE21" s="17" t="str">
        <v>NAKSHATRA AGARBATTI Rs 55 PACK BOX (VANNILA)</v>
      </c>
    </row>
    <row r="22" spans="1:83" x14ac:dyDescent="0.25">
      <c r="A22" s="31" t="s">
        <v>505</v>
      </c>
      <c r="B22" s="30" t="s">
        <v>632</v>
      </c>
      <c r="C22" s="30" t="s">
        <v>211</v>
      </c>
      <c r="D22" s="35"/>
      <c r="E22" s="52"/>
      <c r="F22" s="35"/>
      <c r="G22" s="35"/>
      <c r="H22" s="59"/>
      <c r="I22" s="59"/>
      <c r="J22" s="35"/>
      <c r="K22" s="31" t="s">
        <v>385</v>
      </c>
      <c r="BW22" s="17"/>
      <c r="BX22" s="17" t="str">
        <v>COCONUT OIL  100 ML PET (FREE)</v>
      </c>
      <c r="BY22" s="17" t="str">
        <v>COC 100 ML LUP</v>
      </c>
      <c r="BZ22" s="17" t="str">
        <v>NAKSHATRA AGARBATTI Rs 55 PACK BOX (PINEAPPLE)</v>
      </c>
      <c r="CA22" s="17" t="str">
        <v>AGARBATTI PINEAPPLE RS.55</v>
      </c>
      <c r="CB22" s="17"/>
      <c r="CC22" s="17" t="str">
        <v>GROUNDNUT RAW OIL 1 LTR BOX</v>
      </c>
      <c r="CD22" s="17" t="str" cm="1">
        <f t="array" ref="CD22">_xlfn.IFS(CC22="","",COUNTIF(A:A,CC22)&gt;0,"ADDED",COUNTIF(B:B,CC22)&gt;0,"ADDED",COUNTIF(A:A,CC22)=0,"NOT ADDED")</f>
        <v>ADDED</v>
      </c>
      <c r="CE22" s="17" t="str">
        <v>NAKSHATRA AGARBATTI Rs 55 PACK BOX (3 in 1)</v>
      </c>
    </row>
    <row r="23" spans="1:83" x14ac:dyDescent="0.25">
      <c r="A23" s="31" t="s">
        <v>488</v>
      </c>
      <c r="B23" s="30" t="s">
        <v>632</v>
      </c>
      <c r="C23" s="30" t="s">
        <v>211</v>
      </c>
      <c r="D23" s="35"/>
      <c r="E23" s="35"/>
      <c r="F23" s="35"/>
      <c r="G23" s="35"/>
      <c r="H23" s="59"/>
      <c r="I23" s="59"/>
      <c r="J23" s="35"/>
      <c r="K23" s="35"/>
      <c r="BW23" s="17"/>
      <c r="BX23" s="17" t="str">
        <v>COCONUT OIL  100 ML POUCH (FREE)</v>
      </c>
      <c r="BY23" s="17" t="str">
        <v>COC 100 ML LUP</v>
      </c>
      <c r="BZ23" s="17" t="str">
        <v>Rs 55 BOX (Pineapple)</v>
      </c>
      <c r="CA23" s="17" t="str">
        <v>AGARBATTI PINEAPPLE RS.55</v>
      </c>
      <c r="CB23" s="17"/>
      <c r="CC23" s="17" t="str">
        <v>GROUNDNUT RAW OIL 1 LTR BOX (GULAS OFFER)</v>
      </c>
      <c r="CD23" s="17" t="str" cm="1">
        <f t="array" ref="CD23">_xlfn.IFS(CC23="","",COUNTIF(A:A,CC23)&gt;0,"ADDED",COUNTIF(B:B,CC23)&gt;0,"ADDED",COUNTIF(A:A,CC23)=0,"NOT ADDED")</f>
        <v>ADDED</v>
      </c>
      <c r="CE23" s="17" t="str">
        <v>NAKSHATRA AGARBATTI Rs 55 PACK BOX (RED ROSE)</v>
      </c>
    </row>
    <row r="24" spans="1:83" x14ac:dyDescent="0.25">
      <c r="A24" s="31" t="s">
        <v>555</v>
      </c>
      <c r="B24" s="30" t="s">
        <v>632</v>
      </c>
      <c r="C24" s="30" t="s">
        <v>211</v>
      </c>
      <c r="D24" s="35"/>
      <c r="E24" s="35"/>
      <c r="F24" s="35"/>
      <c r="G24" s="35"/>
      <c r="H24" s="59"/>
      <c r="I24" s="59"/>
      <c r="J24" s="35"/>
      <c r="K24" s="35"/>
      <c r="BW24" s="17"/>
      <c r="BX24" s="17" t="str">
        <v>COCONUT OIL 100 ML BOX</v>
      </c>
      <c r="BY24" s="17" t="str">
        <v>COC 100 ML LUP</v>
      </c>
      <c r="BZ24" s="17" t="str">
        <v>NAKSHATRA AGARBATTI Rs 12 PACK BOX (Red Rose)</v>
      </c>
      <c r="CA24" s="17" t="str">
        <v>AGARBATTI RED ROSE RS.12 LUP</v>
      </c>
      <c r="CB24" s="17"/>
      <c r="CC24" s="17" t="str">
        <v>GROUNDNUT RAW OIL 1 LTR PET BOX (GULAS OFFER)</v>
      </c>
      <c r="CD24" s="17" t="str" cm="1">
        <f t="array" ref="CD24">_xlfn.IFS(CC24="","",COUNTIF(A:A,CC24)&gt;0,"ADDED",COUNTIF(B:B,CC24)&gt;0,"ADDED",COUNTIF(A:A,CC24)=0,"NOT ADDED")</f>
        <v>ADDED</v>
      </c>
      <c r="CE24" s="17" t="str">
        <v>NAKSHATRA AGARBATTI Rs 12 PACK BOX (VANNILA)</v>
      </c>
    </row>
    <row r="25" spans="1:83" x14ac:dyDescent="0.25">
      <c r="A25" s="31" t="s">
        <v>491</v>
      </c>
      <c r="B25" s="30" t="s">
        <v>686</v>
      </c>
      <c r="C25" s="30" t="s">
        <v>211</v>
      </c>
      <c r="D25" s="35"/>
      <c r="E25" s="35"/>
      <c r="F25" s="35"/>
      <c r="G25" s="35"/>
      <c r="H25" s="59"/>
      <c r="I25" s="59"/>
      <c r="J25" s="35"/>
      <c r="K25" s="35"/>
      <c r="BW25" s="17"/>
      <c r="BX25" s="17" t="str">
        <v>COCONUT OIL 100 ML PACK</v>
      </c>
      <c r="BY25" s="17" t="str">
        <v>COC 100 ML LUP</v>
      </c>
      <c r="BZ25" s="17" t="str">
        <v>NAKSHATRA AGARBATTI Rs 55 PACK BOX (RED ROSE)</v>
      </c>
      <c r="CA25" s="17" t="str">
        <v>AGARBATTI RED ROSE RS.55</v>
      </c>
      <c r="CB25" s="17"/>
      <c r="CC25" s="17" t="str">
        <v>GROUNDNUT RAW OIL 1/2 LTR BOX (GULAS OFFER)</v>
      </c>
      <c r="CD25" s="17" t="str" cm="1">
        <f t="array" ref="CD25">_xlfn.IFS(CC25="","",COUNTIF(A:A,CC25)&gt;0,"ADDED",COUNTIF(B:B,CC25)&gt;0,"ADDED",COUNTIF(A:A,CC25)=0,"NOT ADDED")</f>
        <v>ADDED</v>
      </c>
      <c r="CE25" s="17" t="str">
        <v>NAKSHATRA AGARBATTI Rs 12 PACK BOX (Pineapple)</v>
      </c>
    </row>
    <row r="26" spans="1:83" x14ac:dyDescent="0.25">
      <c r="A26" s="31" t="s">
        <v>598</v>
      </c>
      <c r="B26" s="30" t="s">
        <v>635</v>
      </c>
      <c r="C26" s="30" t="s">
        <v>211</v>
      </c>
      <c r="D26" s="35"/>
      <c r="E26" s="35"/>
      <c r="F26" s="35"/>
      <c r="G26" s="35"/>
      <c r="H26" s="59"/>
      <c r="I26" s="59"/>
      <c r="J26" s="35"/>
      <c r="K26" s="35"/>
      <c r="BW26" s="17"/>
      <c r="BX26" s="17" t="str">
        <v>COCONUT OIL 100 ML PET BOX</v>
      </c>
      <c r="BY26" s="17" t="str">
        <v>COC 100 ML LUP</v>
      </c>
      <c r="BZ26" s="17" t="str">
        <v>NAKSHATRA AGARBATTI Rs 10 BOX (Venilla)</v>
      </c>
      <c r="CA26" s="17" t="str">
        <v>AGARBATTI VENILLA RS.10 LUP</v>
      </c>
      <c r="CB26" s="17"/>
      <c r="CC26" s="17" t="str">
        <v>GROUNDNUT RAW OIL 1/2 LTR PET BOX (GULAS OFFER)</v>
      </c>
      <c r="CD26" s="17" t="str" cm="1">
        <f t="array" ref="CD26">_xlfn.IFS(CC26="","",COUNTIF(A:A,CC26)&gt;0,"ADDED",COUNTIF(B:B,CC26)&gt;0,"ADDED",COUNTIF(A:A,CC26)=0,"NOT ADDED")</f>
        <v>ADDED</v>
      </c>
      <c r="CE26" s="17" t="str">
        <v>NAKSHATRA AGARBATTI Rs 12 PACK BOX (Red Rose)</v>
      </c>
    </row>
    <row r="27" spans="1:83" x14ac:dyDescent="0.25">
      <c r="A27" s="31" t="s">
        <v>503</v>
      </c>
      <c r="B27" s="30" t="s">
        <v>692</v>
      </c>
      <c r="C27" s="30" t="s">
        <v>211</v>
      </c>
      <c r="D27" s="35"/>
      <c r="E27" s="35"/>
      <c r="F27" s="35"/>
      <c r="G27" s="35"/>
      <c r="H27" s="59"/>
      <c r="I27" s="59"/>
      <c r="J27" s="35"/>
      <c r="K27" s="35"/>
      <c r="BW27" s="17"/>
      <c r="BX27" s="17" t="str">
        <v>COCONUT OIL 100 ML PET BOX (OFFER)</v>
      </c>
      <c r="BY27" s="17" t="str">
        <v>COC 100 ML LUP</v>
      </c>
      <c r="BZ27" s="17" t="str">
        <v>Rs 10 BOX (Vanilla)</v>
      </c>
      <c r="CA27" s="17" t="str">
        <v>AGARBATTI VENILLA RS.10 LUP</v>
      </c>
      <c r="CB27" s="17"/>
      <c r="CC27" s="17" t="str">
        <v>GROUNDNUT RAW OIL 5 LTR CAN BOX</v>
      </c>
      <c r="CD27" s="17" t="str" cm="1">
        <f t="array" ref="CD27">_xlfn.IFS(CC27="","",COUNTIF(A:A,CC27)&gt;0,"ADDED",COUNTIF(B:B,CC27)&gt;0,"ADDED",COUNTIF(A:A,CC27)=0,"NOT ADDED")</f>
        <v>ADDED</v>
      </c>
      <c r="CE27" s="17" t="str">
        <v>NAKSHATRA AGARBATTI Rs 12 PACK BOX (Floral Sandal)</v>
      </c>
    </row>
    <row r="28" spans="1:83" x14ac:dyDescent="0.25">
      <c r="A28" s="31" t="s">
        <v>559</v>
      </c>
      <c r="B28" s="30" t="s">
        <v>692</v>
      </c>
      <c r="C28" s="30" t="s">
        <v>211</v>
      </c>
      <c r="D28" s="35"/>
      <c r="E28" s="35"/>
      <c r="F28" s="35"/>
      <c r="G28" s="35"/>
      <c r="H28" s="59"/>
      <c r="I28" s="59"/>
      <c r="J28" s="35"/>
      <c r="K28" s="35"/>
      <c r="BW28" s="17"/>
      <c r="BX28" s="17" t="str">
        <v>COCONUT OIL 100 ML POUCH</v>
      </c>
      <c r="BY28" s="17" t="str">
        <v>COC 100 ML LUP</v>
      </c>
      <c r="BZ28" s="17" t="str">
        <v>Rs 10 BOX (Venilla)</v>
      </c>
      <c r="CA28" s="17" t="str">
        <v>AGARBATTI VENILLA RS.10 LUP</v>
      </c>
      <c r="CB28" s="17"/>
      <c r="CC28" s="17" t="str">
        <v>GROUNDNUT RAW OIL RS.10PACK BOX (08.01.25)</v>
      </c>
      <c r="CD28" s="17" t="str" cm="1">
        <f t="array" ref="CD28">_xlfn.IFS(CC28="","",COUNTIF(A:A,CC28)&gt;0,"ADDED",COUNTIF(B:B,CC28)&gt;0,"ADDED",COUNTIF(A:A,CC28)=0,"NOT ADDED")</f>
        <v>ADDED</v>
      </c>
      <c r="CE28" s="17" t="str">
        <v>NAKSHATRA AGARBATTI Rs 55 PACK BOX (Floral Sandal)</v>
      </c>
    </row>
    <row r="29" spans="1:83" x14ac:dyDescent="0.25">
      <c r="A29" s="31" t="s">
        <v>552</v>
      </c>
      <c r="B29" s="30" t="s">
        <v>692</v>
      </c>
      <c r="C29" s="30" t="s">
        <v>211</v>
      </c>
      <c r="D29" s="35"/>
      <c r="E29" s="35"/>
      <c r="F29" s="35"/>
      <c r="G29" s="35"/>
      <c r="H29" s="59"/>
      <c r="I29" s="59"/>
      <c r="J29" s="35"/>
      <c r="K29" s="35"/>
      <c r="BW29" s="17"/>
      <c r="BX29" s="17" t="str">
        <v>COCONUT OIL  100 ML PET</v>
      </c>
      <c r="BY29" s="17" t="str">
        <v>COC 100 ML PET LUP</v>
      </c>
      <c r="BZ29" s="17" t="str">
        <v>NAKSHATRA AGARBATTI Rs 12 PACK BOX (VANNILA)</v>
      </c>
      <c r="CA29" s="17" t="str">
        <v>AGARBATTI VENILLA RS.12 LUP</v>
      </c>
      <c r="CB29" s="17"/>
      <c r="CC29" s="17" t="str">
        <v>GROUNDNUT RAW OIL RS.20 PACK BOX (08.01.25)</v>
      </c>
      <c r="CD29" s="17" t="str" cm="1">
        <f t="array" ref="CD29">_xlfn.IFS(CC29="","",COUNTIF(A:A,CC29)&gt;0,"ADDED",COUNTIF(B:B,CC29)&gt;0,"ADDED",COUNTIF(A:A,CC29)=0,"NOT ADDED")</f>
        <v>ADDED</v>
      </c>
      <c r="CE29" s="17" t="str">
        <v>GINGELLY OIL 1/2LTR PET BOX</v>
      </c>
    </row>
    <row r="30" spans="1:83" x14ac:dyDescent="0.25">
      <c r="A30" s="31" t="s">
        <v>489</v>
      </c>
      <c r="B30" s="30" t="s">
        <v>687</v>
      </c>
      <c r="C30" s="30" t="s">
        <v>211</v>
      </c>
      <c r="D30" s="35"/>
      <c r="E30" s="35"/>
      <c r="F30" s="35"/>
      <c r="G30" s="35"/>
      <c r="H30" s="59"/>
      <c r="I30" s="59"/>
      <c r="J30" s="35"/>
      <c r="K30" s="35"/>
      <c r="BW30" s="17"/>
      <c r="BX30" s="17" t="str">
        <v>COCONUT OIL 100 ML PET</v>
      </c>
      <c r="BY30" s="17" t="str">
        <v>COC 100 ML PET LUP</v>
      </c>
      <c r="BZ30" s="17" t="str">
        <v>NAKSHATRA AGARBATTI Rs 55 BOX (Venilla)</v>
      </c>
      <c r="CA30" s="17" t="str">
        <v>AGARBATTI VENILLA RS.55</v>
      </c>
      <c r="CB30" s="17"/>
      <c r="CC30" s="17" t="str">
        <v>KACHI GANI MUSTARD OIL 1 LTR PET BOX</v>
      </c>
      <c r="CD30" s="17" t="str" cm="1">
        <f t="array" ref="CD30">_xlfn.IFS(CC30="","",COUNTIF(A:A,CC30)&gt;0,"ADDED",COUNTIF(B:B,CC30)&gt;0,"ADDED",COUNTIF(A:A,CC30)=0,"NOT ADDED")</f>
        <v>ADDED</v>
      </c>
      <c r="CE30" s="17" t="str">
        <v>GINGELLY OIL 1 LTR PET BOX</v>
      </c>
    </row>
    <row r="31" spans="1:83" x14ac:dyDescent="0.25">
      <c r="A31" s="31" t="s">
        <v>506</v>
      </c>
      <c r="B31" s="30" t="s">
        <v>633</v>
      </c>
      <c r="C31" s="30" t="s">
        <v>211</v>
      </c>
      <c r="D31" s="35"/>
      <c r="E31" s="35"/>
      <c r="F31" s="35"/>
      <c r="G31" s="35"/>
      <c r="H31" s="35"/>
      <c r="I31" s="35"/>
      <c r="J31" s="35"/>
      <c r="K31" s="35"/>
      <c r="BW31" s="17"/>
      <c r="BX31" s="17" t="str">
        <v>COCONUT OIL 200 ML BOX</v>
      </c>
      <c r="BY31" s="17" t="str">
        <v>COC 200 ML</v>
      </c>
      <c r="BZ31" s="17" t="str">
        <v>NAKSHATRA AGARBATTI Rs 55 PACK BOX (VANNILA)</v>
      </c>
      <c r="CA31" s="17" t="str">
        <v>AGARBATTI VENILLA RS.55</v>
      </c>
      <c r="CB31" s="17"/>
      <c r="CC31" s="17" t="str">
        <v>KACHI GANI MUSTARD OIL 1/2 LTR PET BOX</v>
      </c>
      <c r="CD31" s="17" t="str" cm="1">
        <f t="array" ref="CD31">_xlfn.IFS(CC31="","",COUNTIF(A:A,CC31)&gt;0,"ADDED",COUNTIF(B:B,CC31)&gt;0,"ADDED",COUNTIF(A:A,CC31)=0,"NOT ADDED")</f>
        <v>ADDED</v>
      </c>
      <c r="CE31" s="17" t="str">
        <v>SUNRAJA GULAS (JAGGERY POWDER) 1 KG POUCH BOX</v>
      </c>
    </row>
    <row r="32" spans="1:83" x14ac:dyDescent="0.25">
      <c r="A32" s="31" t="s">
        <v>594</v>
      </c>
      <c r="B32" s="30" t="s">
        <v>633</v>
      </c>
      <c r="C32" s="30" t="s">
        <v>211</v>
      </c>
      <c r="D32" s="35"/>
      <c r="E32" s="35"/>
      <c r="F32" s="35"/>
      <c r="G32" s="35"/>
      <c r="H32" s="35"/>
      <c r="I32" s="35"/>
      <c r="J32" s="35"/>
      <c r="K32" s="35"/>
      <c r="BW32" s="17"/>
      <c r="BX32" s="17" t="str">
        <v>COCONUT OIL 200 ML PET BOX</v>
      </c>
      <c r="BY32" s="17" t="str">
        <v>COC 200 ML</v>
      </c>
      <c r="BZ32" s="17" t="str">
        <v>Rs 55 BOX (Vanilla)</v>
      </c>
      <c r="CA32" s="17" t="str">
        <v>AGARBATTI VENILLA RS.55</v>
      </c>
      <c r="CB32" s="17"/>
      <c r="CC32" s="17" t="str">
        <v>KACHI GANI MUSTARD OIL 200ML PET BOX</v>
      </c>
      <c r="CD32" s="17" t="str" cm="1">
        <f t="array" ref="CD32">_xlfn.IFS(CC32="","",COUNTIF(A:A,CC32)&gt;0,"ADDED",COUNTIF(B:B,CC32)&gt;0,"ADDED",COUNTIF(A:A,CC32)=0,"NOT ADDED")</f>
        <v>ADDED</v>
      </c>
      <c r="CE32" s="17" t="str">
        <v>REF SUNFLOWER OIL RS.10 PACK BOX (OLD 08.01.25)</v>
      </c>
    </row>
    <row r="33" spans="1:83" x14ac:dyDescent="0.25">
      <c r="A33" s="31" t="s">
        <v>560</v>
      </c>
      <c r="B33" s="30" t="s">
        <v>633</v>
      </c>
      <c r="C33" s="30" t="s">
        <v>211</v>
      </c>
      <c r="D33" s="35"/>
      <c r="E33" s="35"/>
      <c r="F33" s="35"/>
      <c r="G33" s="35"/>
      <c r="H33" s="35"/>
      <c r="I33" s="35"/>
      <c r="J33" s="35"/>
      <c r="K33" s="35"/>
      <c r="BW33" s="17"/>
      <c r="BX33" s="17" t="str">
        <v>COCONUT OIL 200 ML PET</v>
      </c>
      <c r="BY33" s="17" t="str">
        <v>COC 200 ML PET</v>
      </c>
      <c r="BZ33" s="17" t="str">
        <v>Rs 55 BOX (Venilla)</v>
      </c>
      <c r="CA33" s="17" t="str">
        <v>AGARBATTI VENILLA RS.55</v>
      </c>
      <c r="CB33" s="17"/>
      <c r="CC33" s="17" t="str">
        <v>Mr.CASTOR OIL 100ml PET BOX</v>
      </c>
      <c r="CD33" s="17" t="str" cm="1">
        <f t="array" ref="CD33">_xlfn.IFS(CC33="","",COUNTIF(A:A,CC33)&gt;0,"ADDED",COUNTIF(B:B,CC33)&gt;0,"ADDED",COUNTIF(A:A,CC33)=0,"NOT ADDED")</f>
        <v>ADDED</v>
      </c>
      <c r="CE33" s="17" t="str">
        <v>REF SUNFLOWER OIL 1/2LTR BOX</v>
      </c>
    </row>
    <row r="34" spans="1:83" x14ac:dyDescent="0.25">
      <c r="A34" s="31" t="s">
        <v>556</v>
      </c>
      <c r="B34" s="30" t="s">
        <v>633</v>
      </c>
      <c r="C34" s="30" t="s">
        <v>211</v>
      </c>
      <c r="D34" s="35"/>
      <c r="E34" s="35"/>
      <c r="F34" s="35"/>
      <c r="G34" s="35"/>
      <c r="H34" s="35"/>
      <c r="I34" s="35"/>
      <c r="J34" s="35"/>
      <c r="K34" s="35"/>
      <c r="BW34" s="17"/>
      <c r="BX34" s="17" t="str">
        <v>COCONUT OIL 200ML PET</v>
      </c>
      <c r="BY34" s="17" t="str">
        <v>COC 200 ML PET</v>
      </c>
      <c r="BZ34" s="17" t="str">
        <v>NAKSHATRA AGARBATTI Rs 55 PACK BOX (Floral Sandal)</v>
      </c>
      <c r="CA34" s="17" t="str">
        <v>AGARBATTI SANDAL RS.55</v>
      </c>
      <c r="CB34" s="17"/>
      <c r="CC34" s="17" t="str">
        <v>NAKSHATRA AGARBATTI Rs 12 PACK BOX (3in1)</v>
      </c>
      <c r="CD34" s="17" t="str" cm="1">
        <f t="array" ref="CD34">_xlfn.IFS(CC34="","",COUNTIF(A:A,CC34)&gt;0,"ADDED",COUNTIF(B:B,CC34)&gt;0,"ADDED",COUNTIF(A:A,CC34)=0,"NOT ADDED")</f>
        <v>ADDED</v>
      </c>
      <c r="CE34" s="17" t="str">
        <v>REF SUNFLOWER OIL 1 LTR  PET BOX</v>
      </c>
    </row>
    <row r="35" spans="1:83" x14ac:dyDescent="0.25">
      <c r="A35" s="31" t="s">
        <v>481</v>
      </c>
      <c r="B35" s="30" t="s">
        <v>663</v>
      </c>
      <c r="C35" s="30" t="s">
        <v>210</v>
      </c>
      <c r="D35" s="35"/>
      <c r="E35" s="35"/>
      <c r="F35" s="35"/>
      <c r="G35" s="35"/>
      <c r="H35" s="35"/>
      <c r="I35" s="35"/>
      <c r="J35" s="35"/>
      <c r="K35" s="35"/>
      <c r="BW35" s="17"/>
      <c r="BX35" s="17" t="str">
        <v>COCONUT OIL 5 LTR BOX</v>
      </c>
      <c r="BY35" s="17" t="str">
        <v>COC 5 L</v>
      </c>
      <c r="BZ35" s="17" t="str">
        <v>NAKSHATRA AGARBATTI Rs 12 PACK BOX (Divine Jasmine)</v>
      </c>
      <c r="CA35" s="17" t="str">
        <v>AGARBATTI JASMINE RS.12 LUP</v>
      </c>
      <c r="CB35" s="17"/>
      <c r="CC35" s="17" t="str">
        <v>NAKSHATRA AGARBATTI Rs 12 PACK BOX (Floral Sandal)</v>
      </c>
      <c r="CD35" s="17" t="str" cm="1">
        <f t="array" ref="CD35">_xlfn.IFS(CC35="","",COUNTIF(A:A,CC35)&gt;0,"ADDED",COUNTIF(B:B,CC35)&gt;0,"ADDED",COUNTIF(A:A,CC35)=0,"NOT ADDED")</f>
        <v>ADDED</v>
      </c>
      <c r="CE35" s="17" t="str">
        <v>REF SUNFLOWER OIL RS.10 PACK BOX (NEW 08.01.25)</v>
      </c>
    </row>
    <row r="36" spans="1:83" x14ac:dyDescent="0.25">
      <c r="A36" s="31" t="s">
        <v>581</v>
      </c>
      <c r="B36" s="30" t="s">
        <v>664</v>
      </c>
      <c r="C36" s="30" t="s">
        <v>210</v>
      </c>
      <c r="D36" s="35"/>
      <c r="E36" s="35"/>
      <c r="F36" s="35"/>
      <c r="G36" s="35"/>
      <c r="H36" s="35"/>
      <c r="I36" s="35"/>
      <c r="J36" s="35"/>
      <c r="K36" s="35"/>
      <c r="BW36" s="17"/>
      <c r="BX36" s="17" t="str">
        <v>COCONUT OIL 5 LTR CAN</v>
      </c>
      <c r="BY36" s="17" t="str">
        <v>COC 5 L</v>
      </c>
      <c r="BZ36" s="17" t="str">
        <v>NAKSHATRA AGARBATTI Rs 12 PACK BOX (Floral Sandal)</v>
      </c>
      <c r="CA36" s="17" t="str">
        <v>AGARBATTI SANDAL RS.12 LUP</v>
      </c>
      <c r="CB36" s="17"/>
      <c r="CC36" s="17" t="str">
        <v>NAKSHATRA AGARBATTI Rs 12 PACK BOX (Lavender)</v>
      </c>
      <c r="CD36" s="17" t="str" cm="1">
        <f t="array" ref="CD36">_xlfn.IFS(CC36="","",COUNTIF(A:A,CC36)&gt;0,"ADDED",COUNTIF(B:B,CC36)&gt;0,"ADDED",COUNTIF(A:A,CC36)=0,"NOT ADDED")</f>
        <v>ADDED</v>
      </c>
      <c r="CE36" s="17" t="str">
        <v>REF SUNFLOWER OIL RS.20 PACK BOX (NEW 08.01.25)</v>
      </c>
    </row>
    <row r="37" spans="1:83" x14ac:dyDescent="0.25">
      <c r="A37" s="31" t="s">
        <v>473</v>
      </c>
      <c r="B37" s="30" t="s">
        <v>665</v>
      </c>
      <c r="C37" s="30" t="s">
        <v>210</v>
      </c>
      <c r="D37" s="35"/>
      <c r="E37" s="35"/>
      <c r="F37" s="35"/>
      <c r="G37" s="35"/>
      <c r="H37" s="35"/>
      <c r="I37" s="35"/>
      <c r="J37" s="35"/>
      <c r="K37" s="35"/>
      <c r="BW37" s="17"/>
      <c r="BX37" s="17" t="str">
        <v>COCONUT OIL 5 LTR CAN BOX</v>
      </c>
      <c r="BY37" s="17" t="str">
        <v>COC 5 L</v>
      </c>
      <c r="BZ37" s="17" t="str">
        <v>NAKSHATRA AGARBATTI Rs 12 PACK BOX (Sa Re Ga Ma)</v>
      </c>
      <c r="CA37" s="17" t="str">
        <v>AGARBATTI SA RE GA MA RS.12 LUP</v>
      </c>
      <c r="CB37" s="17"/>
      <c r="CC37" s="17" t="str">
        <v>NAKSHATRA AGARBATTI Rs 12 PACK BOX (Magic Mango)</v>
      </c>
      <c r="CD37" s="17" t="str" cm="1">
        <f t="array" ref="CD37">_xlfn.IFS(CC37="","",COUNTIF(A:A,CC37)&gt;0,"ADDED",COUNTIF(B:B,CC37)&gt;0,"ADDED",COUNTIF(A:A,CC37)=0,"NOT ADDED")</f>
        <v>ADDED</v>
      </c>
      <c r="CE37" s="17" t="str">
        <v>GROUNDNUT RAW OIL 1 LTR BOX</v>
      </c>
    </row>
    <row r="38" spans="1:83" x14ac:dyDescent="0.25">
      <c r="A38" s="31" t="s">
        <v>589</v>
      </c>
      <c r="B38" s="30" t="s">
        <v>626</v>
      </c>
      <c r="C38" s="30" t="s">
        <v>210</v>
      </c>
      <c r="D38" s="35"/>
      <c r="E38" s="35"/>
      <c r="F38" s="35"/>
      <c r="G38" s="35"/>
      <c r="H38" s="35"/>
      <c r="I38" s="35"/>
      <c r="J38" s="35"/>
      <c r="K38" s="35"/>
      <c r="BW38" s="17"/>
      <c r="BX38" s="17" t="str">
        <v>COCONUT OIL 5 LTR CAN BOX (Offer)</v>
      </c>
      <c r="BY38" s="17" t="str">
        <v>COC 5 L</v>
      </c>
      <c r="BZ38" s="17" t="str">
        <v>NAKSHATRA AGARBATTI Rs 55 PACK BOX (Divine Jasmine)</v>
      </c>
      <c r="CA38" s="17" t="str">
        <v>AGARBATTI JASMINE RS.55</v>
      </c>
      <c r="CB38" s="17"/>
      <c r="CC38" s="17" t="str">
        <v>NAKSHATRA AGARBATTI Rs 12 PACK BOX (OG Arij)</v>
      </c>
      <c r="CD38" s="17" t="str" cm="1">
        <f t="array" ref="CD38">_xlfn.IFS(CC38="","",COUNTIF(A:A,CC38)&gt;0,"ADDED",COUNTIF(B:B,CC38)&gt;0,"ADDED",COUNTIF(A:A,CC38)=0,"NOT ADDED")</f>
        <v>ADDED</v>
      </c>
      <c r="CE38" s="17" t="str">
        <v>KACHI GANI MUSTARD OIL 1/2 LTR PET BOX</v>
      </c>
    </row>
    <row r="39" spans="1:83" x14ac:dyDescent="0.25">
      <c r="A39" s="30" t="s">
        <v>522</v>
      </c>
      <c r="B39" s="30" t="s">
        <v>626</v>
      </c>
      <c r="C39" s="30" t="s">
        <v>210</v>
      </c>
      <c r="D39" s="35"/>
      <c r="E39" s="35"/>
      <c r="F39" s="35"/>
      <c r="G39" s="35"/>
      <c r="H39" s="35"/>
      <c r="I39" s="35"/>
      <c r="J39" s="35"/>
      <c r="K39" s="35"/>
      <c r="BW39" s="17"/>
      <c r="BX39" s="17" t="str">
        <v>COCONUT OIL 50 ML</v>
      </c>
      <c r="BY39" s="17" t="str">
        <v>COC 50 ML LUP</v>
      </c>
      <c r="BZ39" s="17" t="str">
        <v>NAKSHATRA AGARBATTI Rs 55 PACK BOX (Sa Re Ga Ma)</v>
      </c>
      <c r="CA39" s="17" t="str">
        <v>AGARBATTI SA RE GA MA RS.55</v>
      </c>
      <c r="CB39" s="17"/>
      <c r="CC39" s="17" t="str">
        <v>NAKSHATRA AGARBATTI Rs 12 PACK BOX (Pineapple)</v>
      </c>
      <c r="CD39" s="17" t="str" cm="1">
        <f t="array" ref="CD39">_xlfn.IFS(CC39="","",COUNTIF(A:A,CC39)&gt;0,"ADDED",COUNTIF(B:B,CC39)&gt;0,"ADDED",COUNTIF(A:A,CC39)=0,"NOT ADDED")</f>
        <v>ADDED</v>
      </c>
      <c r="CE39" s="17" t="str">
        <v>KACHI GANI MUSTARD OIL 1 LTR PET BOX</v>
      </c>
    </row>
    <row r="40" spans="1:83" x14ac:dyDescent="0.25">
      <c r="A40" s="31" t="s">
        <v>615</v>
      </c>
      <c r="B40" s="30" t="s">
        <v>657</v>
      </c>
      <c r="C40" s="30" t="s">
        <v>210</v>
      </c>
      <c r="D40" s="35"/>
      <c r="E40" s="35"/>
      <c r="F40" s="35"/>
      <c r="G40" s="35"/>
      <c r="H40" s="35"/>
      <c r="I40" s="35"/>
      <c r="J40" s="35"/>
      <c r="K40" s="35"/>
      <c r="BW40" s="17"/>
      <c r="BX40" s="17" t="str">
        <v>COCONUT OIL 50 ML BOX</v>
      </c>
      <c r="BY40" s="17" t="str">
        <v>COC 50 ML LUP</v>
      </c>
      <c r="BZ40" s="17" t="str">
        <v>NAKSHATRA AGARBATTI Rs 55 PACK BOX (Thazhampoo)</v>
      </c>
      <c r="CA40" s="17" t="str">
        <v>AGARBATTI THAZHAMPOO RS.55</v>
      </c>
      <c r="CB40" s="17"/>
      <c r="CC40" s="17" t="str">
        <v>NAKSHATRA AGARBATTI Rs 12 PACK BOX (Red Rose)</v>
      </c>
      <c r="CD40" s="17" t="str" cm="1">
        <f t="array" ref="CD40">_xlfn.IFS(CC40="","",COUNTIF(A:A,CC40)&gt;0,"ADDED",COUNTIF(B:B,CC40)&gt;0,"ADDED",COUNTIF(A:A,CC40)=0,"NOT ADDED")</f>
        <v>ADDED</v>
      </c>
      <c r="CE40" s="17" t="str">
        <v>KACHI GANI MUSTARD OIL 200ML PET BOX</v>
      </c>
    </row>
    <row r="41" spans="1:83" x14ac:dyDescent="0.25">
      <c r="A41" s="31" t="s">
        <v>616</v>
      </c>
      <c r="B41" s="30" t="s">
        <v>657</v>
      </c>
      <c r="C41" s="30" t="s">
        <v>210</v>
      </c>
      <c r="D41" s="35"/>
      <c r="E41" s="35"/>
      <c r="F41" s="35"/>
      <c r="G41" s="35"/>
      <c r="H41" s="35"/>
      <c r="I41" s="35"/>
      <c r="J41" s="35"/>
      <c r="K41" s="35"/>
      <c r="BW41" s="17"/>
      <c r="BX41" s="17" t="str">
        <v>COCONUT OIL 50 ML POUCH (FREE)</v>
      </c>
      <c r="BY41" s="17" t="str">
        <v>COC 50 ML LUP</v>
      </c>
      <c r="BZ41" s="17" t="str">
        <v>NAKSHATRA AGARBATTI Rs 12 PACK BOX (G.O.A.T)</v>
      </c>
      <c r="CA41" s="17" t="str">
        <v>AGARBATTI GOAT RS.12 LUP</v>
      </c>
      <c r="CB41" s="17"/>
      <c r="CC41" s="17" t="str">
        <v>NAKSHATRA AGARBATTI Rs 12 PACK BOX (Sa Re Ga Ma)</v>
      </c>
      <c r="CD41" s="17" t="str" cm="1">
        <f t="array" ref="CD41">_xlfn.IFS(CC41="","",COUNTIF(A:A,CC41)&gt;0,"ADDED",COUNTIF(B:B,CC41)&gt;0,"ADDED",COUNTIF(A:A,CC41)=0,"NOT ADDED")</f>
        <v>ADDED</v>
      </c>
      <c r="CE41" s="17" t="str">
        <v>GROUNDNUT RAW OIL 1/2 LTR BOX (GULAS OFFER)</v>
      </c>
    </row>
    <row r="42" spans="1:83" x14ac:dyDescent="0.25">
      <c r="A42" s="31" t="s">
        <v>608</v>
      </c>
      <c r="B42" s="30" t="s">
        <v>657</v>
      </c>
      <c r="C42" s="30" t="s">
        <v>210</v>
      </c>
      <c r="D42" s="35"/>
      <c r="E42" s="35"/>
      <c r="F42" s="35"/>
      <c r="G42" s="35"/>
      <c r="H42" s="35"/>
      <c r="I42" s="35"/>
      <c r="J42" s="35"/>
      <c r="K42" s="35"/>
      <c r="BW42" s="17"/>
      <c r="BX42" s="17" t="str">
        <v>COCONUT 1/2 LTR PET (OLD)</v>
      </c>
      <c r="BY42" s="17" t="str">
        <v>COC 500 ML</v>
      </c>
      <c r="BZ42" s="17" t="str">
        <v>NAKSHATRA AGARBATTI Rs 12 PACK BOX (Lavender)</v>
      </c>
      <c r="CA42" s="17" t="str">
        <v>AGARBATTI LAVENDER RS.12 LUP</v>
      </c>
      <c r="CB42" s="17"/>
      <c r="CC42" s="17" t="str">
        <v>NAKSHATRA AGARBATTI Rs 12 PACK BOX (VANNILA)</v>
      </c>
      <c r="CD42" s="17" t="str" cm="1">
        <f t="array" ref="CD42">_xlfn.IFS(CC42="","",COUNTIF(A:A,CC42)&gt;0,"ADDED",COUNTIF(B:B,CC42)&gt;0,"ADDED",COUNTIF(A:A,CC42)=0,"NOT ADDED")</f>
        <v>ADDED</v>
      </c>
      <c r="CE42" s="17" t="str">
        <v>GROUNDNUT RAW OIL 1/2 LTR PET BOX (GULAS OFFER)</v>
      </c>
    </row>
    <row r="43" spans="1:83" x14ac:dyDescent="0.25">
      <c r="A43" s="31" t="s">
        <v>602</v>
      </c>
      <c r="B43" s="30" t="s">
        <v>657</v>
      </c>
      <c r="C43" s="30" t="s">
        <v>210</v>
      </c>
      <c r="D43" s="35"/>
      <c r="E43" s="35"/>
      <c r="F43" s="35"/>
      <c r="G43" s="35"/>
      <c r="H43" s="35"/>
      <c r="I43" s="35"/>
      <c r="J43" s="35"/>
      <c r="K43" s="35"/>
      <c r="BW43" s="17"/>
      <c r="BX43" s="17" t="str">
        <v>COCONUT OIL 1/2 LTR BOX</v>
      </c>
      <c r="BY43" s="17" t="str">
        <v>COC 500 ML</v>
      </c>
      <c r="BZ43" s="17" t="str">
        <v>NAKSHATRA AGARBATTI Rs 12 PACK BOX (Magic Mango)</v>
      </c>
      <c r="CA43" s="17" t="str">
        <v>AGARBATTI MANGO RS.12 LUP</v>
      </c>
      <c r="CB43" s="17"/>
      <c r="CC43" s="17" t="str">
        <v>NAKSHATRA AGARBATTI Rs 55 PACK BOX (3 in 1)</v>
      </c>
      <c r="CD43" s="17" t="str" cm="1">
        <f t="array" ref="CD43">_xlfn.IFS(CC43="","",COUNTIF(A:A,CC43)&gt;0,"ADDED",COUNTIF(B:B,CC43)&gt;0,"ADDED",COUNTIF(A:A,CC43)=0,"NOT ADDED")</f>
        <v>ADDED</v>
      </c>
      <c r="CE43" s="17" t="str">
        <v>SUNRAJA GULAS (JAGGERY POWDER) 500g POUCH BOX</v>
      </c>
    </row>
    <row r="44" spans="1:83" x14ac:dyDescent="0.25">
      <c r="A44" s="31" t="s">
        <v>603</v>
      </c>
      <c r="B44" s="30" t="s">
        <v>657</v>
      </c>
      <c r="C44" s="30" t="s">
        <v>210</v>
      </c>
      <c r="D44" s="35"/>
      <c r="E44" s="35"/>
      <c r="F44" s="35"/>
      <c r="G44" s="35"/>
      <c r="H44" s="35"/>
      <c r="I44" s="35"/>
      <c r="J44" s="35"/>
      <c r="K44" s="35"/>
      <c r="BW44" s="17"/>
      <c r="BX44" s="17" t="str">
        <v>COCONUT OIL 1/2 LTR BOX  (OFFER)</v>
      </c>
      <c r="BY44" s="17" t="str">
        <v>COC 500 ML</v>
      </c>
      <c r="BZ44" s="17" t="str">
        <v>NAKSHATRA AGARBATTI Rs 12 PACK BOX (OG Arij)</v>
      </c>
      <c r="CA44" s="17" t="str">
        <v>AGARBATTI OG RS.12 LUP</v>
      </c>
      <c r="CB44" s="17"/>
      <c r="CC44" s="17" t="str">
        <v>NAKSHATRA AGARBATTI Rs 55 PACK BOX (Floral Sandal)</v>
      </c>
      <c r="CD44" s="17" t="str" cm="1">
        <f t="array" ref="CD44">_xlfn.IFS(CC44="","",COUNTIF(A:A,CC44)&gt;0,"ADDED",COUNTIF(B:B,CC44)&gt;0,"ADDED",COUNTIF(A:A,CC44)=0,"NOT ADDED")</f>
        <v>ADDED</v>
      </c>
      <c r="CE44" s="17" t="str">
        <v>GINGELLY OIL 1 LTR BOX</v>
      </c>
    </row>
    <row r="45" spans="1:83" x14ac:dyDescent="0.25">
      <c r="A45" s="31" t="s">
        <v>15</v>
      </c>
      <c r="B45" s="30" t="s">
        <v>359</v>
      </c>
      <c r="C45" s="30" t="s">
        <v>210</v>
      </c>
      <c r="D45" s="35"/>
      <c r="E45" s="35"/>
      <c r="F45" s="35"/>
      <c r="G45" s="35"/>
      <c r="H45" s="35"/>
      <c r="I45" s="35"/>
      <c r="J45" s="35"/>
      <c r="K45" s="35"/>
      <c r="BW45" s="17"/>
      <c r="BX45" s="17" t="str">
        <v>COCONUT OIL 1/2 LTR PET</v>
      </c>
      <c r="BY45" s="17" t="str">
        <v>COC 500 ML</v>
      </c>
      <c r="BZ45" s="17" t="str">
        <v>NAKSHATRA AGARBATTI Rs 12 PACK BOX (Thazhampoo)</v>
      </c>
      <c r="CA45" s="17" t="str">
        <v>AGARBATTI THAZHAMPOO RS.12 LUP</v>
      </c>
      <c r="CB45" s="17"/>
      <c r="CC45" s="17" t="str">
        <v>NAKSHATRA AGARBATTI Rs 55 PACK BOX (Lavender)</v>
      </c>
      <c r="CD45" s="17" t="str" cm="1">
        <f t="array" ref="CD45">_xlfn.IFS(CC45="","",COUNTIF(A:A,CC45)&gt;0,"ADDED",COUNTIF(B:B,CC45)&gt;0,"ADDED",COUNTIF(A:A,CC45)=0,"NOT ADDED")</f>
        <v>ADDED</v>
      </c>
      <c r="CE45" s="17" t="str">
        <v>COCONUT OIL 1 LTR BOX</v>
      </c>
    </row>
    <row r="46" spans="1:83" x14ac:dyDescent="0.25">
      <c r="A46" s="31" t="s">
        <v>16</v>
      </c>
      <c r="B46" s="30" t="s">
        <v>359</v>
      </c>
      <c r="C46" s="30" t="s">
        <v>210</v>
      </c>
      <c r="D46" s="35"/>
      <c r="E46" s="35"/>
      <c r="F46" s="35"/>
      <c r="G46" s="35"/>
      <c r="H46" s="35"/>
      <c r="I46" s="35"/>
      <c r="J46" s="35"/>
      <c r="K46" s="35"/>
      <c r="BW46" s="17"/>
      <c r="BX46" s="17" t="str">
        <v>COCONUT OIL 1/2 LTR PET BOX</v>
      </c>
      <c r="BY46" s="17" t="str">
        <v>COC 500 ML</v>
      </c>
      <c r="BZ46" s="17" t="str">
        <v>NAKSHATRA AGARBATTI Rs 55 PACK BOX (G.O.A.T)</v>
      </c>
      <c r="CA46" s="17" t="str">
        <v>AGARBATTI GOAT RS.55</v>
      </c>
      <c r="CB46" s="17"/>
      <c r="CC46" s="17" t="str">
        <v>NAKSHATRA AGARBATTI Rs 55 PACK BOX (PINEAPPLE)</v>
      </c>
      <c r="CD46" s="17" t="str" cm="1">
        <f t="array" ref="CD46">_xlfn.IFS(CC46="","",COUNTIF(A:A,CC46)&gt;0,"ADDED",COUNTIF(B:B,CC46)&gt;0,"ADDED",COUNTIF(A:A,CC46)=0,"NOT ADDED")</f>
        <v>ADDED</v>
      </c>
      <c r="CE46" s="17" t="str">
        <v>GINGELLY OIL 1/2 LTR BOX</v>
      </c>
    </row>
    <row r="47" spans="1:83" x14ac:dyDescent="0.25">
      <c r="A47" s="31" t="s">
        <v>17</v>
      </c>
      <c r="B47" s="30" t="s">
        <v>359</v>
      </c>
      <c r="C47" s="30" t="s">
        <v>210</v>
      </c>
      <c r="D47" s="35"/>
      <c r="E47" s="35"/>
      <c r="F47" s="35"/>
      <c r="G47" s="35"/>
      <c r="H47" s="35"/>
      <c r="I47" s="35"/>
      <c r="J47" s="35"/>
      <c r="K47" s="35"/>
      <c r="BW47" s="17"/>
      <c r="BX47" s="17" t="str">
        <v>COCONUT OIL 1/2 LTR PET BOX (OFFER)</v>
      </c>
      <c r="BY47" s="17" t="str">
        <v>COC 500 ML</v>
      </c>
      <c r="BZ47" s="17" t="str">
        <v>NAKSHATRA AGARBATTI Rs 55 PACK BOX (Lavender)</v>
      </c>
      <c r="CA47" s="17" t="str">
        <v>AGARBATTI LAVENDER RS.55</v>
      </c>
      <c r="CB47" s="17"/>
      <c r="CC47" s="17" t="str">
        <v>NAKSHATRA AGARBATTI Rs 55 PACK BOX (RED ROSE)</v>
      </c>
      <c r="CD47" s="17" t="str" cm="1">
        <f t="array" ref="CD47">_xlfn.IFS(CC47="","",COUNTIF(A:A,CC47)&gt;0,"ADDED",COUNTIF(B:B,CC47)&gt;0,"ADDED",COUNTIF(A:A,CC47)=0,"NOT ADDED")</f>
        <v>ADDED</v>
      </c>
      <c r="CE47" s="17" t="str">
        <v>NAKSHATRA POOJA OIL  Rs.10 PACK BOX (08.01.25)</v>
      </c>
    </row>
    <row r="48" spans="1:83" x14ac:dyDescent="0.25">
      <c r="A48" s="31" t="s">
        <v>21</v>
      </c>
      <c r="B48" s="30" t="s">
        <v>359</v>
      </c>
      <c r="C48" s="30" t="s">
        <v>210</v>
      </c>
      <c r="D48" s="35"/>
      <c r="E48" s="35"/>
      <c r="F48" s="35"/>
      <c r="G48" s="35"/>
      <c r="H48" s="35"/>
      <c r="I48" s="35"/>
      <c r="J48" s="35"/>
      <c r="K48" s="35"/>
      <c r="BW48" s="17"/>
      <c r="BX48" s="17" t="str">
        <v>COCONUT OIL 1/2 LTR POUCH</v>
      </c>
      <c r="BY48" s="17" t="str">
        <v>COC 500 ML</v>
      </c>
      <c r="BZ48" s="17" t="str">
        <v>NAKSHATRA AGARBATTI Rs 55 PACK BOX (Magic Mango)</v>
      </c>
      <c r="CA48" s="17" t="str">
        <v>AGARBATTI MANGO RS.55</v>
      </c>
      <c r="CB48" s="17"/>
      <c r="CC48" s="17" t="str">
        <v>NAKSHATRA AGARBATTI Rs 55 PACK BOX (Thazhampoo)</v>
      </c>
      <c r="CD48" s="17" t="str" cm="1">
        <f t="array" ref="CD48">_xlfn.IFS(CC48="","",COUNTIF(A:A,CC48)&gt;0,"ADDED",COUNTIF(B:B,CC48)&gt;0,"ADDED",COUNTIF(A:A,CC48)=0,"NOT ADDED")</f>
        <v>ADDED</v>
      </c>
      <c r="CE48" s="17" t="str">
        <v>NAKSHATRA POOJA OIL 1/2 LTR PET BOX (MURUGAN)</v>
      </c>
    </row>
    <row r="49" spans="1:83" x14ac:dyDescent="0.25">
      <c r="A49" s="31" t="s">
        <v>22</v>
      </c>
      <c r="B49" s="30" t="s">
        <v>359</v>
      </c>
      <c r="C49" s="30" t="s">
        <v>210</v>
      </c>
      <c r="D49" s="35"/>
      <c r="E49" s="35"/>
      <c r="F49" s="35"/>
      <c r="G49" s="35"/>
      <c r="H49" s="35"/>
      <c r="I49" s="35"/>
      <c r="J49" s="35"/>
      <c r="K49" s="35"/>
      <c r="BW49" s="17"/>
      <c r="BX49" s="17" t="str">
        <v>COCONUT OIL 1/2LTR POUCH(FREE)</v>
      </c>
      <c r="BY49" s="17" t="str">
        <v>COC 500 ML</v>
      </c>
      <c r="BZ49" s="17"/>
      <c r="CA49" s="17"/>
      <c r="CB49" s="17"/>
      <c r="CC49" s="17" t="str">
        <v>NAKSHATRA AGARBATTI Rs 55 PACK BOX (VANNILA)</v>
      </c>
      <c r="CD49" s="17" t="str" cm="1">
        <f t="array" ref="CD49">_xlfn.IFS(CC49="","",COUNTIF(A:A,CC49)&gt;0,"ADDED",COUNTIF(B:B,CC49)&gt;0,"ADDED",COUNTIF(A:A,CC49)=0,"NOT ADDED")</f>
        <v>ADDED</v>
      </c>
      <c r="CE49" s="17" t="str">
        <v>NAKSHATRA POOJA OIL 1/2 LTR PET BOX (AMMAN)</v>
      </c>
    </row>
    <row r="50" spans="1:83" x14ac:dyDescent="0.25">
      <c r="A50" s="31" t="s">
        <v>18</v>
      </c>
      <c r="B50" s="30" t="s">
        <v>453</v>
      </c>
      <c r="C50" s="30" t="s">
        <v>210</v>
      </c>
      <c r="D50" s="35"/>
      <c r="E50" s="35"/>
      <c r="F50" s="35"/>
      <c r="G50" s="35"/>
      <c r="H50" s="35"/>
      <c r="I50" s="35"/>
      <c r="J50" s="35"/>
      <c r="K50" s="35"/>
      <c r="BW50" s="17"/>
      <c r="BX50" s="17" t="str">
        <v>COCOUNT 1/2 PET</v>
      </c>
      <c r="BY50" s="17" t="str">
        <v>COC 500 ML</v>
      </c>
      <c r="BZ50" s="17"/>
      <c r="CA50" s="17"/>
      <c r="CB50" s="17"/>
      <c r="CC50" s="17" t="str">
        <v>NAKSHATRA POOJA OIL  Rs.10 PACK BOX (08.01.25)</v>
      </c>
      <c r="CD50" s="17" t="str" cm="1">
        <f t="array" ref="CD50">_xlfn.IFS(CC50="","",COUNTIF(A:A,CC50)&gt;0,"ADDED",COUNTIF(B:B,CC50)&gt;0,"ADDED",COUNTIF(A:A,CC50)=0,"NOT ADDED")</f>
        <v>ADDED</v>
      </c>
      <c r="CE50" s="17" t="str">
        <v>NAKSHATRA POOJA OIL 200 ML PET BOX (AGARBATHI)</v>
      </c>
    </row>
    <row r="51" spans="1:83" x14ac:dyDescent="0.25">
      <c r="A51" s="31" t="s">
        <v>19</v>
      </c>
      <c r="B51" s="30" t="s">
        <v>453</v>
      </c>
      <c r="C51" s="30" t="s">
        <v>210</v>
      </c>
      <c r="D51" s="35"/>
      <c r="E51" s="35"/>
      <c r="F51" s="35"/>
      <c r="G51" s="35"/>
      <c r="H51" s="35"/>
      <c r="I51" s="35"/>
      <c r="J51" s="35"/>
      <c r="K51" s="35"/>
      <c r="BW51" s="17"/>
      <c r="BX51" s="17" t="str">
        <v>COCOUNT OIL 1/2 LTR PET</v>
      </c>
      <c r="BY51" s="17" t="str">
        <v>COC 500 ML</v>
      </c>
      <c r="BZ51" s="17"/>
      <c r="CA51" s="17"/>
      <c r="CB51" s="17"/>
      <c r="CC51" s="17" t="str">
        <v>NAKSHATRA POOJA OIL  Rs.20 PACK BOX (08.01.25)</v>
      </c>
      <c r="CD51" s="17" t="str" cm="1">
        <f t="array" ref="CD51">_xlfn.IFS(CC51="","",COUNTIF(A:A,CC51)&gt;0,"ADDED",COUNTIF(B:B,CC51)&gt;0,"ADDED",COUNTIF(A:A,CC51)=0,"NOT ADDED")</f>
        <v>ADDED</v>
      </c>
      <c r="CE51" s="17" t="str">
        <v>NAKSHATRA POOJA OIL 1 LTR PET BOX</v>
      </c>
    </row>
    <row r="52" spans="1:83" x14ac:dyDescent="0.25">
      <c r="A52" s="31" t="s">
        <v>239</v>
      </c>
      <c r="B52" s="30" t="s">
        <v>453</v>
      </c>
      <c r="C52" s="30" t="s">
        <v>210</v>
      </c>
      <c r="D52" s="35"/>
      <c r="E52" s="35"/>
      <c r="F52" s="35"/>
      <c r="G52" s="35"/>
      <c r="H52" s="35"/>
      <c r="I52" s="35"/>
      <c r="J52" s="35"/>
      <c r="K52" s="35"/>
      <c r="BW52" s="17"/>
      <c r="BX52" s="17" t="str">
        <v>COCOUNT OIL 1/2 POUCH</v>
      </c>
      <c r="BY52" s="17" t="str">
        <v>COC 500 ML</v>
      </c>
      <c r="BZ52" s="17"/>
      <c r="CA52" s="17"/>
      <c r="CB52" s="17"/>
      <c r="CC52" s="17" t="str">
        <v>NAKSHATRA POOJA OIL 1 LTR PET BOX</v>
      </c>
      <c r="CD52" s="17" t="str" cm="1">
        <f t="array" ref="CD52">_xlfn.IFS(CC52="","",COUNTIF(A:A,CC52)&gt;0,"ADDED",COUNTIF(B:B,CC52)&gt;0,"ADDED",COUNTIF(A:A,CC52)=0,"NOT ADDED")</f>
        <v>ADDED</v>
      </c>
      <c r="CE52" s="17" t="str">
        <v>COCONUT OIL 1/2 LTR BOX</v>
      </c>
    </row>
    <row r="53" spans="1:83" x14ac:dyDescent="0.25">
      <c r="A53" s="31" t="s">
        <v>20</v>
      </c>
      <c r="B53" s="30" t="s">
        <v>453</v>
      </c>
      <c r="C53" s="30" t="s">
        <v>210</v>
      </c>
      <c r="D53" s="35"/>
      <c r="E53" s="35"/>
      <c r="F53" s="35"/>
      <c r="G53" s="35"/>
      <c r="H53" s="35"/>
      <c r="I53" s="35"/>
      <c r="J53" s="35"/>
      <c r="K53" s="35"/>
      <c r="BW53" s="17"/>
      <c r="BX53" s="17" t="str">
        <v>COCOUNT OIL 1/2 PET</v>
      </c>
      <c r="BY53" s="17" t="str">
        <v>COC 500 ML PET</v>
      </c>
      <c r="BZ53" s="17"/>
      <c r="CA53" s="17"/>
      <c r="CB53" s="17"/>
      <c r="CC53" s="17" t="str">
        <v>NAKSHATRA POOJA OIL 1 LTR PET BOX (AGARBATHI)</v>
      </c>
      <c r="CD53" s="17" t="str" cm="1">
        <f t="array" ref="CD53">_xlfn.IFS(CC53="","",COUNTIF(A:A,CC53)&gt;0,"ADDED",COUNTIF(B:B,CC53)&gt;0,"ADDED",COUNTIF(A:A,CC53)=0,"NOT ADDED")</f>
        <v>ADDED</v>
      </c>
      <c r="CE53" s="17" t="str">
        <v>DAILY DOUBLE ROASTED RAVA 200g POUCH - 10Kg BAG</v>
      </c>
    </row>
    <row r="54" spans="1:83" x14ac:dyDescent="0.25">
      <c r="A54" s="31" t="s">
        <v>5</v>
      </c>
      <c r="B54" s="30" t="s">
        <v>403</v>
      </c>
      <c r="C54" s="30" t="s">
        <v>210</v>
      </c>
      <c r="D54" s="35"/>
      <c r="E54" s="35"/>
      <c r="F54" s="35"/>
      <c r="G54" s="35"/>
      <c r="H54" s="35"/>
      <c r="I54" s="35"/>
      <c r="J54" s="35"/>
      <c r="K54" s="35"/>
      <c r="BW54" s="17"/>
      <c r="BX54" s="17" t="str">
        <v>COCONUT OIL Rs 10 PACK BOX</v>
      </c>
      <c r="BY54" s="17" t="str">
        <v>COC RS.10 LUP</v>
      </c>
      <c r="BZ54" s="17"/>
      <c r="CA54" s="17"/>
      <c r="CB54" s="17"/>
      <c r="CC54" s="17" t="str">
        <v>NAKSHATRA POOJA OIL 1 LTR PET BOX (AMMAN)</v>
      </c>
      <c r="CD54" s="17" t="str" cm="1">
        <f t="array" ref="CD54">_xlfn.IFS(CC54="","",COUNTIF(A:A,CC54)&gt;0,"ADDED",COUNTIF(B:B,CC54)&gt;0,"ADDED",COUNTIF(A:A,CC54)=0,"NOT ADDED")</f>
        <v>ADDED</v>
      </c>
      <c r="CE54" s="17" t="str">
        <v>Mr.CASTOR OIL 100ml PET BOX</v>
      </c>
    </row>
    <row r="55" spans="1:83" x14ac:dyDescent="0.25">
      <c r="A55" s="31" t="s">
        <v>7</v>
      </c>
      <c r="B55" s="30" t="s">
        <v>403</v>
      </c>
      <c r="C55" s="30" t="s">
        <v>210</v>
      </c>
      <c r="D55" s="35"/>
      <c r="E55" s="35"/>
      <c r="F55" s="35"/>
      <c r="G55" s="35"/>
      <c r="H55" s="35"/>
      <c r="I55" s="35"/>
      <c r="J55" s="35"/>
      <c r="K55" s="35"/>
      <c r="BW55" s="17"/>
      <c r="BX55" s="17" t="str">
        <v>COCONUT OIL Rs 10 PACK BOX (NEW)</v>
      </c>
      <c r="BY55" s="17" t="str">
        <v>COC RS.10 LUP</v>
      </c>
      <c r="BZ55" s="17"/>
      <c r="CA55" s="17"/>
      <c r="CB55" s="17"/>
      <c r="CC55" s="17" t="str">
        <v>NAKSHATRA POOJA OIL 1 LTR PET BOX (GANESHA)</v>
      </c>
      <c r="CD55" s="17" t="str" cm="1">
        <f t="array" ref="CD55">_xlfn.IFS(CC55="","",COUNTIF(A:A,CC55)&gt;0,"ADDED",COUNTIF(B:B,CC55)&gt;0,"ADDED",COUNTIF(A:A,CC55)=0,"NOT ADDED")</f>
        <v>ADDED</v>
      </c>
      <c r="CE55" s="17" t="str">
        <v>SUNRAJA GULAS (JAGGERY POWDER) Rs 5 /- PACK</v>
      </c>
    </row>
    <row r="56" spans="1:83" x14ac:dyDescent="0.25">
      <c r="A56" s="31" t="s">
        <v>234</v>
      </c>
      <c r="B56" s="30" t="s">
        <v>403</v>
      </c>
      <c r="C56" s="30" t="s">
        <v>210</v>
      </c>
      <c r="D56" s="35"/>
      <c r="E56" s="35"/>
      <c r="F56" s="35"/>
      <c r="G56" s="35"/>
      <c r="H56" s="35"/>
      <c r="I56" s="35"/>
      <c r="J56" s="35"/>
      <c r="K56" s="35"/>
      <c r="BW56" s="17"/>
      <c r="BX56" s="17" t="str">
        <v>COCONUT OIL Rs 10 PACK BOX (NEW-FREE)</v>
      </c>
      <c r="BY56" s="17" t="str">
        <v>COC RS.10 LUP</v>
      </c>
      <c r="BZ56" s="17"/>
      <c r="CA56" s="17"/>
      <c r="CB56" s="17"/>
      <c r="CC56" s="17" t="str">
        <v>NAKSHATRA POOJA OIL 1 LTR PET BOX (MURUGAN)</v>
      </c>
      <c r="CD56" s="17" t="str" cm="1">
        <f t="array" ref="CD56">_xlfn.IFS(CC56="","",COUNTIF(A:A,CC56)&gt;0,"ADDED",COUNTIF(B:B,CC56)&gt;0,"ADDED",COUNTIF(A:A,CC56)=0,"NOT ADDED")</f>
        <v>ADDED</v>
      </c>
      <c r="CE56" s="17" t="str">
        <v>SUNRAJA GULAS PALM JAGGERY POWDER 170g JAR BOX</v>
      </c>
    </row>
    <row r="57" spans="1:83" x14ac:dyDescent="0.25">
      <c r="A57" s="31" t="s">
        <v>529</v>
      </c>
      <c r="B57" s="30" t="s">
        <v>403</v>
      </c>
      <c r="C57" s="30" t="s">
        <v>210</v>
      </c>
      <c r="D57" s="35"/>
      <c r="E57" s="35"/>
      <c r="F57" s="35"/>
      <c r="G57" s="35"/>
      <c r="H57" s="35"/>
      <c r="I57" s="35"/>
      <c r="J57" s="35"/>
      <c r="K57" s="35"/>
      <c r="BW57" s="17"/>
      <c r="BX57" s="17" t="str">
        <v>COCONUT OIL Rs 10 POUCH</v>
      </c>
      <c r="BY57" s="17" t="str">
        <v>COC RS.10 LUP</v>
      </c>
      <c r="BZ57" s="17"/>
      <c r="CA57" s="17"/>
      <c r="CB57" s="17"/>
      <c r="CC57" s="17" t="str">
        <v>NAKSHATRA POOJA OIL 1 LTR POUCH BOX</v>
      </c>
      <c r="CD57" s="17" t="str" cm="1">
        <f t="array" ref="CD57">_xlfn.IFS(CC57="","",COUNTIF(A:A,CC57)&gt;0,"ADDED",COUNTIF(B:B,CC57)&gt;0,"ADDED",COUNTIF(A:A,CC57)=0,"NOT ADDED")</f>
        <v>ADDED</v>
      </c>
      <c r="CE57" s="17" t="str">
        <v>REF SUNFLOWER OIL 3 LTR COMBO PACK (12 LTR)</v>
      </c>
    </row>
    <row r="58" spans="1:83" x14ac:dyDescent="0.25">
      <c r="A58" s="31" t="s">
        <v>4</v>
      </c>
      <c r="B58" s="30" t="s">
        <v>403</v>
      </c>
      <c r="C58" s="30" t="s">
        <v>210</v>
      </c>
      <c r="D58" s="35"/>
      <c r="E58" s="35"/>
      <c r="F58" s="35"/>
      <c r="G58" s="35"/>
      <c r="H58" s="35"/>
      <c r="I58" s="35"/>
      <c r="J58" s="35"/>
      <c r="K58" s="35"/>
      <c r="BW58" s="17"/>
      <c r="BX58" s="17" t="str">
        <v>COCONUT OIL Rs 20 PACK BOX</v>
      </c>
      <c r="BY58" s="17" t="str">
        <v>COC RS.20 LUP</v>
      </c>
      <c r="BZ58" s="17"/>
      <c r="CA58" s="17"/>
      <c r="CB58" s="17"/>
      <c r="CC58" s="17" t="str">
        <v>NAKSHATRA POOJA OIL 1/2 LTR PET BOX</v>
      </c>
      <c r="CD58" s="17" t="str" cm="1">
        <f t="array" ref="CD58">_xlfn.IFS(CC58="","",COUNTIF(A:A,CC58)&gt;0,"ADDED",COUNTIF(B:B,CC58)&gt;0,"ADDED",COUNTIF(A:A,CC58)=0,"NOT ADDED")</f>
        <v>ADDED</v>
      </c>
      <c r="CE58" s="17" t="str">
        <v>REF SUNFLOWER OIL RS.20 PACK BOX (OLD 08.01.25)</v>
      </c>
    </row>
    <row r="59" spans="1:83" x14ac:dyDescent="0.25">
      <c r="A59" s="31" t="s">
        <v>235</v>
      </c>
      <c r="B59" s="30" t="s">
        <v>403</v>
      </c>
      <c r="C59" s="30" t="s">
        <v>210</v>
      </c>
      <c r="D59" s="35"/>
      <c r="E59" s="35"/>
      <c r="F59" s="35"/>
      <c r="G59" s="35"/>
      <c r="H59" s="35"/>
      <c r="I59" s="35"/>
      <c r="J59" s="35"/>
      <c r="K59" s="35"/>
      <c r="BW59" s="17"/>
      <c r="BX59" s="17" t="str">
        <v>COCONUT OIL Rs 20 POUCH</v>
      </c>
      <c r="BY59" s="17" t="str">
        <v>COC RS.20 LUP</v>
      </c>
      <c r="BZ59" s="17"/>
      <c r="CA59" s="17"/>
      <c r="CB59" s="17"/>
      <c r="CC59" s="17" t="str">
        <v>NAKSHATRA POOJA OIL 1/2 LTR PET BOX (AGARBATHI)</v>
      </c>
      <c r="CD59" s="17" t="str" cm="1">
        <f t="array" ref="CD59">_xlfn.IFS(CC59="","",COUNTIF(A:A,CC59)&gt;0,"ADDED",COUNTIF(B:B,CC59)&gt;0,"ADDED",COUNTIF(A:A,CC59)=0,"NOT ADDED")</f>
        <v>ADDED</v>
      </c>
      <c r="CE59" s="17" t="str">
        <v>NAKSHATRA POOJA OIL  Rs.20 PACK BOX (08.01.25)</v>
      </c>
    </row>
    <row r="60" spans="1:83" x14ac:dyDescent="0.25">
      <c r="A60" s="31" t="s">
        <v>6</v>
      </c>
      <c r="B60" s="30" t="s">
        <v>403</v>
      </c>
      <c r="C60" s="30" t="s">
        <v>210</v>
      </c>
      <c r="D60" s="35"/>
      <c r="E60" s="35"/>
      <c r="F60" s="35"/>
      <c r="G60" s="35"/>
      <c r="H60" s="35"/>
      <c r="I60" s="35"/>
      <c r="J60" s="35"/>
      <c r="K60" s="35"/>
      <c r="BW60" s="17"/>
      <c r="BX60" s="17" t="str">
        <v>GINGELLY OIL 1 LIT POUCH (FREE)</v>
      </c>
      <c r="BY60" s="17" t="str">
        <v>GING 1 L</v>
      </c>
      <c r="BZ60" s="17"/>
      <c r="CA60" s="17"/>
      <c r="CB60" s="17"/>
      <c r="CC60" s="17" t="str">
        <v>NAKSHATRA POOJA OIL 1/2 LTR PET BOX (AMMAN)</v>
      </c>
      <c r="CD60" s="17" t="str" cm="1">
        <f t="array" ref="CD60">_xlfn.IFS(CC60="","",COUNTIF(A:A,CC60)&gt;0,"ADDED",COUNTIF(B:B,CC60)&gt;0,"ADDED",COUNTIF(A:A,CC60)=0,"NOT ADDED")</f>
        <v>ADDED</v>
      </c>
      <c r="CE60" s="17" t="str">
        <v>REF SUNFLOWER OIL 5 LTR COMBO PACK (20 LTR)</v>
      </c>
    </row>
    <row r="61" spans="1:83" x14ac:dyDescent="0.25">
      <c r="A61" s="31" t="s">
        <v>532</v>
      </c>
      <c r="B61" s="30" t="s">
        <v>627</v>
      </c>
      <c r="C61" s="30" t="s">
        <v>210</v>
      </c>
      <c r="D61" s="35"/>
      <c r="E61" s="35"/>
      <c r="F61" s="35"/>
      <c r="G61" s="35"/>
      <c r="H61" s="35"/>
      <c r="I61" s="35"/>
      <c r="J61" s="35"/>
      <c r="K61" s="35"/>
      <c r="BW61" s="17"/>
      <c r="BX61" s="17" t="str">
        <v>GINGELLY OIL 1 LIT POUCH(FREE)</v>
      </c>
      <c r="BY61" s="17" t="str">
        <v>GING 1 L</v>
      </c>
      <c r="BZ61" s="17"/>
      <c r="CA61" s="17"/>
      <c r="CB61" s="17"/>
      <c r="CC61" s="17" t="str">
        <v>NAKSHATRA POOJA OIL 1/2 LTR PET BOX (MURUGAN)</v>
      </c>
      <c r="CD61" s="17" t="str" cm="1">
        <f t="array" ref="CD61">_xlfn.IFS(CC61="","",COUNTIF(A:A,CC61)&gt;0,"ADDED",COUNTIF(B:B,CC61)&gt;0,"ADDED",COUNTIF(A:A,CC61)=0,"NOT ADDED")</f>
        <v>ADDED</v>
      </c>
      <c r="CE61" s="17" t="str">
        <v>GINGELLY OIL 1/2LTR PET BOX (OFFER)</v>
      </c>
    </row>
    <row r="62" spans="1:83" x14ac:dyDescent="0.25">
      <c r="A62" s="31" t="s">
        <v>530</v>
      </c>
      <c r="B62" s="30" t="s">
        <v>627</v>
      </c>
      <c r="C62" s="30" t="s">
        <v>210</v>
      </c>
      <c r="D62" s="35"/>
      <c r="E62" s="35"/>
      <c r="F62" s="35"/>
      <c r="G62" s="35"/>
      <c r="H62" s="35"/>
      <c r="I62" s="35"/>
      <c r="J62" s="35"/>
      <c r="K62" s="35"/>
      <c r="BW62" s="17"/>
      <c r="BX62" s="17" t="str">
        <v>GINGELLY OIL 1 LTR BOX</v>
      </c>
      <c r="BY62" s="17" t="str">
        <v>GING 1 L</v>
      </c>
      <c r="BZ62" s="17"/>
      <c r="CA62" s="17"/>
      <c r="CB62" s="17"/>
      <c r="CC62" s="17" t="str">
        <v>NAKSHATRA POOJA OIL 1/2 LTR POUCH BOX</v>
      </c>
      <c r="CD62" s="17" t="str" cm="1">
        <f t="array" ref="CD62">_xlfn.IFS(CC62="","",COUNTIF(A:A,CC62)&gt;0,"ADDED",COUNTIF(B:B,CC62)&gt;0,"ADDED",COUNTIF(A:A,CC62)=0,"NOT ADDED")</f>
        <v>ADDED</v>
      </c>
      <c r="CE62" s="17" t="str">
        <v>NAKSHATRA POOJA OIL 1 LTR PET BOX (AMMAN)</v>
      </c>
    </row>
    <row r="63" spans="1:83" x14ac:dyDescent="0.25">
      <c r="A63" s="31" t="s">
        <v>236</v>
      </c>
      <c r="B63" s="30" t="s">
        <v>358</v>
      </c>
      <c r="C63" s="30" t="s">
        <v>210</v>
      </c>
      <c r="D63" s="35"/>
      <c r="E63" s="35"/>
      <c r="F63" s="35"/>
      <c r="G63" s="35"/>
      <c r="H63" s="35"/>
      <c r="I63" s="35"/>
      <c r="J63" s="35"/>
      <c r="K63" s="35"/>
      <c r="BW63" s="17"/>
      <c r="BX63" s="17" t="str">
        <v>GINGELLY OIL 1 LTR BOX (OFFER)</v>
      </c>
      <c r="BY63" s="17" t="str">
        <v>GING 1 L</v>
      </c>
      <c r="BZ63" s="17"/>
      <c r="CA63" s="17"/>
      <c r="CB63" s="17"/>
      <c r="CC63" s="17" t="str">
        <v>NAKSHATRA POOJA OIL 200 ML PET BOX (AGARBATHI)</v>
      </c>
      <c r="CD63" s="17" t="str" cm="1">
        <f t="array" ref="CD63">_xlfn.IFS(CC63="","",COUNTIF(A:A,CC63)&gt;0,"ADDED",COUNTIF(B:B,CC63)&gt;0,"ADDED",COUNTIF(A:A,CC63)=0,"NOT ADDED")</f>
        <v>ADDED</v>
      </c>
      <c r="CE63" s="17" t="str">
        <v>NAKSHATRA POOJA OIL 1 LTR PET BOX (MURUGAN)</v>
      </c>
    </row>
    <row r="64" spans="1:83" x14ac:dyDescent="0.25">
      <c r="A64" s="31" t="s">
        <v>23</v>
      </c>
      <c r="B64" s="30" t="s">
        <v>358</v>
      </c>
      <c r="C64" s="30" t="s">
        <v>210</v>
      </c>
      <c r="D64" s="35"/>
      <c r="E64" s="35"/>
      <c r="F64" s="35"/>
      <c r="G64" s="35"/>
      <c r="H64" s="35"/>
      <c r="I64" s="35"/>
      <c r="J64" s="35"/>
      <c r="K64" s="35"/>
      <c r="BW64" s="17"/>
      <c r="BX64" s="17" t="str">
        <v>GINGELLY OIL 1 LTR POUCH</v>
      </c>
      <c r="BY64" s="17" t="str">
        <v>GING 1 L</v>
      </c>
      <c r="BZ64" s="17"/>
      <c r="CA64" s="17"/>
      <c r="CB64" s="17"/>
      <c r="CC64" s="17" t="str">
        <v>NAKSHATRA POOJA OIL 200 ML PET BOX (HILLS)</v>
      </c>
      <c r="CD64" s="17" t="str" cm="1">
        <f t="array" ref="CD64">_xlfn.IFS(CC64="","",COUNTIF(A:A,CC64)&gt;0,"ADDED",COUNTIF(B:B,CC64)&gt;0,"ADDED",COUNTIF(A:A,CC64)=0,"NOT ADDED")</f>
        <v>ADDED</v>
      </c>
      <c r="CE64" s="17" t="str">
        <v>NAKSHATRA POOJA OIL 1 LTR PET BOX (GANESHA)</v>
      </c>
    </row>
    <row r="65" spans="1:83" x14ac:dyDescent="0.25">
      <c r="A65" s="31" t="s">
        <v>565</v>
      </c>
      <c r="B65" s="30" t="s">
        <v>623</v>
      </c>
      <c r="C65" s="30" t="s">
        <v>210</v>
      </c>
      <c r="D65" s="35"/>
      <c r="E65" s="35"/>
      <c r="F65" s="35"/>
      <c r="G65" s="35"/>
      <c r="H65" s="35"/>
      <c r="I65" s="35"/>
      <c r="J65" s="35"/>
      <c r="K65" s="35"/>
      <c r="BW65" s="17"/>
      <c r="BX65" s="17" t="str">
        <v>GINGELLY OIL 1 LTR POUCH (FREE)</v>
      </c>
      <c r="BY65" s="17" t="str">
        <v>GING 1 L</v>
      </c>
      <c r="BZ65" s="17"/>
      <c r="CA65" s="17"/>
      <c r="CB65" s="17"/>
      <c r="CC65" s="17" t="str">
        <v>REF PALMOLEIN  OIL 1 LTR BOX (Mr.PALM)</v>
      </c>
      <c r="CD65" s="17" t="str" cm="1">
        <f t="array" ref="CD65">_xlfn.IFS(CC65="","",COUNTIF(A:A,CC65)&gt;0,"ADDED",COUNTIF(B:B,CC65)&gt;0,"ADDED",COUNTIF(A:A,CC65)=0,"NOT ADDED")</f>
        <v>ADDED</v>
      </c>
      <c r="CE65" s="17" t="str">
        <v>REF SUNFLOWER  OIL 3 LTR CAN BOX</v>
      </c>
    </row>
    <row r="66" spans="1:83" x14ac:dyDescent="0.25">
      <c r="A66" s="31" t="s">
        <v>569</v>
      </c>
      <c r="B66" s="30" t="s">
        <v>623</v>
      </c>
      <c r="C66" s="30" t="s">
        <v>210</v>
      </c>
      <c r="D66" s="35"/>
      <c r="E66" s="35"/>
      <c r="F66" s="35"/>
      <c r="G66" s="35"/>
      <c r="H66" s="35"/>
      <c r="I66" s="35"/>
      <c r="J66" s="35"/>
      <c r="K66" s="35"/>
      <c r="BW66" s="17"/>
      <c r="BX66" s="17" t="str">
        <v>GINGELLY OIL 1 LTR PET</v>
      </c>
      <c r="BY66" s="17" t="str">
        <v>GING 1 L PET</v>
      </c>
      <c r="BZ66" s="17"/>
      <c r="CA66" s="17"/>
      <c r="CB66" s="17"/>
      <c r="CC66" s="17" t="str">
        <v>REF PALMOLEIN  OIL 1/2 LTR BOX (Mr.PALM)</v>
      </c>
      <c r="CD66" s="17" t="str" cm="1">
        <f t="array" ref="CD66">_xlfn.IFS(CC66="","",COUNTIF(A:A,CC66)&gt;0,"ADDED",COUNTIF(B:B,CC66)&gt;0,"ADDED",COUNTIF(A:A,CC66)=0,"NOT ADDED")</f>
        <v>ADDED</v>
      </c>
      <c r="CE66" s="17" t="str">
        <v>GINGELLY OIL RS.15 PACK BOX (08.01.25)</v>
      </c>
    </row>
    <row r="67" spans="1:83" x14ac:dyDescent="0.25">
      <c r="A67" s="31" t="s">
        <v>238</v>
      </c>
      <c r="B67" s="30" t="s">
        <v>360</v>
      </c>
      <c r="C67" s="30" t="s">
        <v>210</v>
      </c>
      <c r="D67" s="35"/>
      <c r="E67" s="35"/>
      <c r="F67" s="35"/>
      <c r="G67" s="35"/>
      <c r="H67" s="35"/>
      <c r="I67" s="35"/>
      <c r="J67" s="35"/>
      <c r="K67" s="35"/>
      <c r="BW67" s="17"/>
      <c r="BX67" s="17" t="str">
        <v>GINGELLY OIL 1 LTR PET BOX</v>
      </c>
      <c r="BY67" s="17" t="str">
        <v>GING 1 L PET</v>
      </c>
      <c r="BZ67" s="17"/>
      <c r="CA67" s="17"/>
      <c r="CB67" s="17"/>
      <c r="CC67" s="17" t="str">
        <v>REF RICE BRAN OIL 1 LTR BOX</v>
      </c>
      <c r="CD67" s="17" t="str" cm="1">
        <f t="array" ref="CD67">_xlfn.IFS(CC67="","",COUNTIF(A:A,CC67)&gt;0,"ADDED",COUNTIF(B:B,CC67)&gt;0,"ADDED",COUNTIF(A:A,CC67)=0,"NOT ADDED")</f>
        <v>ADDED</v>
      </c>
      <c r="CE67" s="17" t="str">
        <v>REF RICE BRAN OIL RS.10 PACK BOX (08.01.25)</v>
      </c>
    </row>
    <row r="68" spans="1:83" x14ac:dyDescent="0.25">
      <c r="A68" s="31" t="s">
        <v>26</v>
      </c>
      <c r="B68" s="30" t="s">
        <v>360</v>
      </c>
      <c r="C68" s="30" t="s">
        <v>210</v>
      </c>
      <c r="D68" s="35"/>
      <c r="E68" s="35"/>
      <c r="F68" s="35"/>
      <c r="G68" s="35"/>
      <c r="H68" s="35"/>
      <c r="I68" s="35"/>
      <c r="J68" s="35"/>
      <c r="K68" s="35"/>
      <c r="BW68" s="17"/>
      <c r="BX68" s="17" t="str">
        <v>GINGELLY OIL 1 LTR PET BOX (Export)</v>
      </c>
      <c r="BY68" s="17" t="str">
        <v>GING 1 L PET</v>
      </c>
      <c r="BZ68" s="17"/>
      <c r="CA68" s="17"/>
      <c r="CB68" s="17"/>
      <c r="CC68" s="17" t="str">
        <v>REF RICE BRAN OIL 1 LTR PET BOX</v>
      </c>
      <c r="CD68" s="17" t="str" cm="1">
        <f t="array" ref="CD68">_xlfn.IFS(CC68="","",COUNTIF(A:A,CC68)&gt;0,"ADDED",COUNTIF(B:B,CC68)&gt;0,"ADDED",COUNTIF(A:A,CC68)=0,"NOT ADDED")</f>
        <v>ADDED</v>
      </c>
      <c r="CE68" s="17" t="str">
        <v>DAILY REFINED WHEAT FLOUR (MAIDA) - 30 Kg BAG</v>
      </c>
    </row>
    <row r="69" spans="1:83" x14ac:dyDescent="0.25">
      <c r="A69" s="31" t="s">
        <v>27</v>
      </c>
      <c r="B69" s="30" t="s">
        <v>360</v>
      </c>
      <c r="C69" s="30" t="s">
        <v>210</v>
      </c>
      <c r="D69" s="35"/>
      <c r="E69" s="35"/>
      <c r="F69" s="35"/>
      <c r="G69" s="35"/>
      <c r="H69" s="35"/>
      <c r="I69" s="35"/>
      <c r="J69" s="35"/>
      <c r="K69" s="35"/>
      <c r="BW69" s="17"/>
      <c r="BX69" s="17" t="str">
        <v>GINGELLY OIL 1 LTR PET BOX(OFFER)</v>
      </c>
      <c r="BY69" s="17" t="str">
        <v>GING 1 L PET</v>
      </c>
      <c r="BZ69" s="17"/>
      <c r="CA69" s="17"/>
      <c r="CB69" s="17"/>
      <c r="CC69" s="17" t="str">
        <v>REF RICE BRAN OIL RS.10 PACK BOX (08.01.25)</v>
      </c>
      <c r="CD69" s="17" t="str" cm="1">
        <f t="array" ref="CD69">_xlfn.IFS(CC69="","",COUNTIF(A:A,CC69)&gt;0,"ADDED",COUNTIF(B:B,CC69)&gt;0,"ADDED",COUNTIF(A:A,CC69)=0,"NOT ADDED")</f>
        <v>ADDED</v>
      </c>
      <c r="CE69" s="17" t="str">
        <v>NAKSHATRA POOJA OIL 1/2 LTR PET BOX</v>
      </c>
    </row>
    <row r="70" spans="1:83" x14ac:dyDescent="0.25">
      <c r="A70" s="31" t="s">
        <v>28</v>
      </c>
      <c r="B70" s="30" t="s">
        <v>360</v>
      </c>
      <c r="C70" s="30" t="s">
        <v>210</v>
      </c>
      <c r="D70" s="35"/>
      <c r="E70" s="35"/>
      <c r="F70" s="35"/>
      <c r="G70" s="35"/>
      <c r="H70" s="35"/>
      <c r="I70" s="35"/>
      <c r="J70" s="35"/>
      <c r="K70" s="35"/>
      <c r="BW70" s="17"/>
      <c r="BX70" s="17" t="str">
        <v>GINGELLY OIL 100 ML PET BOX</v>
      </c>
      <c r="BY70" s="17" t="str">
        <v>GING 100 ML PET LUP</v>
      </c>
      <c r="BZ70" s="17"/>
      <c r="CA70" s="17"/>
      <c r="CB70" s="17"/>
      <c r="CC70" s="17" t="str">
        <v>REF SUNFLOWER  OIL 3 LTR CAN BOX</v>
      </c>
      <c r="CD70" s="17" t="str" cm="1">
        <f t="array" ref="CD70">_xlfn.IFS(CC70="","",COUNTIF(A:A,CC70)&gt;0,"ADDED",COUNTIF(B:B,CC70)&gt;0,"ADDED",COUNTIF(A:A,CC70)=0,"NOT ADDED")</f>
        <v>ADDED</v>
      </c>
      <c r="CE70" s="17" t="str">
        <v>COCONUT OIL 1/2 LTR PET BOX</v>
      </c>
    </row>
    <row r="71" spans="1:83" x14ac:dyDescent="0.25">
      <c r="A71" s="31" t="s">
        <v>237</v>
      </c>
      <c r="B71" s="30" t="s">
        <v>404</v>
      </c>
      <c r="C71" s="30" t="s">
        <v>210</v>
      </c>
      <c r="D71" s="35"/>
      <c r="E71" s="35"/>
      <c r="F71" s="35"/>
      <c r="G71" s="35"/>
      <c r="H71" s="35"/>
      <c r="I71" s="35"/>
      <c r="J71" s="35"/>
      <c r="K71" s="35"/>
      <c r="BW71" s="17"/>
      <c r="BX71" s="17" t="str">
        <v>GINGELLY OIL 100ML PET</v>
      </c>
      <c r="BY71" s="17" t="str">
        <v>GING 100 ML PET LUP</v>
      </c>
      <c r="BZ71" s="17"/>
      <c r="CA71" s="17"/>
      <c r="CB71" s="17"/>
      <c r="CC71" s="17" t="str">
        <v>REF SUNFLOWER OIL 1 LTR  PET BOX</v>
      </c>
      <c r="CD71" s="17" t="str" cm="1">
        <f t="array" ref="CD71">_xlfn.IFS(CC71="","",COUNTIF(A:A,CC71)&gt;0,"ADDED",COUNTIF(B:B,CC71)&gt;0,"ADDED",COUNTIF(A:A,CC71)=0,"NOT ADDED")</f>
        <v>ADDED</v>
      </c>
      <c r="CE71" s="17" t="str">
        <v>NAKSHATRA AGARBATTI Rs 12 PACK BOX (Sa Re Ga Ma)</v>
      </c>
    </row>
    <row r="72" spans="1:83" x14ac:dyDescent="0.25">
      <c r="A72" s="31" t="s">
        <v>24</v>
      </c>
      <c r="B72" s="30" t="s">
        <v>404</v>
      </c>
      <c r="C72" s="30" t="s">
        <v>210</v>
      </c>
      <c r="D72" s="35"/>
      <c r="E72" s="35"/>
      <c r="F72" s="35"/>
      <c r="G72" s="35"/>
      <c r="H72" s="35"/>
      <c r="I72" s="35"/>
      <c r="J72" s="35"/>
      <c r="K72" s="35"/>
      <c r="BW72" s="17"/>
      <c r="BX72" s="17" t="str">
        <v>GINGELLY OIL 100ML PET (FREE)</v>
      </c>
      <c r="BY72" s="17" t="str">
        <v>GING 100 ML PET LUP</v>
      </c>
      <c r="BZ72" s="17"/>
      <c r="CA72" s="17"/>
      <c r="CB72" s="17"/>
      <c r="CC72" s="17" t="str">
        <v>REF SUNFLOWER OIL 1 LTR BOX</v>
      </c>
      <c r="CD72" s="17" t="str" cm="1">
        <f t="array" ref="CD72">_xlfn.IFS(CC72="","",COUNTIF(A:A,CC72)&gt;0,"ADDED",COUNTIF(B:B,CC72)&gt;0,"ADDED",COUNTIF(A:A,CC72)=0,"NOT ADDED")</f>
        <v>ADDED</v>
      </c>
      <c r="CE72" s="17" t="str">
        <v>NAKSHATRA AGARBATTI Rs 12 PACK BOX (OG Arij)</v>
      </c>
    </row>
    <row r="73" spans="1:83" x14ac:dyDescent="0.25">
      <c r="A73" s="31" t="s">
        <v>25</v>
      </c>
      <c r="B73" s="30" t="s">
        <v>404</v>
      </c>
      <c r="C73" s="30" t="s">
        <v>210</v>
      </c>
      <c r="D73" s="35"/>
      <c r="E73" s="35"/>
      <c r="F73" s="35"/>
      <c r="G73" s="35"/>
      <c r="H73" s="35"/>
      <c r="I73" s="35"/>
      <c r="J73" s="35"/>
      <c r="K73" s="35"/>
      <c r="BW73" s="17"/>
      <c r="BX73" s="17" t="str">
        <v>GINGELLY OIL 2 LTR PET</v>
      </c>
      <c r="BY73" s="17" t="str">
        <v>GING 2 L</v>
      </c>
      <c r="BZ73" s="17"/>
      <c r="CA73" s="17"/>
      <c r="CB73" s="17"/>
      <c r="CC73" s="17" t="str">
        <v>REF SUNFLOWER OIL 1/2LTR BOX</v>
      </c>
      <c r="CD73" s="17" t="str" cm="1">
        <f t="array" ref="CD73">_xlfn.IFS(CC73="","",COUNTIF(A:A,CC73)&gt;0,"ADDED",COUNTIF(B:B,CC73)&gt;0,"ADDED",COUNTIF(A:A,CC73)=0,"NOT ADDED")</f>
        <v>ADDED</v>
      </c>
      <c r="CE73" s="17" t="str">
        <v>NAKSHATRA AGARBATTI Rs 55 PACK BOX (Thazhampoo)</v>
      </c>
    </row>
    <row r="74" spans="1:83" x14ac:dyDescent="0.25">
      <c r="A74" s="31" t="s">
        <v>438</v>
      </c>
      <c r="B74" s="30" t="s">
        <v>361</v>
      </c>
      <c r="C74" s="30" t="s">
        <v>210</v>
      </c>
      <c r="D74" s="35"/>
      <c r="E74" s="35"/>
      <c r="F74" s="35"/>
      <c r="G74" s="35"/>
      <c r="H74" s="35"/>
      <c r="I74" s="35"/>
      <c r="J74" s="35"/>
      <c r="K74" s="35"/>
      <c r="BW74" s="17"/>
      <c r="BX74" s="17" t="str">
        <v>GINGELLY OIL 2 LTR PET  BOX</v>
      </c>
      <c r="BY74" s="17" t="str">
        <v>GING 2 L</v>
      </c>
      <c r="BZ74" s="17"/>
      <c r="CA74" s="17"/>
      <c r="CB74" s="17"/>
      <c r="CC74" s="17" t="str">
        <v>REF SUNFLOWER OIL 2 LTR PET BOX</v>
      </c>
      <c r="CD74" s="17" t="str" cm="1">
        <f t="array" ref="CD74">_xlfn.IFS(CC74="","",COUNTIF(A:A,CC74)&gt;0,"ADDED",COUNTIF(B:B,CC74)&gt;0,"ADDED",COUNTIF(A:A,CC74)=0,"NOT ADDED")</f>
        <v>ADDED</v>
      </c>
      <c r="CE74" s="17" t="str">
        <v>NAKSHATRA AGARBATTI Rs 12 PACK BOX (Magic Mango)</v>
      </c>
    </row>
    <row r="75" spans="1:83" x14ac:dyDescent="0.25">
      <c r="A75" s="31" t="s">
        <v>8</v>
      </c>
      <c r="B75" s="30" t="s">
        <v>361</v>
      </c>
      <c r="C75" s="30" t="s">
        <v>210</v>
      </c>
      <c r="D75" s="35"/>
      <c r="E75" s="35"/>
      <c r="F75" s="35"/>
      <c r="G75" s="35"/>
      <c r="H75" s="35"/>
      <c r="I75" s="35"/>
      <c r="J75" s="35"/>
      <c r="K75" s="35"/>
      <c r="BW75" s="17"/>
      <c r="BX75" s="17" t="str">
        <v>GINGELLY OIL 2 LTR PET  BOX (Export)</v>
      </c>
      <c r="BY75" s="17" t="str">
        <v>GING 2 L</v>
      </c>
      <c r="BZ75" s="17"/>
      <c r="CA75" s="17"/>
      <c r="CB75" s="17"/>
      <c r="CC75" s="17" t="str">
        <v>REF SUNFLOWER OIL 3 LTR COMBO PACK (12 LTR)</v>
      </c>
      <c r="CD75" s="17" t="str" cm="1">
        <f t="array" ref="CD75">_xlfn.IFS(CC75="","",COUNTIF(A:A,CC75)&gt;0,"ADDED",COUNTIF(B:B,CC75)&gt;0,"ADDED",COUNTIF(A:A,CC75)=0,"NOT ADDED")</f>
        <v>ADDED</v>
      </c>
      <c r="CE75" s="17" t="str">
        <v>NAKSHATRA AGARBATTI Rs 12 PACK BOX (Lavender)</v>
      </c>
    </row>
    <row r="76" spans="1:83" x14ac:dyDescent="0.25">
      <c r="A76" s="31" t="s">
        <v>9</v>
      </c>
      <c r="B76" s="30" t="s">
        <v>361</v>
      </c>
      <c r="C76" s="30" t="s">
        <v>210</v>
      </c>
      <c r="D76" s="35"/>
      <c r="E76" s="35"/>
      <c r="F76" s="35"/>
      <c r="G76" s="35"/>
      <c r="H76" s="35"/>
      <c r="I76" s="35"/>
      <c r="J76" s="35"/>
      <c r="K76" s="35"/>
      <c r="BW76" s="17"/>
      <c r="BX76" s="17" t="str">
        <v>GINGELLY OIL 200 ML PET</v>
      </c>
      <c r="BY76" s="17" t="str">
        <v>GING 200 ML PET</v>
      </c>
      <c r="BZ76" s="17"/>
      <c r="CA76" s="17"/>
      <c r="CB76" s="17"/>
      <c r="CC76" s="17" t="str">
        <v>REF SUNFLOWER OIL 5 LTR CAN BOX</v>
      </c>
      <c r="CD76" s="17" t="str" cm="1">
        <f t="array" ref="CD76">_xlfn.IFS(CC76="","",COUNTIF(A:A,CC76)&gt;0,"ADDED",COUNTIF(B:B,CC76)&gt;0,"ADDED",COUNTIF(A:A,CC76)=0,"NOT ADDED")</f>
        <v>ADDED</v>
      </c>
      <c r="CE76" s="17" t="str">
        <v>NAKSHATRA AGARBATTI Rs 55 PACK BOX (Lavender)</v>
      </c>
    </row>
    <row r="77" spans="1:83" x14ac:dyDescent="0.25">
      <c r="A77" s="31" t="s">
        <v>10</v>
      </c>
      <c r="B77" s="30" t="s">
        <v>361</v>
      </c>
      <c r="C77" s="30" t="s">
        <v>210</v>
      </c>
      <c r="D77" s="35"/>
      <c r="E77" s="35"/>
      <c r="F77" s="35"/>
      <c r="G77" s="35"/>
      <c r="H77" s="35"/>
      <c r="I77" s="35"/>
      <c r="J77" s="35"/>
      <c r="K77" s="35"/>
      <c r="BW77" s="17"/>
      <c r="BX77" s="17" t="str">
        <v>GINGELLY OIL 200 ML PET BOX</v>
      </c>
      <c r="BY77" s="17" t="str">
        <v>GING 200 ML PET</v>
      </c>
      <c r="BZ77" s="17"/>
      <c r="CA77" s="17"/>
      <c r="CB77" s="17"/>
      <c r="CC77" s="17" t="str">
        <v>REF SUNFLOWER OIL 5 LTR COMBO PACK (20 LTR)</v>
      </c>
      <c r="CD77" s="17" t="str" cm="1">
        <f t="array" ref="CD77">_xlfn.IFS(CC77="","",COUNTIF(A:A,CC77)&gt;0,"ADDED",COUNTIF(B:B,CC77)&gt;0,"ADDED",COUNTIF(A:A,CC77)=0,"NOT ADDED")</f>
        <v>ADDED</v>
      </c>
      <c r="CE77" s="17" t="str">
        <v>COCONUT OIL 1 LTR PET BOX</v>
      </c>
    </row>
    <row r="78" spans="1:83" x14ac:dyDescent="0.25">
      <c r="A78" s="31" t="s">
        <v>11</v>
      </c>
      <c r="B78" s="30" t="s">
        <v>361</v>
      </c>
      <c r="C78" s="30" t="s">
        <v>210</v>
      </c>
      <c r="D78" s="35"/>
      <c r="E78" s="35"/>
      <c r="F78" s="35"/>
      <c r="G78" s="35"/>
      <c r="H78" s="35"/>
      <c r="I78" s="35"/>
      <c r="J78" s="35"/>
      <c r="K78" s="35"/>
      <c r="BW78" s="17"/>
      <c r="BX78" s="17" t="str">
        <v>GINGELLY OIL 200ML PET</v>
      </c>
      <c r="BY78" s="17" t="str">
        <v>GING 200 ML PET</v>
      </c>
      <c r="BZ78" s="17"/>
      <c r="CA78" s="17"/>
      <c r="CB78" s="17"/>
      <c r="CC78" s="17" t="str">
        <v>REF SUNFLOWER OIL RS.10 PACK BOX (NEW 08.01.25)</v>
      </c>
      <c r="CD78" s="17" t="str" cm="1">
        <f t="array" ref="CD78">_xlfn.IFS(CC78="","",COUNTIF(A:A,CC78)&gt;0,"ADDED",COUNTIF(B:B,CC78)&gt;0,"ADDED",COUNTIF(A:A,CC78)=0,"NOT ADDED")</f>
        <v>ADDED</v>
      </c>
      <c r="CE78" s="17" t="str">
        <v>NAKSHATRA POOJA OIL 200 ML PET BOX (HILLS)</v>
      </c>
    </row>
    <row r="79" spans="1:83" x14ac:dyDescent="0.25">
      <c r="A79" s="31" t="s">
        <v>12</v>
      </c>
      <c r="B79" s="30" t="s">
        <v>361</v>
      </c>
      <c r="C79" s="30" t="s">
        <v>210</v>
      </c>
      <c r="D79" s="35"/>
      <c r="E79" s="35"/>
      <c r="F79" s="35"/>
      <c r="G79" s="35"/>
      <c r="H79" s="35"/>
      <c r="I79" s="35"/>
      <c r="J79" s="35"/>
      <c r="K79" s="35"/>
      <c r="BW79" s="17"/>
      <c r="BX79" s="17" t="str">
        <v>GINGELLY OIL 200ml PET  BOX (Export)</v>
      </c>
      <c r="BY79" s="17" t="str">
        <v>GING 200 ML PET</v>
      </c>
      <c r="BZ79" s="17"/>
      <c r="CA79" s="17"/>
      <c r="CB79" s="17"/>
      <c r="CC79" s="17" t="str">
        <v>REF SUNFLOWER OIL RS.10 PACK BOX (OLD 08.01.25)</v>
      </c>
      <c r="CD79" s="17" t="str" cm="1">
        <f t="array" ref="CD79">_xlfn.IFS(CC79="","",COUNTIF(A:A,CC79)&gt;0,"ADDED",COUNTIF(B:B,CC79)&gt;0,"ADDED",COUNTIF(A:A,CC79)=0,"NOT ADDED")</f>
        <v>ADDED</v>
      </c>
      <c r="CE79" s="17" t="str">
        <v>REF RICE BRAN OIL 1 LTR PET BOX</v>
      </c>
    </row>
    <row r="80" spans="1:83" x14ac:dyDescent="0.25">
      <c r="A80" s="31" t="s">
        <v>13</v>
      </c>
      <c r="B80" s="30" t="s">
        <v>361</v>
      </c>
      <c r="C80" s="30" t="s">
        <v>210</v>
      </c>
      <c r="D80" s="35"/>
      <c r="E80" s="35"/>
      <c r="F80" s="35"/>
      <c r="G80" s="35"/>
      <c r="H80" s="35"/>
      <c r="I80" s="35"/>
      <c r="J80" s="35"/>
      <c r="K80" s="35"/>
      <c r="BW80" s="17"/>
      <c r="BX80" s="17" t="str">
        <v>GINGELLY OIL 5 LTR BOX</v>
      </c>
      <c r="BY80" s="17" t="str">
        <v>GING 5 L</v>
      </c>
      <c r="BZ80" s="17"/>
      <c r="CA80" s="17"/>
      <c r="CB80" s="17"/>
      <c r="CC80" s="17" t="str">
        <v>REF SUNFLOWER OIL RS.20 PACK BOX (NEW 08.01.25)</v>
      </c>
      <c r="CD80" s="17" t="str" cm="1">
        <f t="array" ref="CD80">_xlfn.IFS(CC80="","",COUNTIF(A:A,CC80)&gt;0,"ADDED",COUNTIF(B:B,CC80)&gt;0,"ADDED",COUNTIF(A:A,CC80)=0,"NOT ADDED")</f>
        <v>ADDED</v>
      </c>
      <c r="CE80" s="17" t="str">
        <v>GINGELLY OIL 100 ML PET BOX</v>
      </c>
    </row>
    <row r="81" spans="1:83" x14ac:dyDescent="0.25">
      <c r="A81" s="31" t="s">
        <v>14</v>
      </c>
      <c r="B81" s="30" t="s">
        <v>361</v>
      </c>
      <c r="C81" s="30" t="s">
        <v>210</v>
      </c>
      <c r="D81" s="35"/>
      <c r="E81" s="35"/>
      <c r="F81" s="35"/>
      <c r="G81" s="35"/>
      <c r="H81" s="35"/>
      <c r="I81" s="35"/>
      <c r="J81" s="35"/>
      <c r="K81" s="35"/>
      <c r="BW81" s="17"/>
      <c r="BX81" s="17" t="str">
        <v>GINGELLY OIL 5 LTR BOX (Export)</v>
      </c>
      <c r="BY81" s="17" t="str">
        <v>GING 5 L</v>
      </c>
      <c r="BZ81" s="17"/>
      <c r="CA81" s="17"/>
      <c r="CB81" s="17"/>
      <c r="CC81" s="17" t="str">
        <v>REF SUNFLOWER OIL RS.20 PACK BOX (OLD 08.01.25)</v>
      </c>
      <c r="CD81" s="17" t="str" cm="1">
        <f t="array" ref="CD81">_xlfn.IFS(CC81="","",COUNTIF(A:A,CC81)&gt;0,"ADDED",COUNTIF(B:B,CC81)&gt;0,"ADDED",COUNTIF(A:A,CC81)=0,"NOT ADDED")</f>
        <v>ADDED</v>
      </c>
      <c r="CE81" s="17" t="str">
        <v>GINGELLY OIL 1/2 LTR BOX (OFFER)</v>
      </c>
    </row>
    <row r="82" spans="1:83" x14ac:dyDescent="0.25">
      <c r="A82" s="31" t="s">
        <v>213</v>
      </c>
      <c r="B82" s="30" t="s">
        <v>361</v>
      </c>
      <c r="C82" s="30" t="s">
        <v>210</v>
      </c>
      <c r="D82" s="35"/>
      <c r="E82" s="35"/>
      <c r="F82" s="35"/>
      <c r="G82" s="35"/>
      <c r="H82" s="35"/>
      <c r="I82" s="35"/>
      <c r="J82" s="35"/>
      <c r="K82" s="35"/>
      <c r="BW82" s="17"/>
      <c r="BX82" s="17" t="str">
        <v>GINGELLY OIL 5 LTR CAN</v>
      </c>
      <c r="BY82" s="17" t="str">
        <v>GING 5 L</v>
      </c>
      <c r="BZ82" s="17"/>
      <c r="CA82" s="17"/>
      <c r="CB82" s="17"/>
      <c r="CC82" s="17" t="str">
        <v>SUNRAJA GULAS (JAGGERY POWDER) 1 KG POUCH BOX</v>
      </c>
      <c r="CD82" s="17" t="str" cm="1">
        <f t="array" ref="CD82">_xlfn.IFS(CC82="","",COUNTIF(A:A,CC82)&gt;0,"ADDED",COUNTIF(B:B,CC82)&gt;0,"ADDED",COUNTIF(A:A,CC82)=0,"NOT ADDED")</f>
        <v>ADDED</v>
      </c>
      <c r="CE82" s="17" t="str">
        <v>REF PALMOLEIN  OIL 1/2 LTR BOX (Mr.PALM)</v>
      </c>
    </row>
    <row r="83" spans="1:83" x14ac:dyDescent="0.25">
      <c r="A83" s="31" t="s">
        <v>437</v>
      </c>
      <c r="B83" s="30" t="s">
        <v>361</v>
      </c>
      <c r="C83" s="30" t="s">
        <v>210</v>
      </c>
      <c r="D83" s="35"/>
      <c r="E83" s="35"/>
      <c r="F83" s="35"/>
      <c r="G83" s="35"/>
      <c r="H83" s="35"/>
      <c r="I83" s="35"/>
      <c r="J83" s="35"/>
      <c r="K83" s="35"/>
      <c r="BW83" s="17"/>
      <c r="BX83" s="17" t="str">
        <v>GINGELLY OIL  1/2 LTR POUCH (FREE)</v>
      </c>
      <c r="BY83" s="17" t="str">
        <v>GING 500 ML</v>
      </c>
      <c r="BZ83" s="17"/>
      <c r="CA83" s="17"/>
      <c r="CB83" s="17"/>
      <c r="CC83" s="17" t="str">
        <v>SUNRAJA GULAS (JAGGERY POWDER) 500g POUCH BOX</v>
      </c>
      <c r="CD83" s="17" t="str" cm="1">
        <f t="array" ref="CD83">_xlfn.IFS(CC83="","",COUNTIF(A:A,CC83)&gt;0,"ADDED",COUNTIF(B:B,CC83)&gt;0,"ADDED",COUNTIF(A:A,CC83)=0,"NOT ADDED")</f>
        <v>ADDED</v>
      </c>
      <c r="CE83" s="17" t="str">
        <v>REF PALMOLEIN  OIL 1 LTR BOX (Mr.PALM)</v>
      </c>
    </row>
    <row r="84" spans="1:83" x14ac:dyDescent="0.25">
      <c r="A84" s="31" t="s">
        <v>566</v>
      </c>
      <c r="B84" s="30" t="s">
        <v>361</v>
      </c>
      <c r="C84" s="30" t="s">
        <v>210</v>
      </c>
      <c r="D84" s="35"/>
      <c r="E84" s="35"/>
      <c r="F84" s="35"/>
      <c r="G84" s="35"/>
      <c r="H84" s="35"/>
      <c r="I84" s="35"/>
      <c r="J84" s="35"/>
      <c r="K84" s="35"/>
      <c r="BW84" s="17"/>
      <c r="BX84" s="17" t="str">
        <v>GINGELLY OIL 1/2 LTR  BOX (OFFER)</v>
      </c>
      <c r="BY84" s="17" t="str">
        <v>GING 500 ML</v>
      </c>
      <c r="BZ84" s="17"/>
      <c r="CA84" s="17"/>
      <c r="CB84" s="17"/>
      <c r="CC84" s="17" t="str">
        <v>SUNRAJA GULAS (JAGGERY POWDER) Rs 5 /- PACK</v>
      </c>
      <c r="CD84" s="17" t="str" cm="1">
        <f t="array" ref="CD84">_xlfn.IFS(CC84="","",COUNTIF(A:A,CC84)&gt;0,"ADDED",COUNTIF(B:B,CC84)&gt;0,"ADDED",COUNTIF(A:A,CC84)=0,"NOT ADDED")</f>
        <v>ADDED</v>
      </c>
      <c r="CE84" s="17" t="str">
        <v>NAKSHATRA POOJA OIL 1/2 LTR POUCH BOX</v>
      </c>
    </row>
    <row r="85" spans="1:83" x14ac:dyDescent="0.25">
      <c r="A85" s="31" t="s">
        <v>570</v>
      </c>
      <c r="B85" s="30" t="s">
        <v>454</v>
      </c>
      <c r="C85" s="30" t="s">
        <v>210</v>
      </c>
      <c r="D85" s="35"/>
      <c r="E85" s="35"/>
      <c r="F85" s="35"/>
      <c r="G85" s="35"/>
      <c r="H85" s="35"/>
      <c r="I85" s="35"/>
      <c r="J85" s="35"/>
      <c r="K85" s="35"/>
      <c r="BW85" s="17"/>
      <c r="BX85" s="17" t="str">
        <v>GINGELLY OIL 1/2 LTR BOX</v>
      </c>
      <c r="BY85" s="17" t="str">
        <v>GING 500 ML</v>
      </c>
      <c r="BZ85" s="17"/>
      <c r="CA85" s="17"/>
      <c r="CB85" s="17"/>
      <c r="CC85" s="17" t="str">
        <v>SUNRAJA GULAS (JAGGERY POWDER) Rs 5 /- PACK BOX</v>
      </c>
      <c r="CD85" s="17" t="str" cm="1">
        <f t="array" ref="CD85">_xlfn.IFS(CC85="","",COUNTIF(A:A,CC85)&gt;0,"ADDED",COUNTIF(B:B,CC85)&gt;0,"ADDED",COUNTIF(A:A,CC85)=0,"NOT ADDED")</f>
        <v>ADDED</v>
      </c>
      <c r="CE85" s="17" t="str">
        <v>NAKSHATRA POOJA OIL 1 LTR POUCH BOX</v>
      </c>
    </row>
    <row r="86" spans="1:83" x14ac:dyDescent="0.25">
      <c r="A86" s="31" t="s">
        <v>531</v>
      </c>
      <c r="B86" s="30" t="s">
        <v>405</v>
      </c>
      <c r="C86" s="30" t="s">
        <v>210</v>
      </c>
      <c r="D86" s="35"/>
      <c r="E86" s="35"/>
      <c r="F86" s="35"/>
      <c r="G86" s="35"/>
      <c r="H86" s="35"/>
      <c r="I86" s="35"/>
      <c r="J86" s="35"/>
      <c r="K86" s="35"/>
      <c r="BW86" s="17"/>
      <c r="BX86" s="17" t="str">
        <v>GINGELLY OIL 1/2 LTR BOX (OFFER)</v>
      </c>
      <c r="BY86" s="17" t="str">
        <v>GING 500 ML</v>
      </c>
      <c r="BZ86" s="17"/>
      <c r="CA86" s="17"/>
      <c r="CB86" s="17"/>
      <c r="CC86" s="17" t="str">
        <v>SUNRAJA GULAS PALM JAGGERY POWDER 170g JAR BOX</v>
      </c>
      <c r="CD86" s="17" t="str" cm="1">
        <f t="array" ref="CD86">_xlfn.IFS(CC86="","",COUNTIF(A:A,CC86)&gt;0,"ADDED",COUNTIF(B:B,CC86)&gt;0,"ADDED",COUNTIF(A:A,CC86)=0,"NOT ADDED")</f>
        <v>ADDED</v>
      </c>
      <c r="CE86" s="17" t="str">
        <v>SUNRAJA GULAS (JAGGERY POWDER) Rs 5 /- PACK BOX</v>
      </c>
    </row>
    <row r="87" spans="1:83" x14ac:dyDescent="0.25">
      <c r="A87" s="31" t="s">
        <v>29</v>
      </c>
      <c r="B87" s="30" t="s">
        <v>405</v>
      </c>
      <c r="C87" s="30" t="s">
        <v>210</v>
      </c>
      <c r="D87" s="35"/>
      <c r="E87" s="35"/>
      <c r="F87" s="35"/>
      <c r="G87" s="35"/>
      <c r="H87" s="35"/>
      <c r="I87" s="35"/>
      <c r="J87" s="35"/>
      <c r="K87" s="35"/>
      <c r="BW87" s="17"/>
      <c r="BX87" s="17" t="str">
        <v>GINGELLY OIL 1/2 LTR POUCH</v>
      </c>
      <c r="BY87" s="17" t="str">
        <v>GING 500 ML</v>
      </c>
      <c r="BZ87" s="17"/>
      <c r="CA87" s="17"/>
      <c r="CB87" s="17"/>
      <c r="CC87" s="17" t="str">
        <v>Total</v>
      </c>
      <c r="CD87" s="17" t="str" cm="1">
        <f t="array" ref="CD87">_xlfn.IFS(CC87="","",COUNTIF(A:A,CC87)&gt;0,"ADDED",COUNTIF(B:B,CC87)&gt;0,"ADDED",COUNTIF(A:A,CC87)=0,"NOT ADDED")</f>
        <v>ADDED</v>
      </c>
      <c r="CE87" s="17" t="str">
        <v>COCONUT OIL 200 ML PET BOX</v>
      </c>
    </row>
    <row r="88" spans="1:83" x14ac:dyDescent="0.25">
      <c r="A88" s="31" t="s">
        <v>442</v>
      </c>
      <c r="B88" s="30" t="s">
        <v>405</v>
      </c>
      <c r="C88" s="30" t="s">
        <v>210</v>
      </c>
      <c r="D88" s="35"/>
      <c r="E88" s="35"/>
      <c r="F88" s="35"/>
      <c r="G88" s="35"/>
      <c r="H88" s="35"/>
      <c r="I88" s="35"/>
      <c r="J88" s="35"/>
      <c r="K88" s="35"/>
      <c r="BW88" s="17"/>
      <c r="BX88" s="17" t="str">
        <v>GINGELLY OIL 1/2 LTR  PET</v>
      </c>
      <c r="BY88" s="17" t="str">
        <v>GING 500 ML PET</v>
      </c>
      <c r="BZ88" s="17"/>
      <c r="CA88" s="17"/>
      <c r="CB88" s="17"/>
      <c r="CC88" s="17"/>
      <c r="CD88" s="17" t="str" cm="1">
        <f t="array" ref="CD88">_xlfn.IFS(CC88="","",COUNTIF(A:A,CC88)&gt;0,"ADDED",COUNTIF(B:B,CC88)&gt;0,"ADDED",COUNTIF(A:A,CC88)=0,"NOT ADDED")</f>
        <v/>
      </c>
      <c r="CE88" s="17" t="str">
        <v>Total</v>
      </c>
    </row>
    <row r="89" spans="1:83" x14ac:dyDescent="0.25">
      <c r="A89" s="31" t="s">
        <v>572</v>
      </c>
      <c r="B89" s="30" t="s">
        <v>405</v>
      </c>
      <c r="C89" s="30" t="s">
        <v>210</v>
      </c>
      <c r="D89" s="35"/>
      <c r="E89" s="35"/>
      <c r="F89" s="35"/>
      <c r="G89" s="35"/>
      <c r="H89" s="35"/>
      <c r="I89" s="35"/>
      <c r="J89" s="35"/>
      <c r="K89" s="35"/>
      <c r="BW89" s="17"/>
      <c r="BX89" s="17" t="str">
        <v>GINGELLY OIL 1/2 LTR PET</v>
      </c>
      <c r="BY89" s="17" t="str">
        <v>GING 500 ML PET</v>
      </c>
      <c r="BZ89" s="17"/>
      <c r="CA89" s="17"/>
      <c r="CB89" s="17"/>
      <c r="CC89" s="17"/>
      <c r="CD89" s="17" t="str" cm="1">
        <f t="array" ref="CD89">_xlfn.IFS(CC89="","",COUNTIF(A:A,CC89)&gt;0,"ADDED",COUNTIF(B:B,CC89)&gt;0,"ADDED",COUNTIF(A:A,CC89)=0,"NOT ADDED")</f>
        <v/>
      </c>
      <c r="CE89" s="17"/>
    </row>
    <row r="90" spans="1:83" x14ac:dyDescent="0.25">
      <c r="A90" s="31" t="s">
        <v>30</v>
      </c>
      <c r="B90" s="30" t="s">
        <v>406</v>
      </c>
      <c r="C90" s="30" t="s">
        <v>210</v>
      </c>
      <c r="D90" s="35"/>
      <c r="E90" s="35"/>
      <c r="F90" s="35"/>
      <c r="G90" s="35"/>
      <c r="H90" s="35"/>
      <c r="I90" s="35"/>
      <c r="J90" s="35"/>
      <c r="K90" s="35"/>
      <c r="BW90" s="17"/>
      <c r="BX90" s="17" t="str">
        <v>GINGELLY OIL 1/2LTR PET</v>
      </c>
      <c r="BY90" s="17" t="str">
        <v>GING 500 ML PET</v>
      </c>
      <c r="BZ90" s="17"/>
      <c r="CA90" s="17"/>
      <c r="CB90" s="17"/>
      <c r="CC90" s="17"/>
      <c r="CD90" s="17" t="str" cm="1">
        <f t="array" ref="CD90">_xlfn.IFS(CC90="","",COUNTIF(A:A,CC90)&gt;0,"ADDED",COUNTIF(B:B,CC90)&gt;0,"ADDED",COUNTIF(A:A,CC90)=0,"NOT ADDED")</f>
        <v/>
      </c>
      <c r="CE90" s="17"/>
    </row>
    <row r="91" spans="1:83" x14ac:dyDescent="0.25">
      <c r="A91" s="31" t="s">
        <v>573</v>
      </c>
      <c r="B91" s="30" t="s">
        <v>406</v>
      </c>
      <c r="C91" s="30" t="s">
        <v>210</v>
      </c>
      <c r="D91" s="35"/>
      <c r="E91" s="35"/>
      <c r="F91" s="35"/>
      <c r="G91" s="35"/>
      <c r="H91" s="35"/>
      <c r="I91" s="35"/>
      <c r="J91" s="35"/>
      <c r="K91" s="35"/>
      <c r="BW91" s="17"/>
      <c r="BX91" s="17" t="str">
        <v>GINGELLY OIL 1/2LTR PET BOX</v>
      </c>
      <c r="BY91" s="17" t="str">
        <v>GING 500 ML PET</v>
      </c>
      <c r="BZ91" s="17"/>
      <c r="CA91" s="17"/>
      <c r="CB91" s="17"/>
      <c r="CC91" s="17"/>
      <c r="CD91" s="17" t="str" cm="1">
        <f t="array" ref="CD91">_xlfn.IFS(CC91="","",COUNTIF(A:A,CC91)&gt;0,"ADDED",COUNTIF(B:B,CC91)&gt;0,"ADDED",COUNTIF(A:A,CC91)=0,"NOT ADDED")</f>
        <v/>
      </c>
      <c r="CE91" s="17"/>
    </row>
    <row r="92" spans="1:83" x14ac:dyDescent="0.25">
      <c r="A92" s="31" t="s">
        <v>218</v>
      </c>
      <c r="B92" s="30" t="s">
        <v>364</v>
      </c>
      <c r="C92" s="30" t="s">
        <v>210</v>
      </c>
      <c r="D92" s="35"/>
      <c r="E92" s="35"/>
      <c r="F92" s="35"/>
      <c r="G92" s="35"/>
      <c r="H92" s="35"/>
      <c r="I92" s="35"/>
      <c r="J92" s="35"/>
      <c r="K92" s="35"/>
      <c r="BW92" s="17"/>
      <c r="BX92" s="17" t="str">
        <v>GINGELLY OIL 1/2LTR PET BOX (OFFER)</v>
      </c>
      <c r="BY92" s="17" t="str">
        <v>GING 500 ML PET</v>
      </c>
      <c r="BZ92" s="17"/>
      <c r="CA92" s="17"/>
      <c r="CB92" s="17"/>
      <c r="CC92" s="17"/>
      <c r="CD92" s="17" t="str" cm="1">
        <f t="array" ref="CD92">_xlfn.IFS(CC92="","",COUNTIF(A:A,CC92)&gt;0,"ADDED",COUNTIF(B:B,CC92)&gt;0,"ADDED",COUNTIF(A:A,CC92)=0,"NOT ADDED")</f>
        <v/>
      </c>
      <c r="CE92" s="17"/>
    </row>
    <row r="93" spans="1:83" x14ac:dyDescent="0.25">
      <c r="A93" s="31" t="s">
        <v>217</v>
      </c>
      <c r="B93" s="30" t="s">
        <v>364</v>
      </c>
      <c r="C93" s="30" t="s">
        <v>210</v>
      </c>
      <c r="D93" s="35"/>
      <c r="E93" s="35"/>
      <c r="F93" s="35"/>
      <c r="G93" s="35"/>
      <c r="H93" s="35"/>
      <c r="I93" s="35"/>
      <c r="J93" s="35"/>
      <c r="K93" s="35"/>
      <c r="BW93" s="17"/>
      <c r="BX93" s="17" t="str">
        <v>GINGELLY OIL Rs 15 POUCH</v>
      </c>
      <c r="BY93" s="17" t="str">
        <v>GING RS.15 LUP</v>
      </c>
      <c r="BZ93" s="17"/>
      <c r="CA93" s="17"/>
      <c r="CB93" s="17"/>
      <c r="CC93" s="17"/>
      <c r="CD93" s="17" t="str" cm="1">
        <f t="array" ref="CD93">_xlfn.IFS(CC93="","",COUNTIF(A:A,CC93)&gt;0,"ADDED",COUNTIF(B:B,CC93)&gt;0,"ADDED",COUNTIF(A:A,CC93)=0,"NOT ADDED")</f>
        <v/>
      </c>
      <c r="CE93" s="17"/>
    </row>
    <row r="94" spans="1:83" x14ac:dyDescent="0.25">
      <c r="A94" s="31" t="s">
        <v>38</v>
      </c>
      <c r="B94" s="30" t="s">
        <v>364</v>
      </c>
      <c r="C94" s="30" t="s">
        <v>210</v>
      </c>
      <c r="D94" s="35"/>
      <c r="E94" s="35"/>
      <c r="F94" s="35"/>
      <c r="G94" s="35"/>
      <c r="H94" s="35"/>
      <c r="I94" s="35"/>
      <c r="J94" s="35"/>
      <c r="K94" s="35"/>
      <c r="BW94" s="17"/>
      <c r="BX94" s="17" t="str">
        <v>GINGELLY OIL Rs 15 POUCH (FREE)</v>
      </c>
      <c r="BY94" s="17" t="str">
        <v>GING RS.15 LUP</v>
      </c>
      <c r="BZ94" s="17"/>
      <c r="CA94" s="17"/>
      <c r="CB94" s="17"/>
      <c r="CC94" s="17"/>
      <c r="CD94" s="17" t="str" cm="1">
        <f t="array" ref="CD94">_xlfn.IFS(CC94="","",COUNTIF(A:A,CC94)&gt;0,"ADDED",COUNTIF(B:B,CC94)&gt;0,"ADDED",COUNTIF(A:A,CC94)=0,"NOT ADDED")</f>
        <v/>
      </c>
      <c r="CE94" s="17"/>
    </row>
    <row r="95" spans="1:83" x14ac:dyDescent="0.25">
      <c r="A95" s="31" t="s">
        <v>39</v>
      </c>
      <c r="B95" s="30" t="s">
        <v>364</v>
      </c>
      <c r="C95" s="30" t="s">
        <v>210</v>
      </c>
      <c r="D95" s="35"/>
      <c r="E95" s="35"/>
      <c r="F95" s="35"/>
      <c r="G95" s="35"/>
      <c r="H95" s="35"/>
      <c r="I95" s="35"/>
      <c r="J95" s="35"/>
      <c r="K95" s="35"/>
      <c r="BW95" s="17"/>
      <c r="BX95" s="17" t="str">
        <v>GINGELLY OIL RS.15 PACK BOX</v>
      </c>
      <c r="BY95" s="17" t="str">
        <v>GING RS.15 LUP</v>
      </c>
      <c r="BZ95" s="17"/>
      <c r="CA95" s="17"/>
      <c r="CB95" s="17"/>
      <c r="CC95" s="17"/>
      <c r="CD95" s="17" t="str" cm="1">
        <f t="array" ref="CD95">_xlfn.IFS(CC95="","",COUNTIF(A:A,CC95)&gt;0,"ADDED",COUNTIF(B:B,CC95)&gt;0,"ADDED",COUNTIF(A:A,CC95)=0,"NOT ADDED")</f>
        <v/>
      </c>
      <c r="CE95" s="17"/>
    </row>
    <row r="96" spans="1:83" x14ac:dyDescent="0.25">
      <c r="A96" s="31" t="s">
        <v>42</v>
      </c>
      <c r="B96" s="30" t="s">
        <v>364</v>
      </c>
      <c r="C96" s="30" t="s">
        <v>210</v>
      </c>
      <c r="D96" s="35"/>
      <c r="E96" s="35"/>
      <c r="F96" s="35"/>
      <c r="G96" s="35"/>
      <c r="H96" s="35"/>
      <c r="I96" s="35"/>
      <c r="J96" s="35"/>
      <c r="K96" s="35"/>
      <c r="BW96" s="17"/>
      <c r="BX96" s="17" t="str">
        <v>GINGELLY OIL RS.15 PACK BOX (01.02.24)</v>
      </c>
      <c r="BY96" s="17" t="str">
        <v>GING RS.15 LUP</v>
      </c>
      <c r="BZ96" s="17"/>
      <c r="CA96" s="17"/>
      <c r="CB96" s="17"/>
      <c r="CC96" s="17"/>
      <c r="CD96" s="17" t="str" cm="1">
        <f t="array" ref="CD96">_xlfn.IFS(CC96="","",COUNTIF(A:A,CC96)&gt;0,"ADDED",COUNTIF(B:B,CC96)&gt;0,"ADDED",COUNTIF(A:A,CC96)=0,"NOT ADDED")</f>
        <v/>
      </c>
      <c r="CE96" s="17"/>
    </row>
    <row r="97" spans="1:83" x14ac:dyDescent="0.25">
      <c r="A97" s="31" t="s">
        <v>43</v>
      </c>
      <c r="B97" s="30" t="s">
        <v>364</v>
      </c>
      <c r="C97" s="30" t="s">
        <v>210</v>
      </c>
      <c r="D97" s="35"/>
      <c r="E97" s="35"/>
      <c r="F97" s="35"/>
      <c r="G97" s="35"/>
      <c r="H97" s="35"/>
      <c r="I97" s="35"/>
      <c r="J97" s="35"/>
      <c r="K97" s="35"/>
      <c r="BW97" s="17"/>
      <c r="BX97" s="17" t="str">
        <v>GINGELLY OIL RS.15 PACK BOX (03.05.2023)</v>
      </c>
      <c r="BY97" s="17" t="str">
        <v>GING RS.15 LUP</v>
      </c>
      <c r="BZ97" s="17"/>
      <c r="CA97" s="17"/>
      <c r="CB97" s="17"/>
      <c r="CC97" s="17"/>
      <c r="CD97" s="17" t="str" cm="1">
        <f t="array" ref="CD97">_xlfn.IFS(CC97="","",COUNTIF(A:A,CC97)&gt;0,"ADDED",COUNTIF(B:B,CC97)&gt;0,"ADDED",COUNTIF(A:A,CC97)=0,"NOT ADDED")</f>
        <v/>
      </c>
      <c r="CE97" s="17"/>
    </row>
    <row r="98" spans="1:83" x14ac:dyDescent="0.25">
      <c r="A98" s="31" t="s">
        <v>247</v>
      </c>
      <c r="B98" s="30" t="s">
        <v>455</v>
      </c>
      <c r="C98" s="30" t="s">
        <v>210</v>
      </c>
      <c r="D98" s="35"/>
      <c r="E98" s="35"/>
      <c r="F98" s="35"/>
      <c r="G98" s="35"/>
      <c r="H98" s="35"/>
      <c r="I98" s="35"/>
      <c r="J98" s="35"/>
      <c r="K98" s="35"/>
      <c r="BW98" s="17"/>
      <c r="BX98" s="17" t="str">
        <v>GINGELLY OIL RS.15 PACK BOX (16 OCT)</v>
      </c>
      <c r="BY98" s="17" t="str">
        <v>GING RS.15 LUP</v>
      </c>
      <c r="BZ98" s="17"/>
      <c r="CA98" s="17"/>
      <c r="CB98" s="17"/>
      <c r="CC98" s="17"/>
      <c r="CD98" s="17" t="str" cm="1">
        <f t="array" ref="CD98">_xlfn.IFS(CC98="","",COUNTIF(A:A,CC98)&gt;0,"ADDED",COUNTIF(B:B,CC98)&gt;0,"ADDED",COUNTIF(A:A,CC98)=0,"NOT ADDED")</f>
        <v/>
      </c>
      <c r="CE98" s="17"/>
    </row>
    <row r="99" spans="1:83" x14ac:dyDescent="0.25">
      <c r="A99" s="31" t="s">
        <v>40</v>
      </c>
      <c r="B99" s="30" t="s">
        <v>455</v>
      </c>
      <c r="C99" s="30" t="s">
        <v>210</v>
      </c>
      <c r="D99" s="35"/>
      <c r="E99" s="35"/>
      <c r="F99" s="35"/>
      <c r="G99" s="35"/>
      <c r="H99" s="35"/>
      <c r="I99" s="35"/>
      <c r="J99" s="35"/>
      <c r="K99" s="35"/>
      <c r="BW99" s="17"/>
      <c r="BX99" s="17" t="str">
        <v>GINGELLY OIL RS.15 PACK BOX (20 JULY)</v>
      </c>
      <c r="BY99" s="17" t="str">
        <v>GING RS.15 LUP</v>
      </c>
      <c r="BZ99" s="17"/>
      <c r="CA99" s="17"/>
      <c r="CB99" s="17"/>
      <c r="CC99" s="17"/>
      <c r="CD99" s="17" t="str" cm="1">
        <f t="array" ref="CD99">_xlfn.IFS(CC99="","",COUNTIF(A:A,CC99)&gt;0,"ADDED",COUNTIF(B:B,CC99)&gt;0,"ADDED",COUNTIF(A:A,CC99)=0,"NOT ADDED")</f>
        <v/>
      </c>
      <c r="CE99" s="17"/>
    </row>
    <row r="100" spans="1:83" x14ac:dyDescent="0.25">
      <c r="A100" s="31" t="s">
        <v>248</v>
      </c>
      <c r="B100" s="30" t="s">
        <v>455</v>
      </c>
      <c r="C100" s="30" t="s">
        <v>210</v>
      </c>
      <c r="D100" s="35"/>
      <c r="E100" s="35"/>
      <c r="F100" s="35"/>
      <c r="G100" s="35"/>
      <c r="H100" s="35"/>
      <c r="I100" s="35"/>
      <c r="J100" s="35"/>
      <c r="K100" s="35"/>
      <c r="BW100" s="17"/>
      <c r="BX100" s="17" t="str">
        <v>GINGELLY OIL RS.15 POUCH (Free)</v>
      </c>
      <c r="BY100" s="17" t="str">
        <v>GING RS.15 LUP</v>
      </c>
      <c r="BZ100" s="17"/>
      <c r="CA100" s="17"/>
      <c r="CB100" s="17"/>
      <c r="CC100" s="17"/>
      <c r="CD100" s="17" t="str" cm="1">
        <f t="array" ref="CD100">_xlfn.IFS(CC100="","",COUNTIF(A:A,CC100)&gt;0,"ADDED",COUNTIF(B:B,CC100)&gt;0,"ADDED",COUNTIF(A:A,CC100)=0,"NOT ADDED")</f>
        <v/>
      </c>
      <c r="CE100" s="17"/>
    </row>
    <row r="101" spans="1:83" x14ac:dyDescent="0.25">
      <c r="A101" s="31" t="s">
        <v>41</v>
      </c>
      <c r="B101" s="30" t="s">
        <v>455</v>
      </c>
      <c r="C101" s="30" t="s">
        <v>210</v>
      </c>
      <c r="D101" s="35"/>
      <c r="E101" s="35"/>
      <c r="F101" s="35"/>
      <c r="G101" s="35"/>
      <c r="H101" s="35"/>
      <c r="I101" s="35"/>
      <c r="J101" s="35"/>
      <c r="K101" s="35"/>
      <c r="BW101" s="17"/>
      <c r="BX101" s="17" t="str">
        <v>GINGELLY OIL RS.20 PACK BOX</v>
      </c>
      <c r="BY101" s="17" t="str">
        <v>GING RS.20 LUP</v>
      </c>
      <c r="BZ101" s="17"/>
      <c r="CA101" s="17"/>
      <c r="CB101" s="17"/>
      <c r="CC101" s="17"/>
      <c r="CD101" s="17" t="str" cm="1">
        <f t="array" ref="CD101">_xlfn.IFS(CC101="","",COUNTIF(A:A,CC101)&gt;0,"ADDED",COUNTIF(B:B,CC101)&gt;0,"ADDED",COUNTIF(A:A,CC101)=0,"NOT ADDED")</f>
        <v/>
      </c>
      <c r="CE101" s="17"/>
    </row>
    <row r="102" spans="1:83" x14ac:dyDescent="0.25">
      <c r="A102" s="30" t="s">
        <v>492</v>
      </c>
      <c r="B102" s="30" t="s">
        <v>628</v>
      </c>
      <c r="C102" s="30" t="s">
        <v>210</v>
      </c>
      <c r="D102" s="35"/>
      <c r="E102" s="35"/>
      <c r="F102" s="35"/>
      <c r="G102" s="35"/>
      <c r="H102" s="35"/>
      <c r="I102" s="35"/>
      <c r="J102" s="35"/>
      <c r="K102" s="35"/>
      <c r="BW102" s="17"/>
      <c r="BX102" s="17" t="str">
        <v>GINGELLY OIL RS.20 PACK BOX (01.02.24)</v>
      </c>
      <c r="BY102" s="17" t="str">
        <v>GING RS.20 LUP</v>
      </c>
      <c r="BZ102" s="17"/>
      <c r="CA102" s="17"/>
      <c r="CB102" s="17"/>
      <c r="CC102" s="17"/>
      <c r="CD102" s="17" t="str" cm="1">
        <f t="array" ref="CD102">_xlfn.IFS(CC102="","",COUNTIF(A:A,CC102)&gt;0,"ADDED",COUNTIF(B:B,CC102)&gt;0,"ADDED",COUNTIF(A:A,CC102)=0,"NOT ADDED")</f>
        <v/>
      </c>
      <c r="CE102" s="17"/>
    </row>
    <row r="103" spans="1:83" x14ac:dyDescent="0.25">
      <c r="A103" s="31" t="s">
        <v>574</v>
      </c>
      <c r="B103" s="30" t="s">
        <v>628</v>
      </c>
      <c r="C103" s="30" t="s">
        <v>210</v>
      </c>
      <c r="D103" s="35"/>
      <c r="E103" s="35"/>
      <c r="F103" s="35"/>
      <c r="G103" s="35"/>
      <c r="H103" s="35"/>
      <c r="I103" s="35"/>
      <c r="J103" s="35"/>
      <c r="K103" s="35"/>
      <c r="BW103" s="17"/>
      <c r="BX103" s="17" t="str">
        <v>GINGELLY OIL RS.20 PACK BOX (03.05.2023)</v>
      </c>
      <c r="BY103" s="17" t="str">
        <v>GING RS.20 LUP</v>
      </c>
      <c r="BZ103" s="17"/>
      <c r="CA103" s="17"/>
      <c r="CB103" s="17"/>
      <c r="CC103" s="17"/>
      <c r="CD103" s="17" t="str" cm="1">
        <f t="array" ref="CD103">_xlfn.IFS(CC103="","",COUNTIF(A:A,CC103)&gt;0,"ADDED",COUNTIF(B:B,CC103)&gt;0,"ADDED",COUNTIF(A:A,CC103)=0,"NOT ADDED")</f>
        <v/>
      </c>
      <c r="CE103" s="17"/>
    </row>
    <row r="104" spans="1:83" x14ac:dyDescent="0.25">
      <c r="A104" s="31" t="s">
        <v>547</v>
      </c>
      <c r="B104" s="30" t="s">
        <v>628</v>
      </c>
      <c r="C104" s="30" t="s">
        <v>210</v>
      </c>
      <c r="D104" s="35"/>
      <c r="E104" s="35"/>
      <c r="F104" s="35"/>
      <c r="G104" s="35"/>
      <c r="H104" s="35"/>
      <c r="I104" s="35"/>
      <c r="J104" s="35"/>
      <c r="K104" s="35"/>
      <c r="BW104" s="17"/>
      <c r="BX104" s="17" t="str">
        <v>GINGELLY OIL RS.20 POUCH</v>
      </c>
      <c r="BY104" s="17" t="str">
        <v>GING RS.20 LUP</v>
      </c>
      <c r="BZ104" s="17"/>
      <c r="CA104" s="17"/>
      <c r="CB104" s="17"/>
      <c r="CC104" s="17"/>
      <c r="CD104" s="17" t="str" cm="1">
        <f t="array" ref="CD104">_xlfn.IFS(CC104="","",COUNTIF(A:A,CC104)&gt;0,"ADDED",COUNTIF(B:B,CC104)&gt;0,"ADDED",COUNTIF(A:A,CC104)=0,"NOT ADDED")</f>
        <v/>
      </c>
      <c r="CE104" s="17"/>
    </row>
    <row r="105" spans="1:83" x14ac:dyDescent="0.25">
      <c r="A105" s="31" t="s">
        <v>45</v>
      </c>
      <c r="B105" s="30" t="s">
        <v>365</v>
      </c>
      <c r="C105" s="30" t="s">
        <v>210</v>
      </c>
      <c r="D105" s="35"/>
      <c r="E105" s="35"/>
      <c r="F105" s="35"/>
      <c r="G105" s="35"/>
      <c r="H105" s="35"/>
      <c r="I105" s="35"/>
      <c r="J105" s="35"/>
      <c r="K105" s="35"/>
      <c r="BW105" s="17"/>
      <c r="BX105" s="17" t="str">
        <v>GINGELLY OIL RS.40 PACK BOX</v>
      </c>
      <c r="BY105" s="17" t="str">
        <v>GING RS.40 LUP</v>
      </c>
      <c r="BZ105" s="17"/>
      <c r="CA105" s="17"/>
      <c r="CB105" s="17"/>
      <c r="CC105" s="17"/>
      <c r="CD105" s="17" t="str" cm="1">
        <f t="array" ref="CD105">_xlfn.IFS(CC105="","",COUNTIF(A:A,CC105)&gt;0,"ADDED",COUNTIF(B:B,CC105)&gt;0,"ADDED",COUNTIF(A:A,CC105)=0,"NOT ADDED")</f>
        <v/>
      </c>
      <c r="CE105" s="17"/>
    </row>
    <row r="106" spans="1:83" x14ac:dyDescent="0.25">
      <c r="A106" s="31" t="s">
        <v>46</v>
      </c>
      <c r="B106" s="30" t="s">
        <v>365</v>
      </c>
      <c r="C106" s="30" t="s">
        <v>210</v>
      </c>
      <c r="D106" s="35"/>
      <c r="E106" s="35"/>
      <c r="F106" s="35"/>
      <c r="G106" s="35"/>
      <c r="H106" s="35"/>
      <c r="I106" s="35"/>
      <c r="J106" s="35"/>
      <c r="K106" s="35"/>
      <c r="BW106" s="17"/>
      <c r="BX106" s="17" t="str">
        <v>GINGELLY OIL RS.40 PACK BOX (01.02.24)</v>
      </c>
      <c r="BY106" s="17" t="str">
        <v>GING RS.40 LUP</v>
      </c>
      <c r="BZ106" s="17"/>
      <c r="CA106" s="17"/>
      <c r="CB106" s="17"/>
      <c r="CC106" s="17"/>
      <c r="CD106" s="17" t="str" cm="1">
        <f t="array" ref="CD106">_xlfn.IFS(CC106="","",COUNTIF(A:A,CC106)&gt;0,"ADDED",COUNTIF(B:B,CC106)&gt;0,"ADDED",COUNTIF(A:A,CC106)=0,"NOT ADDED")</f>
        <v/>
      </c>
      <c r="CE106" s="17"/>
    </row>
    <row r="107" spans="1:83" x14ac:dyDescent="0.25">
      <c r="A107" s="31" t="s">
        <v>250</v>
      </c>
      <c r="B107" s="30" t="s">
        <v>365</v>
      </c>
      <c r="C107" s="30" t="s">
        <v>210</v>
      </c>
      <c r="D107" s="35"/>
      <c r="E107" s="35"/>
      <c r="F107" s="35"/>
      <c r="G107" s="35"/>
      <c r="H107" s="35"/>
      <c r="I107" s="35"/>
      <c r="J107" s="35"/>
      <c r="K107" s="35"/>
      <c r="BW107" s="17"/>
      <c r="BX107" s="17" t="str">
        <v>GINGELLY OIL RS.40 PACK BOX (03.05.2023)</v>
      </c>
      <c r="BY107" s="17" t="str">
        <v>GING RS.40 LUP</v>
      </c>
      <c r="BZ107" s="17"/>
      <c r="CA107" s="17"/>
      <c r="CB107" s="17"/>
      <c r="CC107" s="17"/>
      <c r="CD107" s="17" t="str" cm="1">
        <f t="array" ref="CD107">_xlfn.IFS(CC107="","",COUNTIF(A:A,CC107)&gt;0,"ADDED",COUNTIF(B:B,CC107)&gt;0,"ADDED",COUNTIF(A:A,CC107)=0,"NOT ADDED")</f>
        <v/>
      </c>
      <c r="CE107" s="17"/>
    </row>
    <row r="108" spans="1:83" x14ac:dyDescent="0.25">
      <c r="A108" s="31" t="s">
        <v>575</v>
      </c>
      <c r="B108" s="30" t="s">
        <v>516</v>
      </c>
      <c r="C108" s="30" t="s">
        <v>210</v>
      </c>
      <c r="D108" s="35"/>
      <c r="E108" s="35"/>
      <c r="F108" s="35"/>
      <c r="G108" s="35"/>
      <c r="H108" s="35"/>
      <c r="I108" s="35"/>
      <c r="J108" s="35"/>
      <c r="K108" s="35"/>
      <c r="BW108" s="17"/>
      <c r="BX108" s="17" t="str">
        <v>GINGELLY OIL RS.40 POUCH</v>
      </c>
      <c r="BY108" s="17" t="str">
        <v>GING RS.40 LUP</v>
      </c>
      <c r="BZ108" s="17"/>
      <c r="CA108" s="17"/>
      <c r="CB108" s="17"/>
      <c r="CC108" s="17"/>
      <c r="CD108" s="17" t="str" cm="1">
        <f t="array" ref="CD108">_xlfn.IFS(CC108="","",COUNTIF(A:A,CC108)&gt;0,"ADDED",COUNTIF(B:B,CC108)&gt;0,"ADDED",COUNTIF(A:A,CC108)=0,"NOT ADDED")</f>
        <v/>
      </c>
      <c r="CE108" s="17"/>
    </row>
    <row r="109" spans="1:83" x14ac:dyDescent="0.25">
      <c r="A109" s="31" t="s">
        <v>44</v>
      </c>
      <c r="B109" s="30" t="s">
        <v>516</v>
      </c>
      <c r="C109" s="30" t="s">
        <v>210</v>
      </c>
      <c r="D109" s="35"/>
      <c r="E109" s="35"/>
      <c r="F109" s="35"/>
      <c r="G109" s="35"/>
      <c r="H109" s="35"/>
      <c r="I109" s="35"/>
      <c r="J109" s="35"/>
      <c r="K109" s="35"/>
      <c r="BW109" s="17"/>
      <c r="BX109" s="17" t="str">
        <v>GINGELLY OIL RS.40 POUCH (FREE)</v>
      </c>
      <c r="BY109" s="17" t="str">
        <v>GING RS.40 LUP</v>
      </c>
      <c r="BZ109" s="17"/>
      <c r="CA109" s="17"/>
      <c r="CB109" s="17"/>
      <c r="CC109" s="17"/>
      <c r="CD109" s="17" t="str" cm="1">
        <f t="array" ref="CD109">_xlfn.IFS(CC109="","",COUNTIF(A:A,CC109)&gt;0,"ADDED",COUNTIF(B:B,CC109)&gt;0,"ADDED",COUNTIF(A:A,CC109)=0,"NOT ADDED")</f>
        <v/>
      </c>
      <c r="CE109" s="17"/>
    </row>
    <row r="110" spans="1:83" x14ac:dyDescent="0.25">
      <c r="A110" s="31" t="s">
        <v>567</v>
      </c>
      <c r="B110" s="30" t="s">
        <v>516</v>
      </c>
      <c r="C110" s="30" t="s">
        <v>210</v>
      </c>
      <c r="D110" s="35"/>
      <c r="E110" s="35"/>
      <c r="F110" s="35"/>
      <c r="G110" s="35"/>
      <c r="H110" s="35"/>
      <c r="I110" s="35"/>
      <c r="J110" s="35"/>
      <c r="K110" s="35"/>
      <c r="BW110" s="17"/>
      <c r="BX110" s="17" t="str">
        <v>GROUNDNUT RAW OIL 1 LTR BOX (GL)</v>
      </c>
      <c r="BY110" s="17" t="str">
        <v>GL</v>
      </c>
      <c r="BZ110" s="17"/>
      <c r="CA110" s="17"/>
      <c r="CB110" s="17"/>
      <c r="CC110" s="17"/>
      <c r="CD110" s="17" t="str" cm="1">
        <f t="array" ref="CD110">_xlfn.IFS(CC110="","",COUNTIF(A:A,CC110)&gt;0,"ADDED",COUNTIF(B:B,CC110)&gt;0,"ADDED",COUNTIF(A:A,CC110)=0,"NOT ADDED")</f>
        <v/>
      </c>
      <c r="CE110" s="17"/>
    </row>
    <row r="111" spans="1:83" x14ac:dyDescent="0.25">
      <c r="A111" s="31" t="s">
        <v>249</v>
      </c>
      <c r="B111" s="30" t="s">
        <v>516</v>
      </c>
      <c r="C111" s="30" t="s">
        <v>210</v>
      </c>
      <c r="D111" s="35"/>
      <c r="E111" s="35"/>
      <c r="F111" s="35"/>
      <c r="G111" s="35"/>
      <c r="H111" s="35"/>
      <c r="I111" s="35"/>
      <c r="J111" s="35"/>
      <c r="K111" s="35"/>
      <c r="BW111" s="17"/>
      <c r="BX111" s="17" t="str">
        <v>REF RICE BRAN OIL 1 LTR BOX (GL)</v>
      </c>
      <c r="BY111" s="17" t="str">
        <v>GL</v>
      </c>
      <c r="BZ111" s="17"/>
      <c r="CA111" s="17"/>
      <c r="CB111" s="17"/>
      <c r="CC111" s="17"/>
      <c r="CD111" s="17" t="str" cm="1">
        <f t="array" ref="CD111">_xlfn.IFS(CC111="","",COUNTIF(A:A,CC111)&gt;0,"ADDED",COUNTIF(B:B,CC111)&gt;0,"ADDED",COUNTIF(A:A,CC111)=0,"NOT ADDED")</f>
        <v/>
      </c>
      <c r="CE111" s="17"/>
    </row>
    <row r="112" spans="1:83" x14ac:dyDescent="0.25">
      <c r="A112" s="31" t="s">
        <v>47</v>
      </c>
      <c r="B112" s="30" t="s">
        <v>366</v>
      </c>
      <c r="C112" s="30" t="s">
        <v>210</v>
      </c>
      <c r="D112" s="35"/>
      <c r="E112" s="35"/>
      <c r="F112" s="35"/>
      <c r="G112" s="35"/>
      <c r="H112" s="35"/>
      <c r="I112" s="35"/>
      <c r="J112" s="35"/>
      <c r="K112" s="35"/>
      <c r="BW112" s="17"/>
      <c r="BX112" s="17" t="str">
        <v>REF SUNFLOWER OIL 1 LTR BOX (GL)</v>
      </c>
      <c r="BY112" s="17" t="str">
        <v>GL</v>
      </c>
      <c r="BZ112" s="17"/>
      <c r="CA112" s="17"/>
      <c r="CB112" s="17"/>
      <c r="CC112" s="17"/>
      <c r="CD112" s="17" t="str" cm="1">
        <f t="array" ref="CD112">_xlfn.IFS(CC112="","",COUNTIF(A:A,CC112)&gt;0,"ADDED",COUNTIF(B:B,CC112)&gt;0,"ADDED",COUNTIF(A:A,CC112)=0,"NOT ADDED")</f>
        <v/>
      </c>
      <c r="CE112" s="17"/>
    </row>
    <row r="113" spans="1:83" x14ac:dyDescent="0.25">
      <c r="A113" s="31" t="s">
        <v>251</v>
      </c>
      <c r="B113" s="30" t="s">
        <v>366</v>
      </c>
      <c r="C113" s="30" t="s">
        <v>210</v>
      </c>
      <c r="D113" s="35"/>
      <c r="E113" s="35"/>
      <c r="F113" s="35"/>
      <c r="G113" s="35"/>
      <c r="H113" s="35"/>
      <c r="I113" s="35"/>
      <c r="J113" s="35"/>
      <c r="K113" s="35"/>
      <c r="BW113" s="17"/>
      <c r="BX113" s="17" t="str">
        <v>REF SUNFLOWER OIL 5 LTR CAN BOX (GL)</v>
      </c>
      <c r="BY113" s="17" t="str">
        <v>GL</v>
      </c>
      <c r="BZ113" s="17"/>
      <c r="CA113" s="17"/>
      <c r="CB113" s="17"/>
      <c r="CC113" s="17"/>
      <c r="CD113" s="17" t="str" cm="1">
        <f t="array" ref="CD113">_xlfn.IFS(CC113="","",COUNTIF(A:A,CC113)&gt;0,"ADDED",COUNTIF(B:B,CC113)&gt;0,"ADDED",COUNTIF(A:A,CC113)=0,"NOT ADDED")</f>
        <v/>
      </c>
      <c r="CE113" s="17"/>
    </row>
    <row r="114" spans="1:83" x14ac:dyDescent="0.25">
      <c r="A114" s="31" t="s">
        <v>48</v>
      </c>
      <c r="B114" s="30" t="s">
        <v>366</v>
      </c>
      <c r="C114" s="30" t="s">
        <v>210</v>
      </c>
      <c r="D114" s="35"/>
      <c r="E114" s="35"/>
      <c r="F114" s="35"/>
      <c r="G114" s="35"/>
      <c r="H114" s="35"/>
      <c r="I114" s="35"/>
      <c r="J114" s="35"/>
      <c r="K114" s="35"/>
      <c r="BW114" s="17"/>
      <c r="BX114" s="17" t="str">
        <v>REFSUNFLOWER OIL1 LTR BOX (INDEPENDENCE GL)</v>
      </c>
      <c r="BY114" s="17" t="str">
        <v>GL</v>
      </c>
      <c r="BZ114" s="17"/>
      <c r="CA114" s="17"/>
      <c r="CB114" s="17"/>
      <c r="CC114" s="17"/>
      <c r="CD114" s="17" t="str" cm="1">
        <f t="array" ref="CD114">_xlfn.IFS(CC114="","",COUNTIF(A:A,CC114)&gt;0,"ADDED",COUNTIF(B:B,CC114)&gt;0,"ADDED",COUNTIF(A:A,CC114)=0,"NOT ADDED")</f>
        <v/>
      </c>
      <c r="CE114" s="17"/>
    </row>
    <row r="115" spans="1:83" x14ac:dyDescent="0.25">
      <c r="A115" s="31" t="s">
        <v>37</v>
      </c>
      <c r="B115" s="30" t="s">
        <v>363</v>
      </c>
      <c r="C115" s="30" t="s">
        <v>210</v>
      </c>
      <c r="D115" s="35"/>
      <c r="E115" s="35"/>
      <c r="F115" s="35"/>
      <c r="G115" s="35"/>
      <c r="H115" s="35"/>
      <c r="I115" s="35"/>
      <c r="J115" s="35"/>
      <c r="K115" s="35"/>
      <c r="BW115" s="17"/>
      <c r="BX115" s="17" t="str">
        <v>GROUNDNUT RAW 1 LTR POUCH (FREE)</v>
      </c>
      <c r="BY115" s="17" t="str">
        <v>GN 1 L</v>
      </c>
      <c r="BZ115" s="17"/>
      <c r="CA115" s="17"/>
      <c r="CB115" s="17"/>
      <c r="CC115" s="17"/>
      <c r="CD115" s="17" t="str" cm="1">
        <f t="array" ref="CD115">_xlfn.IFS(CC115="","",COUNTIF(A:A,CC115)&gt;0,"ADDED",COUNTIF(B:B,CC115)&gt;0,"ADDED",COUNTIF(A:A,CC115)=0,"NOT ADDED")</f>
        <v/>
      </c>
      <c r="CE115" s="17"/>
    </row>
    <row r="116" spans="1:83" x14ac:dyDescent="0.25">
      <c r="A116" s="31" t="s">
        <v>253</v>
      </c>
      <c r="B116" s="30" t="s">
        <v>363</v>
      </c>
      <c r="C116" s="30" t="s">
        <v>210</v>
      </c>
      <c r="D116" s="35"/>
      <c r="E116" s="35"/>
      <c r="F116" s="35"/>
      <c r="G116" s="35"/>
      <c r="H116" s="35"/>
      <c r="I116" s="35"/>
      <c r="J116" s="35"/>
      <c r="K116" s="35"/>
      <c r="BW116" s="17"/>
      <c r="BX116" s="17" t="str">
        <v>GROUNDNUT RAW OIL 1 LTR BOX</v>
      </c>
      <c r="BY116" s="17" t="str">
        <v>GN 1 L</v>
      </c>
      <c r="BZ116" s="17"/>
      <c r="CA116" s="17"/>
      <c r="CB116" s="17"/>
      <c r="CC116" s="17"/>
      <c r="CD116" s="17" t="str" cm="1">
        <f t="array" ref="CD116">_xlfn.IFS(CC116="","",COUNTIF(A:A,CC116)&gt;0,"ADDED",COUNTIF(B:B,CC116)&gt;0,"ADDED",COUNTIF(A:A,CC116)=0,"NOT ADDED")</f>
        <v/>
      </c>
      <c r="CE116" s="17"/>
    </row>
    <row r="117" spans="1:83" x14ac:dyDescent="0.25">
      <c r="A117" s="31" t="s">
        <v>31</v>
      </c>
      <c r="B117" s="30" t="s">
        <v>363</v>
      </c>
      <c r="C117" s="30" t="s">
        <v>210</v>
      </c>
      <c r="D117" s="35"/>
      <c r="E117" s="35"/>
      <c r="F117" s="35"/>
      <c r="G117" s="35"/>
      <c r="H117" s="35"/>
      <c r="I117" s="35"/>
      <c r="J117" s="35"/>
      <c r="K117" s="35"/>
      <c r="BW117" s="17"/>
      <c r="BX117" s="17" t="str">
        <v>GROUNDNUT RAW OIL 1 LTR BOX ( CBR Offer)</v>
      </c>
      <c r="BY117" s="17" t="str">
        <v>GN 1 L</v>
      </c>
      <c r="BZ117" s="17"/>
      <c r="CA117" s="17"/>
      <c r="CB117" s="17"/>
      <c r="CC117" s="17"/>
      <c r="CD117" s="17" t="str" cm="1">
        <f t="array" ref="CD117">_xlfn.IFS(CC117="","",COUNTIF(A:A,CC117)&gt;0,"ADDED",COUNTIF(B:B,CC117)&gt;0,"ADDED",COUNTIF(A:A,CC117)=0,"NOT ADDED")</f>
        <v/>
      </c>
      <c r="CE117" s="17"/>
    </row>
    <row r="118" spans="1:83" x14ac:dyDescent="0.25">
      <c r="A118" s="31" t="s">
        <v>32</v>
      </c>
      <c r="B118" s="30" t="s">
        <v>363</v>
      </c>
      <c r="C118" s="30" t="s">
        <v>210</v>
      </c>
      <c r="D118" s="35"/>
      <c r="E118" s="35"/>
      <c r="F118" s="35"/>
      <c r="G118" s="35"/>
      <c r="H118" s="35"/>
      <c r="I118" s="35"/>
      <c r="J118" s="35"/>
      <c r="K118" s="35"/>
      <c r="BW118" s="17"/>
      <c r="BX118" s="17" t="str">
        <v>GROUNDNUT RAW OIL 1 LTR BOX (CP OFFER)</v>
      </c>
      <c r="BY118" s="17" t="str">
        <v>GN 1 L</v>
      </c>
      <c r="BZ118" s="17"/>
      <c r="CA118" s="17"/>
      <c r="CB118" s="17"/>
      <c r="CC118" s="17"/>
      <c r="CD118" s="17" t="str" cm="1">
        <f t="array" ref="CD118">_xlfn.IFS(CC118="","",COUNTIF(A:A,CC118)&gt;0,"ADDED",COUNTIF(B:B,CC118)&gt;0,"ADDED",COUNTIF(A:A,CC118)=0,"NOT ADDED")</f>
        <v/>
      </c>
      <c r="CE118" s="17"/>
    </row>
    <row r="119" spans="1:83" x14ac:dyDescent="0.25">
      <c r="A119" s="31" t="s">
        <v>36</v>
      </c>
      <c r="B119" s="30" t="s">
        <v>363</v>
      </c>
      <c r="C119" s="30" t="s">
        <v>210</v>
      </c>
      <c r="D119" s="35"/>
      <c r="E119" s="35"/>
      <c r="F119" s="35"/>
      <c r="G119" s="35"/>
      <c r="H119" s="35"/>
      <c r="I119" s="35"/>
      <c r="J119" s="35"/>
      <c r="K119" s="35"/>
      <c r="BW119" s="17"/>
      <c r="BX119" s="17" t="str">
        <v>GROUNDNUT RAW OIL 1 LTR BOX (FREE)</v>
      </c>
      <c r="BY119" s="17" t="str">
        <v>GN 1 L</v>
      </c>
      <c r="BZ119" s="17"/>
      <c r="CA119" s="17"/>
      <c r="CB119" s="17"/>
      <c r="CC119" s="17"/>
      <c r="CD119" s="17" t="str" cm="1">
        <f t="array" ref="CD119">_xlfn.IFS(CC119="","",COUNTIF(A:A,CC119)&gt;0,"ADDED",COUNTIF(B:B,CC119)&gt;0,"ADDED",COUNTIF(A:A,CC119)=0,"NOT ADDED")</f>
        <v/>
      </c>
      <c r="CE119" s="17"/>
    </row>
    <row r="120" spans="1:83" x14ac:dyDescent="0.25">
      <c r="A120" s="30" t="s">
        <v>518</v>
      </c>
      <c r="B120" s="30" t="s">
        <v>456</v>
      </c>
      <c r="C120" s="30" t="s">
        <v>210</v>
      </c>
      <c r="D120" s="35"/>
      <c r="E120" s="35"/>
      <c r="F120" s="35"/>
      <c r="G120" s="35"/>
      <c r="H120" s="35"/>
      <c r="I120" s="35"/>
      <c r="J120" s="35"/>
      <c r="K120" s="35"/>
      <c r="BW120" s="17"/>
      <c r="BX120" s="17" t="str">
        <v>GROUNDNUT RAW OIL 1 LTR BOX (GULAB OFFER)</v>
      </c>
      <c r="BY120" s="17" t="str">
        <v>GN 1 L</v>
      </c>
      <c r="BZ120" s="17"/>
      <c r="CA120" s="17"/>
      <c r="CB120" s="17"/>
      <c r="CC120" s="17"/>
      <c r="CD120" s="17" t="str" cm="1">
        <f t="array" ref="CD120">_xlfn.IFS(CC120="","",COUNTIF(A:A,CC120)&gt;0,"ADDED",COUNTIF(B:B,CC120)&gt;0,"ADDED",COUNTIF(A:A,CC120)=0,"NOT ADDED")</f>
        <v/>
      </c>
      <c r="CE120" s="17"/>
    </row>
    <row r="121" spans="1:83" x14ac:dyDescent="0.25">
      <c r="A121" s="31" t="s">
        <v>564</v>
      </c>
      <c r="B121" s="30" t="s">
        <v>456</v>
      </c>
      <c r="C121" s="30" t="s">
        <v>210</v>
      </c>
      <c r="D121" s="35"/>
      <c r="E121" s="35"/>
      <c r="F121" s="35"/>
      <c r="G121" s="35"/>
      <c r="H121" s="35"/>
      <c r="I121" s="35"/>
      <c r="J121" s="35"/>
      <c r="K121" s="35"/>
      <c r="BW121" s="17"/>
      <c r="BX121" s="17" t="str">
        <v>GROUNDNUT RAW OIL 1 LTR BOX (GULAS OFFER)</v>
      </c>
      <c r="BY121" s="17" t="str">
        <v>GN 1 L</v>
      </c>
      <c r="BZ121" s="17"/>
      <c r="CA121" s="17"/>
      <c r="CB121" s="17"/>
      <c r="CC121" s="17"/>
      <c r="CD121" s="17" t="str" cm="1">
        <f t="array" ref="CD121">_xlfn.IFS(CC121="","",COUNTIF(A:A,CC121)&gt;0,"ADDED",COUNTIF(B:B,CC121)&gt;0,"ADDED",COUNTIF(A:A,CC121)=0,"NOT ADDED")</f>
        <v/>
      </c>
      <c r="CE121" s="17"/>
    </row>
    <row r="122" spans="1:83" x14ac:dyDescent="0.25">
      <c r="A122" s="31" t="s">
        <v>33</v>
      </c>
      <c r="B122" s="30" t="s">
        <v>456</v>
      </c>
      <c r="C122" s="30" t="s">
        <v>210</v>
      </c>
      <c r="D122" s="35"/>
      <c r="E122" s="35"/>
      <c r="F122" s="35"/>
      <c r="G122" s="35"/>
      <c r="H122" s="35"/>
      <c r="I122" s="35"/>
      <c r="J122" s="35"/>
      <c r="K122" s="35"/>
      <c r="BW122" s="17"/>
      <c r="BX122" s="17" t="str">
        <v>GROUNDNUT RAW OIL 1 LTR BOX (Offer)</v>
      </c>
      <c r="BY122" s="17" t="str">
        <v>GN 1 L</v>
      </c>
      <c r="BZ122" s="17"/>
      <c r="CA122" s="17"/>
      <c r="CB122" s="17"/>
      <c r="CC122" s="17"/>
      <c r="CD122" s="17" t="str" cm="1">
        <f t="array" ref="CD122">_xlfn.IFS(CC122="","",COUNTIF(A:A,CC122)&gt;0,"ADDED",COUNTIF(B:B,CC122)&gt;0,"ADDED",COUNTIF(A:A,CC122)=0,"NOT ADDED")</f>
        <v/>
      </c>
      <c r="CE122" s="17"/>
    </row>
    <row r="123" spans="1:83" x14ac:dyDescent="0.25">
      <c r="A123" s="31" t="s">
        <v>34</v>
      </c>
      <c r="B123" s="30" t="s">
        <v>456</v>
      </c>
      <c r="C123" s="30" t="s">
        <v>210</v>
      </c>
      <c r="D123" s="35"/>
      <c r="E123" s="35"/>
      <c r="F123" s="35"/>
      <c r="G123" s="35"/>
      <c r="H123" s="35"/>
      <c r="I123" s="35"/>
      <c r="J123" s="35"/>
      <c r="K123" s="35"/>
      <c r="BW123" s="17"/>
      <c r="BX123" s="17" t="str">
        <v>GROUNDNUT RAW OIL 1 LTR BOX (RG OFFER)</v>
      </c>
      <c r="BY123" s="17" t="str">
        <v>GN 1 L</v>
      </c>
      <c r="BZ123" s="17"/>
      <c r="CA123" s="17"/>
      <c r="CB123" s="17"/>
      <c r="CC123" s="17"/>
      <c r="CD123" s="17" t="str" cm="1">
        <f t="array" ref="CD123">_xlfn.IFS(CC123="","",COUNTIF(A:A,CC123)&gt;0,"ADDED",COUNTIF(B:B,CC123)&gt;0,"ADDED",COUNTIF(A:A,CC123)=0,"NOT ADDED")</f>
        <v/>
      </c>
      <c r="CE123" s="17"/>
    </row>
    <row r="124" spans="1:83" x14ac:dyDescent="0.25">
      <c r="A124" s="31" t="s">
        <v>35</v>
      </c>
      <c r="B124" s="30" t="s">
        <v>456</v>
      </c>
      <c r="C124" s="30" t="s">
        <v>210</v>
      </c>
      <c r="D124" s="35"/>
      <c r="E124" s="35"/>
      <c r="F124" s="35"/>
      <c r="G124" s="35"/>
      <c r="H124" s="35"/>
      <c r="I124" s="35"/>
      <c r="J124" s="35"/>
      <c r="K124" s="35"/>
      <c r="BW124" s="17"/>
      <c r="BX124" s="17" t="str">
        <v>GROUNDNUT RAW OIL 1 LTR BOX (RG) OFFER)</v>
      </c>
      <c r="BY124" s="17" t="str">
        <v>GN 1 L</v>
      </c>
      <c r="BZ124" s="17"/>
      <c r="CA124" s="17"/>
      <c r="CB124" s="17"/>
      <c r="CC124" s="17"/>
      <c r="CD124" s="17" t="str" cm="1">
        <f t="array" ref="CD124">_xlfn.IFS(CC124="","",COUNTIF(A:A,CC124)&gt;0,"ADDED",COUNTIF(B:B,CC124)&gt;0,"ADDED",COUNTIF(A:A,CC124)=0,"NOT ADDED")</f>
        <v/>
      </c>
      <c r="CE124" s="17"/>
    </row>
    <row r="125" spans="1:83" x14ac:dyDescent="0.25">
      <c r="A125" s="31" t="s">
        <v>584</v>
      </c>
      <c r="B125" s="30" t="s">
        <v>407</v>
      </c>
      <c r="C125" s="30" t="s">
        <v>210</v>
      </c>
      <c r="D125" s="35"/>
      <c r="E125" s="35"/>
      <c r="F125" s="35"/>
      <c r="G125" s="35"/>
      <c r="H125" s="35"/>
      <c r="I125" s="35"/>
      <c r="J125" s="35"/>
      <c r="K125" s="35"/>
      <c r="BW125" s="17"/>
      <c r="BX125" s="17" t="str">
        <v>GROUNDNUT RAW OIL 1 LTR POUCH</v>
      </c>
      <c r="BY125" s="17" t="str">
        <v>GN 1 L</v>
      </c>
      <c r="BZ125" s="17"/>
      <c r="CA125" s="17"/>
      <c r="CB125" s="17"/>
      <c r="CC125" s="17"/>
      <c r="CD125" s="17" t="str" cm="1">
        <f t="array" ref="CD125">_xlfn.IFS(CC125="","",COUNTIF(A:A,CC125)&gt;0,"ADDED",COUNTIF(B:B,CC125)&gt;0,"ADDED",COUNTIF(A:A,CC125)=0,"NOT ADDED")</f>
        <v/>
      </c>
      <c r="CE125" s="17"/>
    </row>
    <row r="126" spans="1:83" x14ac:dyDescent="0.25">
      <c r="A126" s="31" t="s">
        <v>50</v>
      </c>
      <c r="B126" s="30" t="s">
        <v>407</v>
      </c>
      <c r="C126" s="30" t="s">
        <v>210</v>
      </c>
      <c r="D126" s="35"/>
      <c r="E126" s="35"/>
      <c r="F126" s="35"/>
      <c r="G126" s="35"/>
      <c r="H126" s="35"/>
      <c r="I126" s="35"/>
      <c r="J126" s="35"/>
      <c r="K126" s="35"/>
      <c r="BW126" s="17"/>
      <c r="BX126" s="17" t="str">
        <v>GROUNDNUT RAW OIL 1 LTR POUCH (FREE)</v>
      </c>
      <c r="BY126" s="17" t="str">
        <v>GN 1 L</v>
      </c>
      <c r="BZ126" s="17"/>
      <c r="CA126" s="17"/>
      <c r="CB126" s="17"/>
      <c r="CC126" s="17"/>
      <c r="CD126" s="17" t="str" cm="1">
        <f t="array" ref="CD126">_xlfn.IFS(CC126="","",COUNTIF(A:A,CC126)&gt;0,"ADDED",COUNTIF(B:B,CC126)&gt;0,"ADDED",COUNTIF(A:A,CC126)=0,"NOT ADDED")</f>
        <v/>
      </c>
      <c r="CE126" s="17"/>
    </row>
    <row r="127" spans="1:83" x14ac:dyDescent="0.25">
      <c r="A127" s="31" t="s">
        <v>245</v>
      </c>
      <c r="B127" s="30" t="s">
        <v>407</v>
      </c>
      <c r="C127" s="30" t="s">
        <v>210</v>
      </c>
      <c r="D127" s="35"/>
      <c r="E127" s="35"/>
      <c r="F127" s="35"/>
      <c r="G127" s="35"/>
      <c r="H127" s="35"/>
      <c r="I127" s="35"/>
      <c r="J127" s="35"/>
      <c r="K127" s="35"/>
      <c r="BW127" s="17"/>
      <c r="BX127" s="17" t="str">
        <v>GROUNDNUT RAW OIL 1 LTR POUCH FREE</v>
      </c>
      <c r="BY127" s="17" t="str">
        <v>GN 1 L</v>
      </c>
      <c r="BZ127" s="17"/>
      <c r="CA127" s="17"/>
      <c r="CB127" s="17"/>
      <c r="CC127" s="17"/>
      <c r="CD127" s="17" t="str" cm="1">
        <f t="array" ref="CD127">_xlfn.IFS(CC127="","",COUNTIF(A:A,CC127)&gt;0,"ADDED",COUNTIF(B:B,CC127)&gt;0,"ADDED",COUNTIF(A:A,CC127)=0,"NOT ADDED")</f>
        <v/>
      </c>
      <c r="CE127" s="17"/>
    </row>
    <row r="128" spans="1:83" x14ac:dyDescent="0.25">
      <c r="A128" s="30" t="s">
        <v>476</v>
      </c>
      <c r="B128" s="30" t="s">
        <v>407</v>
      </c>
      <c r="C128" s="30" t="s">
        <v>210</v>
      </c>
      <c r="D128" s="35"/>
      <c r="E128" s="35"/>
      <c r="F128" s="35"/>
      <c r="G128" s="35"/>
      <c r="H128" s="35"/>
      <c r="I128" s="35"/>
      <c r="J128" s="35"/>
      <c r="K128" s="35"/>
      <c r="BW128" s="17"/>
      <c r="BX128" s="17" t="str">
        <v>GROUNDNUT RAW OIL 1LIT BOX (Mr.Gold)</v>
      </c>
      <c r="BY128" s="17" t="str">
        <v>GN 1 L</v>
      </c>
      <c r="BZ128" s="17"/>
      <c r="CA128" s="17"/>
      <c r="CB128" s="17"/>
      <c r="CC128" s="17"/>
      <c r="CD128" s="17" t="str" cm="1">
        <f t="array" ref="CD128">_xlfn.IFS(CC128="","",COUNTIF(A:A,CC128)&gt;0,"ADDED",COUNTIF(B:B,CC128)&gt;0,"ADDED",COUNTIF(A:A,CC128)=0,"NOT ADDED")</f>
        <v/>
      </c>
      <c r="CE128" s="17"/>
    </row>
    <row r="129" spans="1:83" x14ac:dyDescent="0.25">
      <c r="A129" s="31" t="s">
        <v>49</v>
      </c>
      <c r="B129" s="30" t="s">
        <v>407</v>
      </c>
      <c r="C129" s="30" t="s">
        <v>210</v>
      </c>
      <c r="D129" s="35"/>
      <c r="E129" s="35"/>
      <c r="F129" s="35"/>
      <c r="G129" s="35"/>
      <c r="H129" s="35"/>
      <c r="I129" s="35"/>
      <c r="J129" s="35"/>
      <c r="K129" s="35"/>
      <c r="BW129" s="17"/>
      <c r="BX129" s="17" t="str">
        <v>GROUDNUT RAW OIL 1LTR PET</v>
      </c>
      <c r="BY129" s="17" t="str">
        <v>GN 1 L PET</v>
      </c>
      <c r="BZ129" s="17"/>
      <c r="CA129" s="17"/>
      <c r="CB129" s="17"/>
      <c r="CC129" s="17"/>
      <c r="CD129" s="17" t="str" cm="1">
        <f t="array" ref="CD129">_xlfn.IFS(CC129="","",COUNTIF(A:A,CC129)&gt;0,"ADDED",COUNTIF(B:B,CC129)&gt;0,"ADDED",COUNTIF(A:A,CC129)=0,"NOT ADDED")</f>
        <v/>
      </c>
      <c r="CE129" s="17"/>
    </row>
    <row r="130" spans="1:83" x14ac:dyDescent="0.25">
      <c r="A130" s="30" t="s">
        <v>521</v>
      </c>
      <c r="B130" s="30" t="s">
        <v>407</v>
      </c>
      <c r="C130" s="30" t="s">
        <v>210</v>
      </c>
      <c r="D130" s="35"/>
      <c r="E130" s="35"/>
      <c r="F130" s="35"/>
      <c r="G130" s="35"/>
      <c r="H130" s="35"/>
      <c r="I130" s="35"/>
      <c r="J130" s="35"/>
      <c r="K130" s="35"/>
      <c r="BW130" s="17"/>
      <c r="BX130" s="17" t="str">
        <v>GROUNDNUT OIL 1 LTR PET BOX</v>
      </c>
      <c r="BY130" s="17" t="str">
        <v>GN 1 L PET</v>
      </c>
      <c r="BZ130" s="17"/>
      <c r="CA130" s="17"/>
      <c r="CB130" s="17"/>
      <c r="CC130" s="17"/>
      <c r="CD130" s="17" t="str" cm="1">
        <f t="array" ref="CD130">_xlfn.IFS(CC130="","",COUNTIF(A:A,CC130)&gt;0,"ADDED",COUNTIF(B:B,CC130)&gt;0,"ADDED",COUNTIF(A:A,CC130)=0,"NOT ADDED")</f>
        <v/>
      </c>
      <c r="CE130" s="17"/>
    </row>
    <row r="131" spans="1:83" x14ac:dyDescent="0.25">
      <c r="A131" s="31" t="s">
        <v>244</v>
      </c>
      <c r="B131" s="30" t="s">
        <v>407</v>
      </c>
      <c r="C131" s="30" t="s">
        <v>210</v>
      </c>
      <c r="D131" s="35"/>
      <c r="E131" s="35"/>
      <c r="F131" s="35"/>
      <c r="G131" s="35"/>
      <c r="H131" s="35"/>
      <c r="I131" s="35"/>
      <c r="J131" s="35"/>
      <c r="K131" s="35"/>
      <c r="BW131" s="17"/>
      <c r="BX131" s="17" t="str">
        <v>GROUNDNUT RAW OIL 1 LTE PET (FREE)</v>
      </c>
      <c r="BY131" s="17" t="str">
        <v>GN 1 L PET</v>
      </c>
      <c r="BZ131" s="17"/>
      <c r="CA131" s="17"/>
      <c r="CB131" s="17"/>
      <c r="CC131" s="17"/>
      <c r="CD131" s="17" t="str" cm="1">
        <f t="array" ref="CD131">_xlfn.IFS(CC131="","",COUNTIF(A:A,CC131)&gt;0,"ADDED",COUNTIF(B:B,CC131)&gt;0,"ADDED",COUNTIF(A:A,CC131)=0,"NOT ADDED")</f>
        <v/>
      </c>
      <c r="CE131" s="17"/>
    </row>
    <row r="132" spans="1:83" x14ac:dyDescent="0.25">
      <c r="A132" s="31" t="s">
        <v>254</v>
      </c>
      <c r="B132" s="30" t="s">
        <v>407</v>
      </c>
      <c r="C132" s="30" t="s">
        <v>210</v>
      </c>
      <c r="D132" s="35"/>
      <c r="E132" s="35"/>
      <c r="F132" s="35"/>
      <c r="G132" s="35"/>
      <c r="H132" s="35"/>
      <c r="I132" s="35"/>
      <c r="J132" s="35"/>
      <c r="K132" s="35"/>
      <c r="BW132" s="17"/>
      <c r="BX132" s="17" t="str">
        <v>GROUNDNUT RAW OIL 1 LTR PET</v>
      </c>
      <c r="BY132" s="17" t="str">
        <v>GN 1 L PET</v>
      </c>
      <c r="BZ132" s="17"/>
      <c r="CA132" s="17"/>
      <c r="CB132" s="17"/>
      <c r="CC132" s="17"/>
      <c r="CD132" s="17" t="str" cm="1">
        <f t="array" ref="CD132">_xlfn.IFS(CC132="","",COUNTIF(A:A,CC132)&gt;0,"ADDED",COUNTIF(B:B,CC132)&gt;0,"ADDED",COUNTIF(A:A,CC132)=0,"NOT ADDED")</f>
        <v/>
      </c>
      <c r="CE132" s="17"/>
    </row>
    <row r="133" spans="1:83" x14ac:dyDescent="0.25">
      <c r="A133" s="31" t="s">
        <v>246</v>
      </c>
      <c r="B133" s="30" t="s">
        <v>408</v>
      </c>
      <c r="C133" s="30" t="s">
        <v>210</v>
      </c>
      <c r="D133" s="35"/>
      <c r="E133" s="35"/>
      <c r="F133" s="35"/>
      <c r="G133" s="35"/>
      <c r="H133" s="35"/>
      <c r="I133" s="35"/>
      <c r="J133" s="35"/>
      <c r="K133" s="35"/>
      <c r="BW133" s="17"/>
      <c r="BX133" s="17" t="str">
        <v>GROUNDNUT RAW OIL 1 LTR PET (FREE)</v>
      </c>
      <c r="BY133" s="17" t="str">
        <v>GN 1 L PET</v>
      </c>
      <c r="BZ133" s="17"/>
      <c r="CA133" s="17"/>
      <c r="CB133" s="17"/>
      <c r="CC133" s="17"/>
      <c r="CD133" s="17" t="str" cm="1">
        <f t="array" ref="CD133">_xlfn.IFS(CC133="","",COUNTIF(A:A,CC133)&gt;0,"ADDED",COUNTIF(B:B,CC133)&gt;0,"ADDED",COUNTIF(A:A,CC133)=0,"NOT ADDED")</f>
        <v/>
      </c>
      <c r="CE133" s="17"/>
    </row>
    <row r="134" spans="1:83" x14ac:dyDescent="0.25">
      <c r="A134" s="30" t="s">
        <v>525</v>
      </c>
      <c r="B134" s="30" t="s">
        <v>408</v>
      </c>
      <c r="C134" s="30" t="s">
        <v>210</v>
      </c>
      <c r="D134" s="35"/>
      <c r="E134" s="35"/>
      <c r="F134" s="35"/>
      <c r="G134" s="35"/>
      <c r="H134" s="35"/>
      <c r="I134" s="35"/>
      <c r="J134" s="35"/>
      <c r="K134" s="35"/>
      <c r="BW134" s="17"/>
      <c r="BX134" s="17" t="str">
        <v>GROUNDNUT RAW OIL 1 LTR PET BOX</v>
      </c>
      <c r="BY134" s="17" t="str">
        <v>GN 1 L PET</v>
      </c>
      <c r="BZ134" s="17"/>
      <c r="CA134" s="17"/>
      <c r="CB134" s="17"/>
      <c r="CC134" s="17"/>
      <c r="CD134" s="17" t="str" cm="1">
        <f t="array" ref="CD134">_xlfn.IFS(CC134="","",COUNTIF(A:A,CC134)&gt;0,"ADDED",COUNTIF(B:B,CC134)&gt;0,"ADDED",COUNTIF(A:A,CC134)=0,"NOT ADDED")</f>
        <v/>
      </c>
      <c r="CE134" s="17"/>
    </row>
    <row r="135" spans="1:83" x14ac:dyDescent="0.25">
      <c r="A135" s="31" t="s">
        <v>51</v>
      </c>
      <c r="B135" s="30" t="s">
        <v>408</v>
      </c>
      <c r="C135" s="30" t="s">
        <v>210</v>
      </c>
      <c r="D135" s="35"/>
      <c r="E135" s="35"/>
      <c r="F135" s="35"/>
      <c r="G135" s="35"/>
      <c r="H135" s="35"/>
      <c r="I135" s="35"/>
      <c r="J135" s="35"/>
      <c r="K135" s="35"/>
      <c r="BW135" s="17"/>
      <c r="BX135" s="17" t="str">
        <v>GROUNDNUT RAW OIL 1 LTR PET BOX (CP OFFER)</v>
      </c>
      <c r="BY135" s="17" t="str">
        <v>GN 1 L PET</v>
      </c>
      <c r="BZ135" s="17"/>
      <c r="CA135" s="17"/>
      <c r="CB135" s="17"/>
      <c r="CC135" s="17"/>
      <c r="CD135" s="17" t="str" cm="1">
        <f t="array" ref="CD135">_xlfn.IFS(CC135="","",COUNTIF(A:A,CC135)&gt;0,"ADDED",COUNTIF(B:B,CC135)&gt;0,"ADDED",COUNTIF(A:A,CC135)=0,"NOT ADDED")</f>
        <v/>
      </c>
      <c r="CE135" s="17"/>
    </row>
    <row r="136" spans="1:83" x14ac:dyDescent="0.25">
      <c r="A136" s="31" t="s">
        <v>576</v>
      </c>
      <c r="B136" s="30" t="s">
        <v>408</v>
      </c>
      <c r="C136" s="30" t="s">
        <v>210</v>
      </c>
      <c r="D136" s="35"/>
      <c r="E136" s="35"/>
      <c r="F136" s="35"/>
      <c r="G136" s="35"/>
      <c r="H136" s="35"/>
      <c r="I136" s="35"/>
      <c r="J136" s="35"/>
      <c r="K136" s="35"/>
      <c r="BW136" s="17"/>
      <c r="BX136" s="17" t="str">
        <v>GROUNDNUT RAW OIL 1 LTR PET BOX (Export)</v>
      </c>
      <c r="BY136" s="17" t="str">
        <v>GN 1 L PET</v>
      </c>
      <c r="BZ136" s="17"/>
      <c r="CA136" s="17"/>
      <c r="CB136" s="17"/>
      <c r="CC136" s="17"/>
      <c r="CD136" s="17" t="str" cm="1">
        <f t="array" ref="CD136">_xlfn.IFS(CC136="","",COUNTIF(A:A,CC136)&gt;0,"ADDED",COUNTIF(B:B,CC136)&gt;0,"ADDED",COUNTIF(A:A,CC136)=0,"NOT ADDED")</f>
        <v/>
      </c>
      <c r="CE136" s="17"/>
    </row>
    <row r="137" spans="1:83" x14ac:dyDescent="0.25">
      <c r="A137" s="31" t="s">
        <v>252</v>
      </c>
      <c r="B137" s="30" t="s">
        <v>409</v>
      </c>
      <c r="C137" s="30" t="s">
        <v>210</v>
      </c>
      <c r="D137" s="35"/>
      <c r="E137" s="35"/>
      <c r="F137" s="35"/>
      <c r="G137" s="35"/>
      <c r="H137" s="35"/>
      <c r="I137" s="35"/>
      <c r="J137" s="35"/>
      <c r="K137" s="35"/>
      <c r="BW137" s="17"/>
      <c r="BX137" s="17" t="str">
        <v>GROUNDNUT RAW OIL 1 LTR PET BOX (FREE)</v>
      </c>
      <c r="BY137" s="17" t="str">
        <v>GN 1 L PET</v>
      </c>
      <c r="BZ137" s="17"/>
      <c r="CA137" s="17"/>
      <c r="CB137" s="17"/>
      <c r="CC137" s="17"/>
      <c r="CD137" s="17" t="str" cm="1">
        <f t="array" ref="CD137">_xlfn.IFS(CC137="","",COUNTIF(A:A,CC137)&gt;0,"ADDED",COUNTIF(B:B,CC137)&gt;0,"ADDED",COUNTIF(A:A,CC137)=0,"NOT ADDED")</f>
        <v/>
      </c>
      <c r="CE137" s="17"/>
    </row>
    <row r="138" spans="1:83" x14ac:dyDescent="0.25">
      <c r="A138" s="30" t="s">
        <v>526</v>
      </c>
      <c r="B138" s="30" t="s">
        <v>409</v>
      </c>
      <c r="C138" s="30" t="s">
        <v>210</v>
      </c>
      <c r="D138" s="35"/>
      <c r="E138" s="35"/>
      <c r="F138" s="35"/>
      <c r="G138" s="35"/>
      <c r="H138" s="35"/>
      <c r="I138" s="35"/>
      <c r="J138" s="35"/>
      <c r="K138" s="35"/>
      <c r="BW138" s="17"/>
      <c r="BX138" s="17" t="str">
        <v>GROUNDNUT RAW OIL 1 LTR PET BOX (GULAB OFFER)</v>
      </c>
      <c r="BY138" s="17" t="str">
        <v>GN 1 L PET</v>
      </c>
      <c r="BZ138" s="17"/>
      <c r="CA138" s="17"/>
      <c r="CB138" s="17"/>
      <c r="CC138" s="17"/>
      <c r="CD138" s="17" t="str" cm="1">
        <f t="array" ref="CD138">_xlfn.IFS(CC138="","",COUNTIF(A:A,CC138)&gt;0,"ADDED",COUNTIF(B:B,CC138)&gt;0,"ADDED",COUNTIF(A:A,CC138)=0,"NOT ADDED")</f>
        <v/>
      </c>
      <c r="CE138" s="17"/>
    </row>
    <row r="139" spans="1:83" x14ac:dyDescent="0.25">
      <c r="A139" s="31" t="s">
        <v>52</v>
      </c>
      <c r="B139" s="30" t="s">
        <v>409</v>
      </c>
      <c r="C139" s="30" t="s">
        <v>210</v>
      </c>
      <c r="D139" s="35"/>
      <c r="E139" s="35"/>
      <c r="F139" s="35"/>
      <c r="G139" s="35"/>
      <c r="H139" s="35"/>
      <c r="I139" s="35"/>
      <c r="J139" s="35"/>
      <c r="K139" s="35"/>
      <c r="BW139" s="17"/>
      <c r="BX139" s="17" t="str">
        <v>GROUNDNUT RAW OIL 1 LTR PET BOX (GULAS OFFER)</v>
      </c>
      <c r="BY139" s="17" t="str">
        <v>GN 1 L PET</v>
      </c>
      <c r="BZ139" s="17"/>
      <c r="CA139" s="17"/>
      <c r="CB139" s="17"/>
      <c r="CC139" s="17"/>
      <c r="CD139" s="17" t="str" cm="1">
        <f t="array" ref="CD139">_xlfn.IFS(CC139="","",COUNTIF(A:A,CC139)&gt;0,"ADDED",COUNTIF(B:B,CC139)&gt;0,"ADDED",COUNTIF(A:A,CC139)=0,"NOT ADDED")</f>
        <v/>
      </c>
      <c r="CE139" s="17"/>
    </row>
    <row r="140" spans="1:83" x14ac:dyDescent="0.25">
      <c r="A140" s="31" t="s">
        <v>585</v>
      </c>
      <c r="B140" s="30" t="s">
        <v>409</v>
      </c>
      <c r="C140" s="30" t="s">
        <v>210</v>
      </c>
      <c r="D140" s="35"/>
      <c r="E140" s="35"/>
      <c r="F140" s="35"/>
      <c r="G140" s="35"/>
      <c r="H140" s="35"/>
      <c r="I140" s="35"/>
      <c r="J140" s="35"/>
      <c r="K140" s="35"/>
      <c r="BW140" s="17"/>
      <c r="BX140" s="17" t="str">
        <v>GROUNDNUT RAW OIL 1 LTR PET BOX (Offer)</v>
      </c>
      <c r="BY140" s="17" t="str">
        <v>GN 1 L PET</v>
      </c>
      <c r="BZ140" s="17"/>
      <c r="CA140" s="17"/>
      <c r="CB140" s="17"/>
      <c r="CC140" s="17"/>
      <c r="CD140" s="17" t="str" cm="1">
        <f t="array" ref="CD140">_xlfn.IFS(CC140="","",COUNTIF(A:A,CC140)&gt;0,"ADDED",COUNTIF(B:B,CC140)&gt;0,"ADDED",COUNTIF(A:A,CC140)=0,"NOT ADDED")</f>
        <v/>
      </c>
      <c r="CE140" s="17"/>
    </row>
    <row r="141" spans="1:83" x14ac:dyDescent="0.25">
      <c r="A141" s="31" t="s">
        <v>53</v>
      </c>
      <c r="B141" s="30" t="s">
        <v>409</v>
      </c>
      <c r="C141" s="30" t="s">
        <v>210</v>
      </c>
      <c r="D141" s="35"/>
      <c r="E141" s="35"/>
      <c r="F141" s="35"/>
      <c r="G141" s="35"/>
      <c r="H141" s="35"/>
      <c r="I141" s="35"/>
      <c r="J141" s="35"/>
      <c r="K141" s="35"/>
      <c r="BW141" s="17"/>
      <c r="BX141" s="17" t="str">
        <v>GROUNDNUT RAW OIL 1 LTR PET BOX (RG OFFER)</v>
      </c>
      <c r="BY141" s="17" t="str">
        <v>GN 1 L PET</v>
      </c>
      <c r="BZ141" s="17"/>
      <c r="CA141" s="17"/>
      <c r="CB141" s="17"/>
      <c r="CC141" s="17"/>
      <c r="CD141" s="17" t="str" cm="1">
        <f t="array" ref="CD141">_xlfn.IFS(CC141="","",COUNTIF(A:A,CC141)&gt;0,"ADDED",COUNTIF(B:B,CC141)&gt;0,"ADDED",COUNTIF(A:A,CC141)=0,"NOT ADDED")</f>
        <v/>
      </c>
      <c r="CE141" s="17"/>
    </row>
    <row r="142" spans="1:83" x14ac:dyDescent="0.25">
      <c r="A142" s="31" t="s">
        <v>66</v>
      </c>
      <c r="B142" s="30" t="s">
        <v>339</v>
      </c>
      <c r="C142" s="30" t="s">
        <v>210</v>
      </c>
      <c r="D142" s="35"/>
      <c r="E142" s="35"/>
      <c r="F142" s="35"/>
      <c r="G142" s="35"/>
      <c r="H142" s="35"/>
      <c r="I142" s="35"/>
      <c r="J142" s="35"/>
      <c r="K142" s="35"/>
      <c r="BW142" s="17"/>
      <c r="BX142" s="17" t="str">
        <v>GROUNDNUT RAW OIL 1LIT PET BOX</v>
      </c>
      <c r="BY142" s="17" t="str">
        <v>GN 1 L PET</v>
      </c>
      <c r="BZ142" s="17"/>
      <c r="CA142" s="17"/>
      <c r="CB142" s="17"/>
      <c r="CC142" s="17"/>
      <c r="CD142" s="17" t="str" cm="1">
        <f t="array" ref="CD142">_xlfn.IFS(CC142="","",COUNTIF(A:A,CC142)&gt;0,"ADDED",COUNTIF(B:B,CC142)&gt;0,"ADDED",COUNTIF(A:A,CC142)=0,"NOT ADDED")</f>
        <v/>
      </c>
      <c r="CE142" s="17"/>
    </row>
    <row r="143" spans="1:83" x14ac:dyDescent="0.25">
      <c r="A143" s="31" t="s">
        <v>136</v>
      </c>
      <c r="B143" s="30" t="s">
        <v>339</v>
      </c>
      <c r="C143" s="30" t="s">
        <v>210</v>
      </c>
      <c r="D143" s="35"/>
      <c r="E143" s="35"/>
      <c r="F143" s="35"/>
      <c r="G143" s="35"/>
      <c r="H143" s="35"/>
      <c r="I143" s="35"/>
      <c r="J143" s="35"/>
      <c r="K143" s="35"/>
      <c r="BW143" s="17"/>
      <c r="BX143" s="17" t="str">
        <v>GROUNDNUT RAW OIL 1LTR PET</v>
      </c>
      <c r="BY143" s="17" t="str">
        <v>GN 1 L PET</v>
      </c>
      <c r="BZ143" s="17"/>
      <c r="CA143" s="17"/>
      <c r="CB143" s="17"/>
      <c r="CC143" s="17"/>
      <c r="CD143" s="17" t="str" cm="1">
        <f t="array" ref="CD143">_xlfn.IFS(CC143="","",COUNTIF(A:A,CC143)&gt;0,"ADDED",COUNTIF(B:B,CC143)&gt;0,"ADDED",COUNTIF(A:A,CC143)=0,"NOT ADDED")</f>
        <v/>
      </c>
      <c r="CE143" s="17"/>
    </row>
    <row r="144" spans="1:83" x14ac:dyDescent="0.25">
      <c r="A144" s="31" t="s">
        <v>163</v>
      </c>
      <c r="B144" s="30" t="s">
        <v>339</v>
      </c>
      <c r="C144" s="30" t="s">
        <v>210</v>
      </c>
      <c r="D144" s="35"/>
      <c r="E144" s="35"/>
      <c r="F144" s="35"/>
      <c r="G144" s="35"/>
      <c r="H144" s="35"/>
      <c r="I144" s="35"/>
      <c r="J144" s="35"/>
      <c r="K144" s="35"/>
      <c r="BW144" s="17"/>
      <c r="BX144" s="17" t="str">
        <v>GROUNDNUT RAW OIL 1LTR PET BOX (CP OFFER)</v>
      </c>
      <c r="BY144" s="17" t="str">
        <v>GN 1 L PET</v>
      </c>
      <c r="BZ144" s="17"/>
      <c r="CA144" s="17"/>
      <c r="CB144" s="17"/>
      <c r="CC144" s="17"/>
      <c r="CD144" s="17" t="str" cm="1">
        <f t="array" ref="CD144">_xlfn.IFS(CC144="","",COUNTIF(A:A,CC144)&gt;0,"ADDED",COUNTIF(B:B,CC144)&gt;0,"ADDED",COUNTIF(A:A,CC144)=0,"NOT ADDED")</f>
        <v/>
      </c>
      <c r="CE144" s="17"/>
    </row>
    <row r="145" spans="1:83" x14ac:dyDescent="0.25">
      <c r="A145" s="31" t="s">
        <v>184</v>
      </c>
      <c r="B145" s="30" t="s">
        <v>339</v>
      </c>
      <c r="C145" s="30" t="s">
        <v>210</v>
      </c>
      <c r="D145" s="35"/>
      <c r="E145" s="35"/>
      <c r="F145" s="35"/>
      <c r="G145" s="35"/>
      <c r="H145" s="35"/>
      <c r="I145" s="35"/>
      <c r="J145" s="35"/>
      <c r="K145" s="35"/>
      <c r="BW145" s="17"/>
      <c r="BX145" s="17" t="str">
        <v>GROUNDNUT RAWOIL 1 Ltr PET.</v>
      </c>
      <c r="BY145" s="17" t="str">
        <v>GN 1 L PET</v>
      </c>
      <c r="BZ145" s="17"/>
      <c r="CA145" s="17"/>
      <c r="CB145" s="17"/>
      <c r="CC145" s="17"/>
      <c r="CD145" s="17" t="str" cm="1">
        <f t="array" ref="CD145">_xlfn.IFS(CC145="","",COUNTIF(A:A,CC145)&gt;0,"ADDED",COUNTIF(B:B,CC145)&gt;0,"ADDED",COUNTIF(A:A,CC145)=0,"NOT ADDED")</f>
        <v/>
      </c>
      <c r="CE145" s="17"/>
    </row>
    <row r="146" spans="1:83" x14ac:dyDescent="0.25">
      <c r="A146" s="31" t="s">
        <v>164</v>
      </c>
      <c r="B146" s="30" t="s">
        <v>339</v>
      </c>
      <c r="C146" s="30" t="s">
        <v>210</v>
      </c>
      <c r="D146" s="35"/>
      <c r="E146" s="35"/>
      <c r="F146" s="35"/>
      <c r="G146" s="35"/>
      <c r="H146" s="35"/>
      <c r="I146" s="35"/>
      <c r="J146" s="35"/>
      <c r="K146" s="35"/>
      <c r="BW146" s="17"/>
      <c r="BX146" s="17" t="str">
        <v>GROUNDNUTRAW OIL 1 LTR PET (FREE)</v>
      </c>
      <c r="BY146" s="17" t="str">
        <v>GN 1 L PET</v>
      </c>
      <c r="BZ146" s="17"/>
      <c r="CA146" s="17"/>
      <c r="CB146" s="17"/>
      <c r="CC146" s="17"/>
      <c r="CD146" s="17" t="str" cm="1">
        <f t="array" ref="CD146">_xlfn.IFS(CC146="","",COUNTIF(A:A,CC146)&gt;0,"ADDED",COUNTIF(B:B,CC146)&gt;0,"ADDED",COUNTIF(A:A,CC146)=0,"NOT ADDED")</f>
        <v/>
      </c>
      <c r="CE146" s="17"/>
    </row>
    <row r="147" spans="1:83" x14ac:dyDescent="0.25">
      <c r="A147" s="31" t="s">
        <v>219</v>
      </c>
      <c r="B147" s="30" t="s">
        <v>367</v>
      </c>
      <c r="C147" s="30" t="s">
        <v>210</v>
      </c>
      <c r="D147" s="35"/>
      <c r="E147" s="35"/>
      <c r="F147" s="35"/>
      <c r="G147" s="35"/>
      <c r="H147" s="35"/>
      <c r="I147" s="35"/>
      <c r="J147" s="35"/>
      <c r="K147" s="35"/>
      <c r="BW147" s="17"/>
      <c r="BX147" s="17" t="str">
        <v>GROUNDNUTRAW OIL 1 LTR PET BOX</v>
      </c>
      <c r="BY147" s="17" t="str">
        <v>GN 1 L PET</v>
      </c>
      <c r="BZ147" s="17"/>
      <c r="CA147" s="17"/>
      <c r="CB147" s="17"/>
      <c r="CC147" s="17"/>
      <c r="CD147" s="17" t="str" cm="1">
        <f t="array" ref="CD147">_xlfn.IFS(CC147="","",COUNTIF(A:A,CC147)&gt;0,"ADDED",COUNTIF(B:B,CC147)&gt;0,"ADDED",COUNTIF(A:A,CC147)=0,"NOT ADDED")</f>
        <v/>
      </c>
      <c r="CE147" s="17"/>
    </row>
    <row r="148" spans="1:83" x14ac:dyDescent="0.25">
      <c r="A148" s="31" t="s">
        <v>64</v>
      </c>
      <c r="B148" s="30" t="s">
        <v>367</v>
      </c>
      <c r="C148" s="30" t="s">
        <v>210</v>
      </c>
      <c r="D148" s="35"/>
      <c r="E148" s="35"/>
      <c r="F148" s="35"/>
      <c r="G148" s="35"/>
      <c r="H148" s="35"/>
      <c r="I148" s="35"/>
      <c r="J148" s="35"/>
      <c r="K148" s="35"/>
      <c r="BW148" s="17"/>
      <c r="BX148" s="17" t="str">
        <v>GROUNDNUTRAW OIL 1Ltr PetBOX</v>
      </c>
      <c r="BY148" s="17" t="str">
        <v>GN 1 L PET</v>
      </c>
      <c r="BZ148" s="17"/>
      <c r="CA148" s="17"/>
      <c r="CB148" s="17"/>
      <c r="CC148" s="17"/>
      <c r="CD148" s="17" t="str" cm="1">
        <f t="array" ref="CD148">_xlfn.IFS(CC148="","",COUNTIF(A:A,CC148)&gt;0,"ADDED",COUNTIF(B:B,CC148)&gt;0,"ADDED",COUNTIF(A:A,CC148)=0,"NOT ADDED")</f>
        <v/>
      </c>
      <c r="CE148" s="17"/>
    </row>
    <row r="149" spans="1:83" x14ac:dyDescent="0.25">
      <c r="A149" s="31" t="s">
        <v>470</v>
      </c>
      <c r="B149" s="30" t="s">
        <v>367</v>
      </c>
      <c r="C149" s="30" t="s">
        <v>210</v>
      </c>
      <c r="D149" s="35"/>
      <c r="E149" s="35"/>
      <c r="F149" s="35"/>
      <c r="G149" s="35"/>
      <c r="H149" s="35"/>
      <c r="I149" s="35"/>
      <c r="J149" s="35"/>
      <c r="K149" s="35"/>
      <c r="BW149" s="17"/>
      <c r="BX149" s="17" t="str">
        <v>GROUNDNUTRAW OIL 1LtrPet(Free)</v>
      </c>
      <c r="BY149" s="17" t="str">
        <v>GN 1 L PET</v>
      </c>
      <c r="BZ149" s="17"/>
      <c r="CA149" s="17"/>
      <c r="CB149" s="17"/>
      <c r="CC149" s="17"/>
      <c r="CD149" s="17" t="str" cm="1">
        <f t="array" ref="CD149">_xlfn.IFS(CC149="","",COUNTIF(A:A,CC149)&gt;0,"ADDED",COUNTIF(B:B,CC149)&gt;0,"ADDED",COUNTIF(A:A,CC149)=0,"NOT ADDED")</f>
        <v/>
      </c>
      <c r="CE149" s="17"/>
    </row>
    <row r="150" spans="1:83" x14ac:dyDescent="0.25">
      <c r="A150" s="31" t="s">
        <v>65</v>
      </c>
      <c r="B150" s="30" t="s">
        <v>367</v>
      </c>
      <c r="C150" s="30" t="s">
        <v>210</v>
      </c>
      <c r="D150" s="35"/>
      <c r="E150" s="35"/>
      <c r="F150" s="35"/>
      <c r="G150" s="35"/>
      <c r="H150" s="35"/>
      <c r="I150" s="35"/>
      <c r="J150" s="35"/>
      <c r="K150" s="35"/>
      <c r="BW150" s="17"/>
      <c r="BX150" s="17" t="str">
        <v>GROUNDNUT RAW OIL 2 LTR CAN</v>
      </c>
      <c r="BY150" s="17" t="str">
        <v>GN 2 L</v>
      </c>
      <c r="BZ150" s="17"/>
      <c r="CA150" s="17"/>
      <c r="CB150" s="17"/>
      <c r="CC150" s="17"/>
      <c r="CD150" s="17" t="str" cm="1">
        <f t="array" ref="CD150">_xlfn.IFS(CC150="","",COUNTIF(A:A,CC150)&gt;0,"ADDED",COUNTIF(B:B,CC150)&gt;0,"ADDED",COUNTIF(A:A,CC150)=0,"NOT ADDED")</f>
        <v/>
      </c>
      <c r="CE150" s="17"/>
    </row>
    <row r="151" spans="1:83" x14ac:dyDescent="0.25">
      <c r="A151" s="31" t="s">
        <v>262</v>
      </c>
      <c r="B151" s="30" t="s">
        <v>367</v>
      </c>
      <c r="C151" s="30" t="s">
        <v>210</v>
      </c>
      <c r="D151" s="35"/>
      <c r="E151" s="35"/>
      <c r="F151" s="35"/>
      <c r="G151" s="35"/>
      <c r="H151" s="35"/>
      <c r="I151" s="35"/>
      <c r="J151" s="35"/>
      <c r="K151" s="35"/>
      <c r="BW151" s="17"/>
      <c r="BX151" s="17" t="str">
        <v>GROUNDNUT RAW OIL 2 LTR PET</v>
      </c>
      <c r="BY151" s="17" t="str">
        <v>GN 2 L PET</v>
      </c>
      <c r="BZ151" s="17"/>
      <c r="CA151" s="17"/>
      <c r="CB151" s="17"/>
      <c r="CC151" s="17"/>
      <c r="CD151" s="17"/>
      <c r="CE151" s="17"/>
    </row>
    <row r="152" spans="1:83" x14ac:dyDescent="0.25">
      <c r="A152" s="31" t="s">
        <v>443</v>
      </c>
      <c r="B152" s="30" t="s">
        <v>367</v>
      </c>
      <c r="C152" s="30" t="s">
        <v>210</v>
      </c>
      <c r="D152" s="35"/>
      <c r="E152" s="35"/>
      <c r="F152" s="35"/>
      <c r="G152" s="35"/>
      <c r="H152" s="35"/>
      <c r="I152" s="35"/>
      <c r="J152" s="35"/>
      <c r="K152" s="35"/>
      <c r="BW152" s="17"/>
      <c r="BX152" s="17" t="str">
        <v>GROUNDNUTRAW OIL 2 LTR PET BOX</v>
      </c>
      <c r="BY152" s="17" t="str">
        <v>GN 2 L PET</v>
      </c>
      <c r="BZ152" s="17"/>
      <c r="CA152" s="17"/>
      <c r="CB152" s="17"/>
      <c r="CC152" s="17"/>
      <c r="CD152" s="17"/>
      <c r="CE152" s="17"/>
    </row>
    <row r="153" spans="1:83" x14ac:dyDescent="0.25">
      <c r="A153" s="31" t="s">
        <v>543</v>
      </c>
      <c r="B153" s="30" t="s">
        <v>367</v>
      </c>
      <c r="C153" s="30" t="s">
        <v>210</v>
      </c>
      <c r="D153" s="35"/>
      <c r="E153" s="35"/>
      <c r="F153" s="35"/>
      <c r="G153" s="35"/>
      <c r="H153" s="35"/>
      <c r="I153" s="35"/>
      <c r="J153" s="35"/>
      <c r="K153" s="35"/>
      <c r="BW153" s="17"/>
      <c r="BX153" s="17" t="str">
        <v>GROUNDNUT RAW OIL 5 LTR CAN</v>
      </c>
      <c r="BY153" s="17" t="str">
        <v>GN 5 L</v>
      </c>
      <c r="BZ153" s="17"/>
      <c r="CA153" s="17"/>
      <c r="CB153" s="17"/>
      <c r="CC153" s="17"/>
      <c r="CD153" s="17"/>
      <c r="CE153" s="17"/>
    </row>
    <row r="154" spans="1:83" x14ac:dyDescent="0.25">
      <c r="A154" s="31" t="s">
        <v>67</v>
      </c>
      <c r="B154" s="30" t="s">
        <v>367</v>
      </c>
      <c r="C154" s="30" t="s">
        <v>210</v>
      </c>
      <c r="D154" s="35"/>
      <c r="E154" s="35"/>
      <c r="F154" s="35"/>
      <c r="G154" s="35"/>
      <c r="H154" s="35"/>
      <c r="I154" s="35"/>
      <c r="J154" s="35"/>
      <c r="K154" s="35"/>
      <c r="BW154" s="17"/>
      <c r="BX154" s="17" t="str">
        <v>GROUNDNUT RAW OIL 5 LTR CAN (OFFER)</v>
      </c>
      <c r="BY154" s="17" t="str">
        <v>GN 5 L</v>
      </c>
      <c r="BZ154" s="17"/>
      <c r="CA154" s="17"/>
      <c r="CB154" s="17"/>
      <c r="CC154" s="17"/>
      <c r="CD154" s="17"/>
      <c r="CE154" s="17"/>
    </row>
    <row r="155" spans="1:83" x14ac:dyDescent="0.25">
      <c r="A155" s="31" t="s">
        <v>609</v>
      </c>
      <c r="B155" s="30" t="s">
        <v>367</v>
      </c>
      <c r="C155" s="30" t="s">
        <v>210</v>
      </c>
      <c r="D155" s="35"/>
      <c r="E155" s="35"/>
      <c r="F155" s="35"/>
      <c r="G155" s="35"/>
      <c r="H155" s="35"/>
      <c r="I155" s="35"/>
      <c r="J155" s="35"/>
      <c r="K155" s="35"/>
      <c r="BW155" s="17"/>
      <c r="BX155" s="17" t="str">
        <v>GROUNDNUT RAW OIL 5 LTR CAN BOX</v>
      </c>
      <c r="BY155" s="17" t="str">
        <v>GN 5 L</v>
      </c>
      <c r="BZ155" s="17"/>
      <c r="CA155" s="17"/>
      <c r="CB155" s="17"/>
      <c r="CC155" s="17"/>
      <c r="CD155" s="17"/>
      <c r="CE155" s="17"/>
    </row>
    <row r="156" spans="1:83" x14ac:dyDescent="0.25">
      <c r="A156" s="31" t="s">
        <v>611</v>
      </c>
      <c r="B156" s="30" t="s">
        <v>367</v>
      </c>
      <c r="C156" s="30" t="s">
        <v>210</v>
      </c>
      <c r="D156" s="35"/>
      <c r="E156" s="35"/>
      <c r="F156" s="35"/>
      <c r="G156" s="35"/>
      <c r="H156" s="35"/>
      <c r="I156" s="35"/>
      <c r="J156" s="35"/>
      <c r="K156" s="35"/>
      <c r="BW156" s="17"/>
      <c r="BX156" s="17" t="str">
        <v>GROUNDNUT RAW OIL 5 LTR CAN BOX (Offer)</v>
      </c>
      <c r="BY156" s="17" t="str">
        <v>GN 5 L</v>
      </c>
      <c r="BZ156" s="17"/>
      <c r="CA156" s="17"/>
      <c r="CB156" s="17"/>
      <c r="CC156" s="17"/>
      <c r="CD156" s="17"/>
      <c r="CE156" s="17"/>
    </row>
    <row r="157" spans="1:83" x14ac:dyDescent="0.25">
      <c r="A157" s="31" t="s">
        <v>71</v>
      </c>
      <c r="B157" s="30" t="s">
        <v>367</v>
      </c>
      <c r="C157" s="30" t="s">
        <v>210</v>
      </c>
      <c r="D157" s="35"/>
      <c r="E157" s="35"/>
      <c r="F157" s="35"/>
      <c r="G157" s="35"/>
      <c r="H157" s="35"/>
      <c r="I157" s="35"/>
      <c r="J157" s="35"/>
      <c r="K157" s="35"/>
      <c r="BW157" s="17"/>
      <c r="BX157" s="17" t="str">
        <v>GROUNDNUT RAW OIL 1/2 LTR BOX</v>
      </c>
      <c r="BY157" s="17" t="str">
        <v>GN 500 ML</v>
      </c>
      <c r="BZ157" s="17"/>
      <c r="CA157" s="17"/>
      <c r="CB157" s="17"/>
      <c r="CC157" s="17"/>
      <c r="CD157" s="17"/>
      <c r="CE157" s="17"/>
    </row>
    <row r="158" spans="1:83" x14ac:dyDescent="0.25">
      <c r="A158" s="31" t="s">
        <v>449</v>
      </c>
      <c r="B158" s="30" t="s">
        <v>367</v>
      </c>
      <c r="C158" s="30" t="s">
        <v>210</v>
      </c>
      <c r="D158" s="35"/>
      <c r="E158" s="35"/>
      <c r="F158" s="35"/>
      <c r="G158" s="35"/>
      <c r="H158" s="35"/>
      <c r="I158" s="35"/>
      <c r="J158" s="35"/>
      <c r="K158" s="35"/>
      <c r="BW158" s="17"/>
      <c r="BX158" s="17" t="str">
        <v>GROUNDNUT RAW OIL 1/2 LTR BOX (CP OFFER)</v>
      </c>
      <c r="BY158" s="17" t="str">
        <v>GN 500 ML</v>
      </c>
      <c r="BZ158" s="17"/>
      <c r="CA158" s="17"/>
      <c r="CB158" s="17"/>
      <c r="CC158" s="17"/>
      <c r="CD158" s="17"/>
      <c r="CE158" s="17"/>
    </row>
    <row r="159" spans="1:83" x14ac:dyDescent="0.25">
      <c r="A159" s="31" t="s">
        <v>433</v>
      </c>
      <c r="B159" s="30" t="s">
        <v>367</v>
      </c>
      <c r="C159" s="30" t="s">
        <v>210</v>
      </c>
      <c r="D159" s="35"/>
      <c r="E159" s="35"/>
      <c r="F159" s="35"/>
      <c r="G159" s="35"/>
      <c r="H159" s="35"/>
      <c r="I159" s="35"/>
      <c r="J159" s="35"/>
      <c r="K159" s="35"/>
      <c r="BW159" s="17"/>
      <c r="BX159" s="17" t="str">
        <v>GROUNDNUT RAW OIL 1/2 LTR BOX (GULAB OFFER)</v>
      </c>
      <c r="BY159" s="17" t="str">
        <v>GN 500 ML</v>
      </c>
      <c r="BZ159" s="17"/>
      <c r="CA159" s="17"/>
      <c r="CB159" s="17"/>
      <c r="CC159" s="17"/>
      <c r="CD159" s="17"/>
      <c r="CE159" s="17"/>
    </row>
    <row r="160" spans="1:83" x14ac:dyDescent="0.25">
      <c r="A160" s="31" t="s">
        <v>222</v>
      </c>
      <c r="B160" s="30" t="s">
        <v>367</v>
      </c>
      <c r="C160" s="30" t="s">
        <v>210</v>
      </c>
      <c r="D160" s="35"/>
      <c r="E160" s="35"/>
      <c r="F160" s="35"/>
      <c r="G160" s="35"/>
      <c r="H160" s="35"/>
      <c r="I160" s="35"/>
      <c r="J160" s="35"/>
      <c r="K160" s="35"/>
      <c r="BW160" s="17"/>
      <c r="BX160" s="17" t="str">
        <v>GROUNDNUT RAW OIL 1/2 LTR BOX (GULAS OFFER)</v>
      </c>
      <c r="BY160" s="17" t="str">
        <v>GN 500 ML</v>
      </c>
      <c r="BZ160" s="17"/>
      <c r="CA160" s="17"/>
      <c r="CB160" s="17"/>
      <c r="CC160" s="17"/>
      <c r="CD160" s="17"/>
      <c r="CE160" s="17"/>
    </row>
    <row r="161" spans="1:83" x14ac:dyDescent="0.25">
      <c r="A161" s="31" t="s">
        <v>214</v>
      </c>
      <c r="B161" s="30" t="s">
        <v>457</v>
      </c>
      <c r="C161" s="30" t="s">
        <v>210</v>
      </c>
      <c r="D161" s="35"/>
      <c r="E161" s="35"/>
      <c r="F161" s="35"/>
      <c r="G161" s="35"/>
      <c r="H161" s="35"/>
      <c r="I161" s="35"/>
      <c r="J161" s="35"/>
      <c r="K161" s="35"/>
      <c r="BW161" s="17"/>
      <c r="BX161" s="17" t="str">
        <v>GROUNDNUT RAW OIL 1/2 LTR BOX (Offer)</v>
      </c>
      <c r="BY161" s="17" t="str">
        <v>GN 500 ML</v>
      </c>
      <c r="BZ161" s="17"/>
      <c r="CA161" s="17"/>
      <c r="CB161" s="17"/>
      <c r="CC161" s="17"/>
      <c r="CD161" s="17"/>
      <c r="CE161" s="17"/>
    </row>
    <row r="162" spans="1:83" x14ac:dyDescent="0.25">
      <c r="A162" s="31" t="s">
        <v>432</v>
      </c>
      <c r="B162" s="30" t="s">
        <v>457</v>
      </c>
      <c r="C162" s="30" t="s">
        <v>210</v>
      </c>
      <c r="D162" s="35"/>
      <c r="E162" s="35"/>
      <c r="F162" s="35"/>
      <c r="G162" s="35"/>
      <c r="H162" s="35"/>
      <c r="I162" s="35"/>
      <c r="J162" s="35"/>
      <c r="K162" s="35"/>
      <c r="BW162" s="17"/>
      <c r="BX162" s="17" t="str">
        <v>GROUNDNUT RAW OIL 1/2 LTR BOX (RG OFFER)</v>
      </c>
      <c r="BY162" s="17" t="str">
        <v>GN 500 ML</v>
      </c>
      <c r="BZ162" s="17"/>
      <c r="CA162" s="17"/>
      <c r="CB162" s="17"/>
      <c r="CC162" s="17"/>
      <c r="CD162" s="17"/>
      <c r="CE162" s="17"/>
    </row>
    <row r="163" spans="1:83" x14ac:dyDescent="0.25">
      <c r="A163" s="31" t="s">
        <v>224</v>
      </c>
      <c r="B163" s="30" t="s">
        <v>457</v>
      </c>
      <c r="C163" s="30" t="s">
        <v>210</v>
      </c>
      <c r="D163" s="35"/>
      <c r="E163" s="35"/>
      <c r="F163" s="35"/>
      <c r="G163" s="35"/>
      <c r="H163" s="35"/>
      <c r="I163" s="35"/>
      <c r="J163" s="35"/>
      <c r="K163" s="35"/>
      <c r="BW163" s="17"/>
      <c r="BX163" s="17" t="str">
        <v>GROUNDNUT RAW OIL 1/2 Ltr POUCH</v>
      </c>
      <c r="BY163" s="17" t="str">
        <v>GN 500 ML</v>
      </c>
      <c r="BZ163" s="17"/>
      <c r="CA163" s="17"/>
      <c r="CB163" s="17"/>
      <c r="CC163" s="17"/>
      <c r="CD163" s="17"/>
      <c r="CE163" s="17"/>
    </row>
    <row r="164" spans="1:83" x14ac:dyDescent="0.25">
      <c r="A164" s="31" t="s">
        <v>54</v>
      </c>
      <c r="B164" s="30" t="s">
        <v>457</v>
      </c>
      <c r="C164" s="30" t="s">
        <v>210</v>
      </c>
      <c r="D164" s="35"/>
      <c r="E164" s="35"/>
      <c r="F164" s="35"/>
      <c r="G164" s="35"/>
      <c r="H164" s="35"/>
      <c r="I164" s="35"/>
      <c r="J164" s="35"/>
      <c r="K164" s="35"/>
      <c r="BW164" s="17"/>
      <c r="BX164" s="17" t="str">
        <v>GROUNDNUT RAW OIL 1/2 LTR POUCH (FREE)</v>
      </c>
      <c r="BY164" s="17" t="str">
        <v>GN 500 ML</v>
      </c>
      <c r="BZ164" s="17"/>
      <c r="CA164" s="17"/>
      <c r="CB164" s="17"/>
      <c r="CC164" s="17"/>
      <c r="CD164" s="17"/>
      <c r="CE164" s="17"/>
    </row>
    <row r="165" spans="1:83" x14ac:dyDescent="0.25">
      <c r="A165" s="31" t="s">
        <v>274</v>
      </c>
      <c r="B165" s="30" t="s">
        <v>457</v>
      </c>
      <c r="C165" s="30" t="s">
        <v>210</v>
      </c>
      <c r="D165" s="35"/>
      <c r="E165" s="35"/>
      <c r="F165" s="35"/>
      <c r="G165" s="35"/>
      <c r="H165" s="35"/>
      <c r="I165" s="35"/>
      <c r="J165" s="35"/>
      <c r="K165" s="35"/>
      <c r="BW165" s="17"/>
      <c r="BX165" s="17" t="str">
        <v>GROUNDNUT RAW OIL 1/2 Ltr POUCH(FREE)</v>
      </c>
      <c r="BY165" s="17" t="str">
        <v>GN 500 ML</v>
      </c>
      <c r="BZ165" s="17"/>
      <c r="CA165" s="17"/>
      <c r="CB165" s="17"/>
      <c r="CC165" s="17"/>
      <c r="CD165" s="17"/>
      <c r="CE165" s="17"/>
    </row>
    <row r="166" spans="1:83" x14ac:dyDescent="0.25">
      <c r="A166" s="31" t="s">
        <v>273</v>
      </c>
      <c r="B166" s="30" t="s">
        <v>457</v>
      </c>
      <c r="C166" s="30" t="s">
        <v>210</v>
      </c>
      <c r="D166" s="35"/>
      <c r="E166" s="35"/>
      <c r="F166" s="35"/>
      <c r="G166" s="35"/>
      <c r="H166" s="35"/>
      <c r="I166" s="35"/>
      <c r="J166" s="35"/>
      <c r="K166" s="35"/>
      <c r="BW166" s="17"/>
      <c r="BX166" s="17" t="str">
        <v>GROUNDNUT RAW OIL 500ML POUCH (FREE)</v>
      </c>
      <c r="BY166" s="17" t="str">
        <v>GN 500 ML</v>
      </c>
      <c r="BZ166" s="17"/>
      <c r="CA166" s="17"/>
      <c r="CB166" s="17"/>
      <c r="CC166" s="17"/>
      <c r="CD166" s="17"/>
      <c r="CE166" s="17"/>
    </row>
    <row r="167" spans="1:83" x14ac:dyDescent="0.25">
      <c r="A167" s="31" t="s">
        <v>69</v>
      </c>
      <c r="B167" s="30" t="s">
        <v>457</v>
      </c>
      <c r="C167" s="30" t="s">
        <v>210</v>
      </c>
      <c r="D167" s="35"/>
      <c r="E167" s="35"/>
      <c r="F167" s="35"/>
      <c r="G167" s="35"/>
      <c r="H167" s="35"/>
      <c r="I167" s="35"/>
      <c r="J167" s="35"/>
      <c r="K167" s="35"/>
      <c r="BW167" s="17"/>
      <c r="BX167" s="17" t="str">
        <v>GROUNDNUT RAW OIL  1/2 LTR PET BOX</v>
      </c>
      <c r="BY167" s="17" t="str">
        <v>GN 500 ML PET</v>
      </c>
      <c r="BZ167" s="17"/>
      <c r="CA167" s="17"/>
      <c r="CB167" s="17"/>
      <c r="CC167" s="17"/>
      <c r="CD167" s="17"/>
      <c r="CE167" s="17"/>
    </row>
    <row r="168" spans="1:83" x14ac:dyDescent="0.25">
      <c r="A168" s="31" t="s">
        <v>264</v>
      </c>
      <c r="B168" s="30" t="s">
        <v>457</v>
      </c>
      <c r="C168" s="30" t="s">
        <v>210</v>
      </c>
      <c r="D168" s="35"/>
      <c r="E168" s="35"/>
      <c r="F168" s="35"/>
      <c r="G168" s="35"/>
      <c r="H168" s="35"/>
      <c r="I168" s="35"/>
      <c r="J168" s="35"/>
      <c r="K168" s="35"/>
      <c r="BW168" s="17"/>
      <c r="BX168" s="17" t="str">
        <v>GROUNDNUT RAW OIL 1/2 LTE PET (FREE)</v>
      </c>
      <c r="BY168" s="17" t="str">
        <v>GN 500 ML PET</v>
      </c>
      <c r="BZ168" s="17"/>
      <c r="CA168" s="17"/>
      <c r="CB168" s="17"/>
      <c r="CC168" s="17"/>
      <c r="CD168" s="17"/>
      <c r="CE168" s="17"/>
    </row>
    <row r="169" spans="1:83" x14ac:dyDescent="0.25">
      <c r="A169" s="31" t="s">
        <v>265</v>
      </c>
      <c r="B169" s="30" t="s">
        <v>457</v>
      </c>
      <c r="C169" s="30" t="s">
        <v>210</v>
      </c>
      <c r="D169" s="35"/>
      <c r="E169" s="35"/>
      <c r="F169" s="35"/>
      <c r="G169" s="35"/>
      <c r="H169" s="35"/>
      <c r="I169" s="35"/>
      <c r="J169" s="35"/>
      <c r="K169" s="35"/>
      <c r="BW169" s="17"/>
      <c r="BX169" s="17" t="str">
        <v>GROUNDNUT RAW OIL 1/2 LTR PET (FREE)</v>
      </c>
      <c r="BY169" s="17" t="str">
        <v>GN 500 ML PET</v>
      </c>
      <c r="BZ169" s="17"/>
      <c r="CA169" s="17"/>
      <c r="CB169" s="17"/>
      <c r="CC169" s="17"/>
      <c r="CD169" s="17"/>
      <c r="CE169" s="17"/>
    </row>
    <row r="170" spans="1:83" x14ac:dyDescent="0.25">
      <c r="A170" s="31" t="s">
        <v>444</v>
      </c>
      <c r="B170" s="30" t="s">
        <v>457</v>
      </c>
      <c r="C170" s="30" t="s">
        <v>210</v>
      </c>
      <c r="D170" s="35"/>
      <c r="E170" s="35"/>
      <c r="F170" s="35"/>
      <c r="G170" s="35"/>
      <c r="H170" s="35"/>
      <c r="I170" s="35"/>
      <c r="J170" s="35"/>
      <c r="K170" s="35"/>
      <c r="BW170" s="17"/>
      <c r="BX170" s="17" t="str">
        <v>GROUNDNUT RAW OIL 1/2 LTR PET BOX</v>
      </c>
      <c r="BY170" s="17" t="str">
        <v>GN 500 ML PET</v>
      </c>
      <c r="BZ170" s="17"/>
      <c r="CA170" s="17"/>
      <c r="CB170" s="17"/>
      <c r="CC170" s="17"/>
      <c r="CD170" s="17"/>
      <c r="CE170" s="17"/>
    </row>
    <row r="171" spans="1:83" x14ac:dyDescent="0.25">
      <c r="A171" s="31" t="s">
        <v>544</v>
      </c>
      <c r="B171" s="30" t="s">
        <v>457</v>
      </c>
      <c r="C171" s="30" t="s">
        <v>210</v>
      </c>
      <c r="D171" s="35"/>
      <c r="E171" s="35"/>
      <c r="F171" s="35"/>
      <c r="G171" s="35"/>
      <c r="H171" s="35"/>
      <c r="I171" s="35"/>
      <c r="J171" s="35"/>
      <c r="K171" s="35"/>
      <c r="BW171" s="17"/>
      <c r="BX171" s="17" t="str">
        <v>GROUNDNUT RAW OIL 1/2 LTR PET BOX (CP OFFER)</v>
      </c>
      <c r="BY171" s="17" t="str">
        <v>GN 500 ML PET</v>
      </c>
      <c r="BZ171" s="17"/>
      <c r="CA171" s="17"/>
      <c r="CB171" s="17"/>
      <c r="CC171" s="17"/>
      <c r="CD171" s="17"/>
      <c r="CE171" s="17"/>
    </row>
    <row r="172" spans="1:83" x14ac:dyDescent="0.25">
      <c r="A172" s="31" t="s">
        <v>70</v>
      </c>
      <c r="B172" s="30" t="s">
        <v>457</v>
      </c>
      <c r="C172" s="30" t="s">
        <v>210</v>
      </c>
      <c r="D172" s="35"/>
      <c r="E172" s="35"/>
      <c r="F172" s="35"/>
      <c r="G172" s="35"/>
      <c r="H172" s="35"/>
      <c r="I172" s="35"/>
      <c r="J172" s="35"/>
      <c r="K172" s="35"/>
      <c r="BW172" s="17"/>
      <c r="BX172" s="17" t="str">
        <v>GROUNDNUT RAW OIL 1/2 LTR PET BOX (GULAB OFFER)</v>
      </c>
      <c r="BY172" s="17" t="str">
        <v>GN 500 ML PET</v>
      </c>
      <c r="BZ172" s="17"/>
      <c r="CA172" s="17"/>
      <c r="CB172" s="17"/>
      <c r="CC172" s="17"/>
      <c r="CD172" s="17"/>
      <c r="CE172" s="17"/>
    </row>
    <row r="173" spans="1:83" x14ac:dyDescent="0.25">
      <c r="A173" s="31" t="s">
        <v>471</v>
      </c>
      <c r="B173" s="30" t="s">
        <v>457</v>
      </c>
      <c r="C173" s="30" t="s">
        <v>210</v>
      </c>
      <c r="D173" s="35"/>
      <c r="E173" s="35"/>
      <c r="F173" s="35"/>
      <c r="G173" s="35"/>
      <c r="H173" s="35"/>
      <c r="I173" s="35"/>
      <c r="J173" s="35"/>
      <c r="K173" s="35"/>
      <c r="BW173" s="17"/>
      <c r="BX173" s="17" t="str">
        <v>GROUNDNUT RAW OIL 1/2 LTR PET BOX (GULAS OFFER)</v>
      </c>
      <c r="BY173" s="17" t="str">
        <v>GN 500 ML PET</v>
      </c>
      <c r="BZ173" s="17"/>
      <c r="CA173" s="17"/>
      <c r="CB173" s="17"/>
      <c r="CC173" s="17"/>
      <c r="CD173" s="17"/>
      <c r="CE173" s="17"/>
    </row>
    <row r="174" spans="1:83" x14ac:dyDescent="0.25">
      <c r="A174" s="31" t="s">
        <v>223</v>
      </c>
      <c r="B174" s="30" t="s">
        <v>457</v>
      </c>
      <c r="C174" s="30" t="s">
        <v>210</v>
      </c>
      <c r="D174" s="35"/>
      <c r="E174" s="35"/>
      <c r="F174" s="35"/>
      <c r="G174" s="35"/>
      <c r="H174" s="35"/>
      <c r="I174" s="35"/>
      <c r="J174" s="35"/>
      <c r="K174" s="35"/>
      <c r="BW174" s="17"/>
      <c r="BX174" s="17" t="str">
        <v>GROUNDNUT RAW OIL 1/2 LTR PET BOX (Offer)</v>
      </c>
      <c r="BY174" s="17" t="str">
        <v>GN 500 ML PET</v>
      </c>
      <c r="BZ174" s="17"/>
      <c r="CA174" s="17"/>
      <c r="CB174" s="17"/>
      <c r="CC174" s="17"/>
      <c r="CD174" s="17"/>
      <c r="CE174" s="17"/>
    </row>
    <row r="175" spans="1:83" x14ac:dyDescent="0.25">
      <c r="A175" s="31" t="s">
        <v>537</v>
      </c>
      <c r="B175" s="30" t="s">
        <v>457</v>
      </c>
      <c r="C175" s="30" t="s">
        <v>210</v>
      </c>
      <c r="D175" s="35"/>
      <c r="E175" s="35"/>
      <c r="F175" s="35"/>
      <c r="G175" s="35"/>
      <c r="H175" s="35"/>
      <c r="I175" s="35"/>
      <c r="J175" s="35"/>
      <c r="K175" s="35"/>
      <c r="BW175" s="17"/>
      <c r="BX175" s="17" t="str">
        <v>GROUNDNUT RAW OIL 1/2 LTR PET BOX (RG OFFER)</v>
      </c>
      <c r="BY175" s="17" t="str">
        <v>GN 500 ML PET</v>
      </c>
      <c r="BZ175" s="17"/>
      <c r="CA175" s="17"/>
      <c r="CB175" s="17"/>
      <c r="CC175" s="17"/>
      <c r="CD175" s="17"/>
      <c r="CE175" s="17"/>
    </row>
    <row r="176" spans="1:83" x14ac:dyDescent="0.25">
      <c r="A176" s="31" t="s">
        <v>221</v>
      </c>
      <c r="B176" s="30" t="s">
        <v>457</v>
      </c>
      <c r="C176" s="30" t="s">
        <v>210</v>
      </c>
      <c r="D176" s="35"/>
      <c r="E176" s="35"/>
      <c r="F176" s="35"/>
      <c r="G176" s="35"/>
      <c r="H176" s="35"/>
      <c r="I176" s="35"/>
      <c r="J176" s="35"/>
      <c r="K176" s="35"/>
      <c r="BW176" s="17"/>
      <c r="BX176" s="17" t="str">
        <v>GROUNDNUT RAW OIL 1/2 PET</v>
      </c>
      <c r="BY176" s="17" t="str">
        <v>GN 500 ML PET</v>
      </c>
      <c r="BZ176" s="17"/>
      <c r="CA176" s="17"/>
      <c r="CB176" s="17"/>
      <c r="CC176" s="17"/>
      <c r="CD176" s="17"/>
      <c r="CE176" s="17"/>
    </row>
    <row r="177" spans="1:83" x14ac:dyDescent="0.25">
      <c r="A177" s="31" t="s">
        <v>263</v>
      </c>
      <c r="B177" s="30" t="s">
        <v>457</v>
      </c>
      <c r="C177" s="30" t="s">
        <v>210</v>
      </c>
      <c r="D177" s="35"/>
      <c r="E177" s="35"/>
      <c r="F177" s="35"/>
      <c r="G177" s="35"/>
      <c r="H177" s="35"/>
      <c r="I177" s="35"/>
      <c r="J177" s="35"/>
      <c r="K177" s="35"/>
      <c r="BW177" s="17"/>
      <c r="BX177" s="17" t="str">
        <v>GROUNDNUT RAW OIL 1/2 PET BOX</v>
      </c>
      <c r="BY177" s="17" t="str">
        <v>GN 500 ML PET</v>
      </c>
      <c r="BZ177" s="17"/>
      <c r="CA177" s="17"/>
      <c r="CB177" s="17"/>
      <c r="CC177" s="17"/>
      <c r="CD177" s="17"/>
      <c r="CE177" s="17"/>
    </row>
    <row r="178" spans="1:83" x14ac:dyDescent="0.25">
      <c r="A178" s="31" t="s">
        <v>434</v>
      </c>
      <c r="B178" s="30" t="s">
        <v>457</v>
      </c>
      <c r="C178" s="30" t="s">
        <v>210</v>
      </c>
      <c r="D178" s="35"/>
      <c r="E178" s="35"/>
      <c r="F178" s="35"/>
      <c r="G178" s="35"/>
      <c r="H178" s="35"/>
      <c r="I178" s="35"/>
      <c r="J178" s="35"/>
      <c r="K178" s="35"/>
      <c r="BW178" s="17"/>
      <c r="BX178" s="17" t="str">
        <v>GROUNDNUT RAW OIL RS.10PACK BOX (03.05.2023)</v>
      </c>
      <c r="BY178" s="17" t="str">
        <v>GN RS.10 LUP</v>
      </c>
      <c r="BZ178" s="17"/>
      <c r="CA178" s="17"/>
      <c r="CB178" s="17"/>
      <c r="CC178" s="17"/>
      <c r="CD178" s="17"/>
      <c r="CE178" s="17"/>
    </row>
    <row r="179" spans="1:83" x14ac:dyDescent="0.25">
      <c r="A179" s="31" t="s">
        <v>68</v>
      </c>
      <c r="B179" s="30" t="s">
        <v>457</v>
      </c>
      <c r="C179" s="30" t="s">
        <v>210</v>
      </c>
      <c r="D179" s="35"/>
      <c r="E179" s="35"/>
      <c r="F179" s="35"/>
      <c r="G179" s="35"/>
      <c r="H179" s="35"/>
      <c r="I179" s="35"/>
      <c r="J179" s="35"/>
      <c r="K179" s="35"/>
      <c r="BW179" s="17"/>
      <c r="BX179" s="17" t="str">
        <v>GROUNDNUT RAW OIL RS.10PACK BOX (NEW)</v>
      </c>
      <c r="BY179" s="17" t="str">
        <v>GN RS.10 LUP</v>
      </c>
      <c r="BZ179" s="17"/>
      <c r="CA179" s="17"/>
      <c r="CB179" s="17"/>
      <c r="CC179" s="17"/>
      <c r="CD179" s="17"/>
      <c r="CE179" s="17"/>
    </row>
    <row r="180" spans="1:83" x14ac:dyDescent="0.25">
      <c r="A180" s="31" t="s">
        <v>220</v>
      </c>
      <c r="B180" s="30" t="s">
        <v>457</v>
      </c>
      <c r="C180" s="30" t="s">
        <v>210</v>
      </c>
      <c r="D180" s="35"/>
      <c r="E180" s="35"/>
      <c r="F180" s="35"/>
      <c r="G180" s="35"/>
      <c r="H180" s="35"/>
      <c r="I180" s="35"/>
      <c r="J180" s="35"/>
      <c r="K180" s="35"/>
      <c r="BW180" s="17"/>
      <c r="BX180" s="17" t="str">
        <v>GROUNDNUT RAW OIL RS-10  PACK BOX</v>
      </c>
      <c r="BY180" s="17" t="str">
        <v>GN RS.10 LUP</v>
      </c>
      <c r="BZ180" s="17"/>
      <c r="CA180" s="17"/>
      <c r="CB180" s="17"/>
      <c r="CC180" s="17"/>
      <c r="CD180" s="17"/>
      <c r="CE180" s="17"/>
    </row>
    <row r="181" spans="1:83" x14ac:dyDescent="0.25">
      <c r="A181" s="31" t="s">
        <v>225</v>
      </c>
      <c r="B181" s="30" t="s">
        <v>457</v>
      </c>
      <c r="C181" s="30" t="s">
        <v>210</v>
      </c>
      <c r="D181" s="35"/>
      <c r="E181" s="35"/>
      <c r="F181" s="35"/>
      <c r="G181" s="35"/>
      <c r="H181" s="35"/>
      <c r="I181" s="35"/>
      <c r="J181" s="35"/>
      <c r="K181" s="35"/>
      <c r="BW181" s="17"/>
      <c r="BX181" s="17" t="str">
        <v>GROUNDNUT RAW OIL RS10 POUCH</v>
      </c>
      <c r="BY181" s="17" t="str">
        <v>GN RS.10 LUP</v>
      </c>
      <c r="BZ181" s="17"/>
      <c r="CA181" s="17"/>
      <c r="CB181" s="17"/>
      <c r="CC181" s="17"/>
      <c r="CD181" s="17"/>
      <c r="CE181" s="17"/>
    </row>
    <row r="182" spans="1:83" x14ac:dyDescent="0.25">
      <c r="A182" s="31" t="s">
        <v>266</v>
      </c>
      <c r="B182" s="30" t="s">
        <v>369</v>
      </c>
      <c r="C182" s="30" t="s">
        <v>210</v>
      </c>
      <c r="D182" s="35"/>
      <c r="E182" s="35"/>
      <c r="F182" s="35"/>
      <c r="G182" s="35"/>
      <c r="H182" s="35"/>
      <c r="I182" s="35"/>
      <c r="J182" s="35"/>
      <c r="K182" s="35"/>
      <c r="BW182" s="17"/>
      <c r="BX182" s="17" t="str">
        <v>GROUNDNUT RAW OIL RS10 POUCH (FREE)</v>
      </c>
      <c r="BY182" s="17" t="str">
        <v>GN RS.10 LUP</v>
      </c>
      <c r="BZ182" s="17"/>
      <c r="CA182" s="17"/>
      <c r="CB182" s="17"/>
      <c r="CC182" s="17"/>
      <c r="CD182" s="17"/>
      <c r="CE182" s="17"/>
    </row>
    <row r="183" spans="1:83" x14ac:dyDescent="0.25">
      <c r="A183" s="31" t="s">
        <v>72</v>
      </c>
      <c r="B183" s="30" t="s">
        <v>730</v>
      </c>
      <c r="C183" s="30" t="s">
        <v>210</v>
      </c>
      <c r="D183" s="35"/>
      <c r="E183" s="35"/>
      <c r="F183" s="35"/>
      <c r="G183" s="35"/>
      <c r="H183" s="35"/>
      <c r="I183" s="35"/>
      <c r="J183" s="35"/>
      <c r="K183" s="35"/>
      <c r="BW183" s="17"/>
      <c r="BX183" s="17" t="str">
        <v>GROUNDNUT RAW OIL RS10 Pouch(Free)</v>
      </c>
      <c r="BY183" s="17" t="str">
        <v>GN RS.10 LUP</v>
      </c>
      <c r="BZ183" s="17"/>
      <c r="CA183" s="17"/>
      <c r="CB183" s="17"/>
      <c r="CC183" s="17"/>
      <c r="CD183" s="17"/>
      <c r="CE183" s="17"/>
    </row>
    <row r="184" spans="1:83" x14ac:dyDescent="0.25">
      <c r="A184" s="31" t="s">
        <v>73</v>
      </c>
      <c r="B184" s="30" t="s">
        <v>730</v>
      </c>
      <c r="C184" s="30" t="s">
        <v>210</v>
      </c>
      <c r="D184" s="35"/>
      <c r="E184" s="35"/>
      <c r="F184" s="35"/>
      <c r="G184" s="35"/>
      <c r="H184" s="35"/>
      <c r="I184" s="35"/>
      <c r="J184" s="35"/>
      <c r="K184" s="35"/>
      <c r="BW184" s="17"/>
      <c r="BX184" s="17" t="str">
        <v>GROUNDNUT RAWOIL RS.10PACK BOX</v>
      </c>
      <c r="BY184" s="17" t="str">
        <v>GN RS.10 LUP</v>
      </c>
      <c r="BZ184" s="17"/>
      <c r="CA184" s="17"/>
      <c r="CB184" s="17"/>
      <c r="CC184" s="17"/>
      <c r="CD184" s="17"/>
      <c r="CE184" s="17"/>
    </row>
    <row r="185" spans="1:83" x14ac:dyDescent="0.25">
      <c r="A185" s="31" t="s">
        <v>74</v>
      </c>
      <c r="B185" s="30" t="s">
        <v>370</v>
      </c>
      <c r="C185" s="30" t="s">
        <v>210</v>
      </c>
      <c r="D185" s="35"/>
      <c r="E185" s="35"/>
      <c r="F185" s="35"/>
      <c r="G185" s="35"/>
      <c r="H185" s="35"/>
      <c r="I185" s="35"/>
      <c r="J185" s="35"/>
      <c r="K185" s="35"/>
      <c r="BW185" s="17"/>
      <c r="BX185" s="17" t="str">
        <v>GROUNDNUT RAW OIL RS.20 PACK BOX</v>
      </c>
      <c r="BY185" s="17" t="str">
        <v>GN RS.20 LUP</v>
      </c>
      <c r="BZ185" s="17"/>
      <c r="CA185" s="17"/>
      <c r="CB185" s="17"/>
      <c r="CC185" s="17"/>
      <c r="CD185" s="17"/>
      <c r="CE185" s="17"/>
    </row>
    <row r="186" spans="1:83" x14ac:dyDescent="0.25">
      <c r="A186" s="31" t="s">
        <v>77</v>
      </c>
      <c r="B186" s="30" t="s">
        <v>370</v>
      </c>
      <c r="C186" s="30" t="s">
        <v>210</v>
      </c>
      <c r="D186" s="35"/>
      <c r="E186" s="35"/>
      <c r="F186" s="35"/>
      <c r="G186" s="35"/>
      <c r="H186" s="35"/>
      <c r="I186" s="35"/>
      <c r="J186" s="35"/>
      <c r="K186" s="35"/>
      <c r="BW186" s="17"/>
      <c r="BX186" s="17" t="str">
        <v>GROUNDNUT RAW OIL RS.20 PACK BOX (03.05.2023)</v>
      </c>
      <c r="BY186" s="17" t="str">
        <v>GN RS.20 LUP</v>
      </c>
      <c r="BZ186" s="17"/>
      <c r="CA186" s="17"/>
      <c r="CB186" s="17"/>
      <c r="CC186" s="17"/>
      <c r="CD186" s="17"/>
      <c r="CE186" s="17"/>
    </row>
    <row r="187" spans="1:83" x14ac:dyDescent="0.25">
      <c r="A187" s="31" t="s">
        <v>75</v>
      </c>
      <c r="B187" s="30" t="s">
        <v>370</v>
      </c>
      <c r="C187" s="30" t="s">
        <v>210</v>
      </c>
      <c r="D187" s="35"/>
      <c r="E187" s="35"/>
      <c r="F187" s="35"/>
      <c r="G187" s="35"/>
      <c r="H187" s="35"/>
      <c r="I187" s="35"/>
      <c r="J187" s="35"/>
      <c r="K187" s="35"/>
      <c r="BW187" s="17"/>
      <c r="BX187" s="17" t="str">
        <v>GROUNDNUT RAW OIL RS.20 PACK BOX (NEW 01.02.24)</v>
      </c>
      <c r="BY187" s="17" t="str">
        <v>GN RS.20 LUP</v>
      </c>
      <c r="BZ187" s="17"/>
      <c r="CA187" s="17"/>
      <c r="CB187" s="17"/>
      <c r="CC187" s="17"/>
      <c r="CD187" s="17"/>
      <c r="CE187" s="17"/>
    </row>
    <row r="188" spans="1:83" x14ac:dyDescent="0.25">
      <c r="A188" s="31" t="s">
        <v>76</v>
      </c>
      <c r="B188" s="30" t="s">
        <v>370</v>
      </c>
      <c r="C188" s="30" t="s">
        <v>210</v>
      </c>
      <c r="D188" s="35"/>
      <c r="E188" s="35"/>
      <c r="F188" s="35"/>
      <c r="G188" s="35"/>
      <c r="H188" s="35"/>
      <c r="I188" s="35"/>
      <c r="J188" s="35"/>
      <c r="K188" s="35"/>
      <c r="BW188" s="17"/>
      <c r="BX188" s="17" t="str">
        <v>GROUNDNUT RAW OIL RS.20 PACK BOX (NEW)</v>
      </c>
      <c r="BY188" s="17" t="str">
        <v>GN RS.20 LUP</v>
      </c>
      <c r="BZ188" s="17"/>
      <c r="CA188" s="17"/>
      <c r="CB188" s="17"/>
      <c r="CC188" s="17"/>
      <c r="CD188" s="17"/>
      <c r="CE188" s="17"/>
    </row>
    <row r="189" spans="1:83" x14ac:dyDescent="0.25">
      <c r="A189" s="31" t="s">
        <v>55</v>
      </c>
      <c r="B189" s="30" t="s">
        <v>368</v>
      </c>
      <c r="C189" s="30" t="s">
        <v>210</v>
      </c>
      <c r="D189" s="35"/>
      <c r="E189" s="35"/>
      <c r="F189" s="35"/>
      <c r="G189" s="35"/>
      <c r="H189" s="35"/>
      <c r="I189" s="35"/>
      <c r="J189" s="35"/>
      <c r="K189" s="35"/>
      <c r="BW189" s="17"/>
      <c r="BX189" s="17" t="str">
        <v>GROUNDNUT RAW OIL RS.20 POUCH</v>
      </c>
      <c r="BY189" s="17" t="str">
        <v>GN RS.20 LUP</v>
      </c>
      <c r="BZ189" s="17"/>
      <c r="CA189" s="17"/>
      <c r="CB189" s="17"/>
      <c r="CC189" s="17"/>
      <c r="CD189" s="17"/>
      <c r="CE189" s="17"/>
    </row>
    <row r="190" spans="1:83" x14ac:dyDescent="0.25">
      <c r="A190" s="31" t="s">
        <v>56</v>
      </c>
      <c r="B190" s="30" t="s">
        <v>368</v>
      </c>
      <c r="C190" s="30" t="s">
        <v>210</v>
      </c>
      <c r="D190" s="35"/>
      <c r="E190" s="35"/>
      <c r="F190" s="35"/>
      <c r="G190" s="35"/>
      <c r="H190" s="35"/>
      <c r="I190" s="35"/>
      <c r="J190" s="35"/>
      <c r="K190" s="35"/>
      <c r="BW190" s="17"/>
      <c r="BX190" s="17" t="str">
        <v>DAILY GULAB JAMUN INSTANT MIX (BUY1 GET1)</v>
      </c>
      <c r="BY190" s="17" t="str">
        <v>DAILY GULAB JAMUN</v>
      </c>
      <c r="BZ190" s="17"/>
      <c r="CA190" s="17"/>
      <c r="CB190" s="17"/>
      <c r="CC190" s="17"/>
      <c r="CD190" s="17"/>
      <c r="CE190" s="17"/>
    </row>
    <row r="191" spans="1:83" x14ac:dyDescent="0.25">
      <c r="A191" s="31" t="s">
        <v>445</v>
      </c>
      <c r="B191" s="30" t="s">
        <v>368</v>
      </c>
      <c r="C191" s="30" t="s">
        <v>210</v>
      </c>
      <c r="D191" s="35"/>
      <c r="E191" s="35"/>
      <c r="F191" s="35"/>
      <c r="G191" s="35"/>
      <c r="H191" s="35"/>
      <c r="I191" s="35"/>
      <c r="J191" s="35"/>
      <c r="K191" s="35"/>
      <c r="BW191" s="17"/>
      <c r="BX191" s="17" t="str">
        <v>DAILY GULAB JAMUN INSTANT MIX BOX - 25Set(+)5Set FREE</v>
      </c>
      <c r="BY191" s="17" t="str">
        <v>DAILY GULAB JAMUN</v>
      </c>
      <c r="BZ191" s="17"/>
      <c r="CA191" s="17"/>
      <c r="CB191" s="17"/>
      <c r="CC191" s="17"/>
      <c r="CD191" s="17"/>
      <c r="CE191" s="17"/>
    </row>
    <row r="192" spans="1:83" x14ac:dyDescent="0.25">
      <c r="A192" s="31" t="s">
        <v>545</v>
      </c>
      <c r="B192" s="30" t="s">
        <v>368</v>
      </c>
      <c r="C192" s="30" t="s">
        <v>210</v>
      </c>
      <c r="D192" s="35"/>
      <c r="E192" s="35"/>
      <c r="F192" s="35"/>
      <c r="G192" s="35"/>
      <c r="H192" s="35"/>
      <c r="I192" s="35"/>
      <c r="J192" s="35"/>
      <c r="K192" s="35"/>
      <c r="BW192" s="17"/>
      <c r="BX192" s="17" t="str">
        <v>SUNRAJA DAILY GULAB JAMUN MIX JAR BOX</v>
      </c>
      <c r="BY192" s="17" t="str">
        <v>DAILY GULAB JAMUN</v>
      </c>
      <c r="BZ192" s="17"/>
      <c r="CA192" s="17"/>
      <c r="CB192" s="17"/>
      <c r="CC192" s="17"/>
      <c r="CD192" s="17"/>
      <c r="CE192" s="17"/>
    </row>
    <row r="193" spans="1:83" x14ac:dyDescent="0.25">
      <c r="A193" s="31" t="s">
        <v>57</v>
      </c>
      <c r="B193" s="30" t="s">
        <v>368</v>
      </c>
      <c r="C193" s="30" t="s">
        <v>210</v>
      </c>
      <c r="D193" s="35"/>
      <c r="E193" s="35"/>
      <c r="F193" s="35"/>
      <c r="G193" s="35"/>
      <c r="H193" s="35"/>
      <c r="I193" s="35"/>
      <c r="J193" s="35"/>
      <c r="K193" s="35"/>
      <c r="BW193" s="17"/>
      <c r="BX193" s="17" t="str">
        <v>SUNRAJA GULAS  Rs 5 /- PACK(FREE)</v>
      </c>
      <c r="BY193" s="17" t="str">
        <v>GULAS  Rs.5 LUP</v>
      </c>
      <c r="BZ193" s="17"/>
      <c r="CA193" s="17"/>
      <c r="CB193" s="17"/>
      <c r="CC193" s="17"/>
      <c r="CD193" s="17"/>
      <c r="CE193" s="17"/>
    </row>
    <row r="194" spans="1:83" x14ac:dyDescent="0.25">
      <c r="A194" s="31" t="s">
        <v>468</v>
      </c>
      <c r="B194" s="30" t="s">
        <v>368</v>
      </c>
      <c r="C194" s="30" t="s">
        <v>210</v>
      </c>
      <c r="D194" s="35"/>
      <c r="E194" s="35"/>
      <c r="F194" s="35"/>
      <c r="G194" s="35"/>
      <c r="H194" s="35"/>
      <c r="I194" s="35"/>
      <c r="J194" s="35"/>
      <c r="K194" s="35"/>
      <c r="BW194" s="17"/>
      <c r="BX194" s="17" t="str">
        <v>SUNRAJA GULAS (JAGGERY POWDER) 1 KG POUCH BOX</v>
      </c>
      <c r="BY194" s="17" t="str">
        <v>GULAS 1 K</v>
      </c>
      <c r="BZ194" s="17"/>
      <c r="CA194" s="17"/>
      <c r="CB194" s="17"/>
      <c r="CC194" s="17"/>
      <c r="CD194" s="17"/>
      <c r="CE194" s="17"/>
    </row>
    <row r="195" spans="1:83" x14ac:dyDescent="0.25">
      <c r="A195" s="31" t="s">
        <v>61</v>
      </c>
      <c r="B195" s="30" t="s">
        <v>368</v>
      </c>
      <c r="C195" s="30" t="s">
        <v>210</v>
      </c>
      <c r="D195" s="35"/>
      <c r="E195" s="35"/>
      <c r="F195" s="35"/>
      <c r="G195" s="35"/>
      <c r="H195" s="35"/>
      <c r="I195" s="35"/>
      <c r="J195" s="35"/>
      <c r="K195" s="35"/>
      <c r="BW195" s="17"/>
      <c r="BX195" s="17" t="str">
        <v>SUNRAJA GULAS 1 Kg Pouch(FREE)</v>
      </c>
      <c r="BY195" s="17" t="str">
        <v>GULAS 1 K</v>
      </c>
      <c r="BZ195" s="17"/>
      <c r="CA195" s="17"/>
      <c r="CB195" s="17"/>
      <c r="CC195" s="17"/>
      <c r="CD195" s="17"/>
      <c r="CE195" s="17"/>
    </row>
    <row r="196" spans="1:83" x14ac:dyDescent="0.25">
      <c r="A196" s="31" t="s">
        <v>272</v>
      </c>
      <c r="B196" s="30" t="s">
        <v>368</v>
      </c>
      <c r="C196" s="30" t="s">
        <v>210</v>
      </c>
      <c r="D196" s="35"/>
      <c r="E196" s="35"/>
      <c r="F196" s="35"/>
      <c r="G196" s="35"/>
      <c r="H196" s="35"/>
      <c r="I196" s="35"/>
      <c r="J196" s="35"/>
      <c r="K196" s="35"/>
      <c r="BW196" s="17"/>
      <c r="BX196" s="17" t="str">
        <v>SUNRAJA GULAS (JAGGERY POWDER) 500g POUCH</v>
      </c>
      <c r="BY196" s="17" t="str">
        <v>GULAS 500 G</v>
      </c>
      <c r="BZ196" s="17"/>
      <c r="CA196" s="17"/>
      <c r="CB196" s="17"/>
      <c r="CC196" s="17"/>
      <c r="CD196" s="17"/>
      <c r="CE196" s="17"/>
    </row>
    <row r="197" spans="1:83" x14ac:dyDescent="0.25">
      <c r="A197" s="31" t="s">
        <v>62</v>
      </c>
      <c r="B197" s="30" t="s">
        <v>368</v>
      </c>
      <c r="C197" s="30" t="s">
        <v>210</v>
      </c>
      <c r="D197" s="35"/>
      <c r="E197" s="35"/>
      <c r="F197" s="35"/>
      <c r="G197" s="35"/>
      <c r="H197" s="35"/>
      <c r="I197" s="35"/>
      <c r="J197" s="35"/>
      <c r="K197" s="35"/>
      <c r="BW197" s="17"/>
      <c r="BX197" s="17" t="str">
        <v>SUNRAJA GULAS (JAGGERY POWDER) 500g POUCH BOX</v>
      </c>
      <c r="BY197" s="17" t="str">
        <v>GULAS 500 G</v>
      </c>
      <c r="BZ197" s="17"/>
      <c r="CA197" s="17"/>
      <c r="CB197" s="17"/>
      <c r="CC197" s="17"/>
      <c r="CD197" s="17"/>
      <c r="CE197" s="17"/>
    </row>
    <row r="198" spans="1:83" x14ac:dyDescent="0.25">
      <c r="A198" s="31" t="s">
        <v>226</v>
      </c>
      <c r="B198" s="30" t="s">
        <v>368</v>
      </c>
      <c r="C198" s="30" t="s">
        <v>210</v>
      </c>
      <c r="D198" s="35"/>
      <c r="E198" s="35"/>
      <c r="F198" s="35"/>
      <c r="G198" s="35"/>
      <c r="H198" s="35"/>
      <c r="I198" s="35"/>
      <c r="J198" s="35"/>
      <c r="K198" s="35"/>
      <c r="BW198" s="17"/>
      <c r="BX198" s="17" t="str">
        <v>SUNRAJA GULAS (JAGGERY POWDER) 500g POUCH BOX OFFER</v>
      </c>
      <c r="BY198" s="17" t="str">
        <v>GULAS 500 G</v>
      </c>
      <c r="BZ198" s="17"/>
      <c r="CA198" s="17"/>
      <c r="CB198" s="17"/>
      <c r="CC198" s="17"/>
      <c r="CD198" s="17"/>
      <c r="CE198" s="17"/>
    </row>
    <row r="199" spans="1:83" x14ac:dyDescent="0.25">
      <c r="A199" s="31" t="s">
        <v>271</v>
      </c>
      <c r="B199" s="30" t="s">
        <v>458</v>
      </c>
      <c r="C199" s="30" t="s">
        <v>210</v>
      </c>
      <c r="D199" s="35"/>
      <c r="E199" s="35"/>
      <c r="F199" s="35"/>
      <c r="G199" s="35"/>
      <c r="H199" s="35"/>
      <c r="I199" s="35"/>
      <c r="J199" s="35"/>
      <c r="K199" s="35"/>
      <c r="BW199" s="17"/>
      <c r="BX199" s="17" t="str">
        <v>SUNRAJA GULAS (JAGGERY POWDER) 500g POUCH BOX(FREE)</v>
      </c>
      <c r="BY199" s="17" t="str">
        <v>GULAS 500 G</v>
      </c>
      <c r="BZ199" s="17"/>
      <c r="CA199" s="17"/>
      <c r="CB199" s="17"/>
      <c r="CC199" s="17"/>
      <c r="CD199" s="17"/>
      <c r="CE199" s="17"/>
    </row>
    <row r="200" spans="1:83" x14ac:dyDescent="0.25">
      <c r="A200" s="31" t="s">
        <v>258</v>
      </c>
      <c r="B200" s="30" t="s">
        <v>458</v>
      </c>
      <c r="C200" s="30" t="s">
        <v>210</v>
      </c>
      <c r="D200" s="35"/>
      <c r="E200" s="35"/>
      <c r="F200" s="35"/>
      <c r="G200" s="35"/>
      <c r="H200" s="35"/>
      <c r="I200" s="35"/>
      <c r="J200" s="35"/>
      <c r="K200" s="35"/>
      <c r="BW200" s="17"/>
      <c r="BX200" s="17" t="str">
        <v>SUNRAJA GULAS 500gm Pouch(FREE)</v>
      </c>
      <c r="BY200" s="17" t="str">
        <v>GULAS 500 G</v>
      </c>
      <c r="BZ200" s="17"/>
      <c r="CA200" s="17"/>
      <c r="CB200" s="17"/>
      <c r="CC200" s="17"/>
      <c r="CD200" s="17"/>
      <c r="CE200" s="17"/>
    </row>
    <row r="201" spans="1:83" x14ac:dyDescent="0.25">
      <c r="A201" s="31" t="s">
        <v>261</v>
      </c>
      <c r="B201" s="30" t="s">
        <v>458</v>
      </c>
      <c r="C201" s="30" t="s">
        <v>210</v>
      </c>
      <c r="D201" s="35"/>
      <c r="E201" s="35"/>
      <c r="F201" s="35"/>
      <c r="G201" s="35"/>
      <c r="H201" s="35"/>
      <c r="I201" s="35"/>
      <c r="J201" s="35"/>
      <c r="K201" s="35"/>
      <c r="BW201" s="17"/>
      <c r="BX201" s="17" t="str">
        <v>SUNRAJA GULAS (JAGGERY POWDER) 500g PET</v>
      </c>
      <c r="BY201" s="17" t="str">
        <v>GULAS 500 G PET</v>
      </c>
      <c r="BZ201" s="17"/>
      <c r="CA201" s="17"/>
      <c r="CB201" s="17"/>
      <c r="CC201" s="17"/>
      <c r="CD201" s="17"/>
      <c r="CE201" s="17"/>
    </row>
    <row r="202" spans="1:83" x14ac:dyDescent="0.25">
      <c r="A202" s="31" t="s">
        <v>58</v>
      </c>
      <c r="B202" s="30" t="s">
        <v>458</v>
      </c>
      <c r="C202" s="30" t="s">
        <v>210</v>
      </c>
      <c r="D202" s="35"/>
      <c r="E202" s="35"/>
      <c r="F202" s="35"/>
      <c r="G202" s="35"/>
      <c r="H202" s="35"/>
      <c r="I202" s="35"/>
      <c r="J202" s="35"/>
      <c r="K202" s="35"/>
      <c r="BW202" s="17"/>
      <c r="BX202" s="17" t="str">
        <v>SUNRAJA GULAS (JAGGERY POWDER) 500g PET BOX</v>
      </c>
      <c r="BY202" s="17" t="str">
        <v>GULAS 500 G PET</v>
      </c>
      <c r="BZ202" s="17"/>
      <c r="CA202" s="17"/>
      <c r="CB202" s="17"/>
      <c r="CC202" s="17"/>
      <c r="CD202" s="17"/>
      <c r="CE202" s="17"/>
    </row>
    <row r="203" spans="1:83" x14ac:dyDescent="0.25">
      <c r="A203" s="31" t="s">
        <v>59</v>
      </c>
      <c r="B203" s="30" t="s">
        <v>458</v>
      </c>
      <c r="C203" s="30" t="s">
        <v>210</v>
      </c>
      <c r="D203" s="35"/>
      <c r="E203" s="35"/>
      <c r="F203" s="35"/>
      <c r="G203" s="35"/>
      <c r="H203" s="35"/>
      <c r="I203" s="35"/>
      <c r="J203" s="35"/>
      <c r="K203" s="35"/>
      <c r="BW203" s="17"/>
      <c r="BX203" s="17" t="str">
        <v>SUNRAJA GULAS (JAGGERY POWDER) 500g PET BOX -OFFER</v>
      </c>
      <c r="BY203" s="17" t="str">
        <v>GULAS 500 G PET</v>
      </c>
      <c r="BZ203" s="17"/>
      <c r="CA203" s="17"/>
      <c r="CB203" s="17"/>
      <c r="CC203" s="17"/>
      <c r="CD203" s="17"/>
      <c r="CE203" s="17"/>
    </row>
    <row r="204" spans="1:83" x14ac:dyDescent="0.25">
      <c r="A204" s="31" t="s">
        <v>446</v>
      </c>
      <c r="B204" s="30" t="s">
        <v>458</v>
      </c>
      <c r="C204" s="30" t="s">
        <v>210</v>
      </c>
      <c r="D204" s="35"/>
      <c r="E204" s="35"/>
      <c r="F204" s="35"/>
      <c r="G204" s="35"/>
      <c r="H204" s="35"/>
      <c r="I204" s="35"/>
      <c r="J204" s="35"/>
      <c r="K204" s="35"/>
      <c r="BW204" s="17"/>
      <c r="BX204" s="17" t="str">
        <v>SUNRAJA GULAS (JAGGERY POWDER) Rs 5 /- PACK</v>
      </c>
      <c r="BY204" s="17" t="str">
        <v>GULAS RS.5 LUP</v>
      </c>
      <c r="BZ204" s="17"/>
      <c r="CA204" s="17"/>
      <c r="CB204" s="17"/>
      <c r="CC204" s="17"/>
      <c r="CD204" s="17"/>
      <c r="CE204" s="17"/>
    </row>
    <row r="205" spans="1:83" x14ac:dyDescent="0.25">
      <c r="A205" s="31" t="s">
        <v>546</v>
      </c>
      <c r="B205" s="30" t="s">
        <v>458</v>
      </c>
      <c r="C205" s="30" t="s">
        <v>210</v>
      </c>
      <c r="D205" s="35"/>
      <c r="E205" s="35"/>
      <c r="F205" s="35"/>
      <c r="G205" s="35"/>
      <c r="H205" s="35"/>
      <c r="I205" s="35"/>
      <c r="J205" s="35"/>
      <c r="K205" s="35"/>
      <c r="BW205" s="17"/>
      <c r="BX205" s="17" t="str">
        <v>SUNRAJA GULAS (JAGGERY POWDER) Rs 5 /- PACK BOX</v>
      </c>
      <c r="BY205" s="17" t="str">
        <v>GULAS RS.5 LUP</v>
      </c>
      <c r="BZ205" s="17"/>
      <c r="CA205" s="17"/>
      <c r="CB205" s="17"/>
      <c r="CC205" s="17"/>
      <c r="CD205" s="17"/>
      <c r="CE205" s="17"/>
    </row>
    <row r="206" spans="1:83" x14ac:dyDescent="0.25">
      <c r="A206" s="31" t="s">
        <v>60</v>
      </c>
      <c r="B206" s="30" t="s">
        <v>458</v>
      </c>
      <c r="C206" s="30" t="s">
        <v>210</v>
      </c>
      <c r="D206" s="35"/>
      <c r="E206" s="35"/>
      <c r="F206" s="35"/>
      <c r="G206" s="35"/>
      <c r="H206" s="35"/>
      <c r="I206" s="35"/>
      <c r="J206" s="35"/>
      <c r="K206" s="35"/>
      <c r="BW206" s="17"/>
      <c r="BX206" s="17" t="str">
        <v>DAILY KOZHUKATTAI FLOUR 500g POUCH - 30Kg BAG</v>
      </c>
      <c r="BY206" s="17" t="str">
        <v>DAILY KOZHUKATTAI 500 G</v>
      </c>
      <c r="BZ206" s="17"/>
      <c r="CA206" s="17"/>
      <c r="CB206" s="17"/>
      <c r="CC206" s="17"/>
      <c r="CD206" s="17"/>
      <c r="CE206" s="17"/>
    </row>
    <row r="207" spans="1:83" x14ac:dyDescent="0.25">
      <c r="A207" s="31" t="s">
        <v>477</v>
      </c>
      <c r="B207" s="30" t="s">
        <v>458</v>
      </c>
      <c r="C207" s="30" t="s">
        <v>210</v>
      </c>
      <c r="D207" s="35"/>
      <c r="E207" s="35"/>
      <c r="F207" s="35"/>
      <c r="G207" s="35"/>
      <c r="H207" s="35"/>
      <c r="I207" s="35"/>
      <c r="J207" s="35"/>
      <c r="K207" s="35"/>
      <c r="BW207" s="17"/>
      <c r="BX207" s="17" t="str">
        <v>DAILY KOZHUKATTAI FLOUR 500g POUCH BAG</v>
      </c>
      <c r="BY207" s="17" t="str">
        <v>DAILY KOZHUKATTAI 500 G</v>
      </c>
      <c r="BZ207" s="17"/>
      <c r="CA207" s="17"/>
      <c r="CB207" s="17"/>
      <c r="CC207" s="17"/>
      <c r="CD207" s="17"/>
      <c r="CE207" s="17"/>
    </row>
    <row r="208" spans="1:83" x14ac:dyDescent="0.25">
      <c r="A208" s="31" t="s">
        <v>63</v>
      </c>
      <c r="B208" s="30" t="s">
        <v>458</v>
      </c>
      <c r="C208" s="30" t="s">
        <v>210</v>
      </c>
      <c r="D208" s="35"/>
      <c r="E208" s="35"/>
      <c r="F208" s="35"/>
      <c r="G208" s="35"/>
      <c r="H208" s="35"/>
      <c r="I208" s="35"/>
      <c r="J208" s="35"/>
      <c r="K208" s="35"/>
      <c r="BW208" s="17"/>
      <c r="BX208" s="17" t="str">
        <v>DAILY KOZHUKATTAI FLOUR 500g POUCH - 10Kg BAG</v>
      </c>
      <c r="BY208" s="17" t="str">
        <v>DAILY KOZHUKATTAI 500 G 10 KG</v>
      </c>
      <c r="BZ208" s="17"/>
      <c r="CA208" s="17"/>
      <c r="CB208" s="17"/>
      <c r="CC208" s="17"/>
      <c r="CD208" s="17"/>
      <c r="CE208" s="17"/>
    </row>
    <row r="209" spans="1:83" x14ac:dyDescent="0.25">
      <c r="A209" s="31" t="s">
        <v>259</v>
      </c>
      <c r="B209" s="30" t="s">
        <v>458</v>
      </c>
      <c r="C209" s="30" t="s">
        <v>210</v>
      </c>
      <c r="D209" s="35"/>
      <c r="E209" s="35"/>
      <c r="F209" s="35"/>
      <c r="G209" s="35"/>
      <c r="H209" s="35"/>
      <c r="I209" s="35"/>
      <c r="J209" s="35"/>
      <c r="K209" s="35"/>
      <c r="BW209" s="17"/>
      <c r="BX209" s="17" t="str">
        <v>KOZHUKATTAI FLOUR 500g 10kg</v>
      </c>
      <c r="BY209" s="17" t="str">
        <v>DAILY KOZHUKATTAI 500 G 10 KG</v>
      </c>
      <c r="BZ209" s="17"/>
      <c r="CA209" s="17"/>
      <c r="CB209" s="17"/>
      <c r="CC209" s="17"/>
      <c r="CD209" s="17"/>
      <c r="CE209" s="17"/>
    </row>
    <row r="210" spans="1:83" x14ac:dyDescent="0.25">
      <c r="A210" s="31" t="s">
        <v>257</v>
      </c>
      <c r="B210" s="30" t="s">
        <v>410</v>
      </c>
      <c r="C210" s="30" t="s">
        <v>210</v>
      </c>
      <c r="D210" s="35"/>
      <c r="E210" s="35"/>
      <c r="F210" s="35"/>
      <c r="G210" s="35"/>
      <c r="H210" s="35"/>
      <c r="I210" s="35"/>
      <c r="J210" s="35"/>
      <c r="K210" s="35"/>
      <c r="BW210" s="17"/>
      <c r="BX210" s="17" t="str">
        <v>DAILY KOZHUKATTAI FLOUR 500g POUCH FREE</v>
      </c>
      <c r="BY210" s="17" t="str">
        <v>DAILY KOZHUKATTAI 500 G FREE</v>
      </c>
      <c r="BZ210" s="17"/>
      <c r="CA210" s="17"/>
      <c r="CB210" s="17"/>
      <c r="CC210" s="17"/>
      <c r="CD210" s="17"/>
      <c r="CE210" s="17"/>
    </row>
    <row r="211" spans="1:83" x14ac:dyDescent="0.25">
      <c r="A211" s="31" t="s">
        <v>78</v>
      </c>
      <c r="B211" s="30" t="s">
        <v>410</v>
      </c>
      <c r="C211" s="30" t="s">
        <v>210</v>
      </c>
      <c r="D211" s="35"/>
      <c r="E211" s="35"/>
      <c r="F211" s="35"/>
      <c r="G211" s="35"/>
      <c r="H211" s="35"/>
      <c r="I211" s="35"/>
      <c r="J211" s="35"/>
      <c r="K211" s="35"/>
      <c r="BW211" s="17"/>
      <c r="BX211" s="17" t="str">
        <v>KOZHUKATTAI FLOUR 500g free</v>
      </c>
      <c r="BY211" s="17" t="str">
        <v>DAILY KOZHUKATTAI 500 G FREE</v>
      </c>
      <c r="BZ211" s="17"/>
      <c r="CA211" s="17"/>
      <c r="CB211" s="17"/>
      <c r="CC211" s="17"/>
      <c r="CD211" s="17"/>
      <c r="CE211" s="17"/>
    </row>
    <row r="212" spans="1:83" x14ac:dyDescent="0.25">
      <c r="A212" s="31" t="s">
        <v>260</v>
      </c>
      <c r="B212" s="30" t="s">
        <v>410</v>
      </c>
      <c r="C212" s="30" t="s">
        <v>210</v>
      </c>
      <c r="D212" s="35"/>
      <c r="E212" s="35"/>
      <c r="F212" s="35"/>
      <c r="G212" s="35"/>
      <c r="H212" s="35"/>
      <c r="I212" s="35"/>
      <c r="J212" s="35"/>
      <c r="K212" s="35"/>
      <c r="BW212" s="17"/>
      <c r="BX212" s="17" t="str">
        <v>NAKSHATRA POOJA OIL 1 LTR POUCH</v>
      </c>
      <c r="BY212" s="17" t="str">
        <v>LAMP 1 L</v>
      </c>
      <c r="BZ212" s="17"/>
      <c r="CA212" s="17"/>
      <c r="CB212" s="17"/>
      <c r="CC212" s="17"/>
      <c r="CD212" s="17"/>
      <c r="CE212" s="17"/>
    </row>
    <row r="213" spans="1:83" x14ac:dyDescent="0.25">
      <c r="A213" s="31" t="s">
        <v>577</v>
      </c>
      <c r="B213" s="30" t="s">
        <v>410</v>
      </c>
      <c r="C213" s="30" t="s">
        <v>210</v>
      </c>
      <c r="D213" s="35"/>
      <c r="E213" s="35"/>
      <c r="F213" s="35"/>
      <c r="G213" s="35"/>
      <c r="H213" s="35"/>
      <c r="I213" s="35"/>
      <c r="J213" s="35"/>
      <c r="K213" s="35"/>
      <c r="BW213" s="17"/>
      <c r="BX213" s="17" t="str">
        <v>NAKSHATRA POOJA OIL 1 LTR POUCH BOX</v>
      </c>
      <c r="BY213" s="17" t="str">
        <v>LAMP 1 L</v>
      </c>
      <c r="BZ213" s="17"/>
      <c r="CA213" s="17"/>
      <c r="CB213" s="17"/>
      <c r="CC213" s="17"/>
      <c r="CD213" s="17"/>
      <c r="CE213" s="17"/>
    </row>
    <row r="214" spans="1:83" x14ac:dyDescent="0.25">
      <c r="A214" s="31" t="s">
        <v>275</v>
      </c>
      <c r="B214" s="30" t="s">
        <v>410</v>
      </c>
      <c r="C214" s="30" t="s">
        <v>210</v>
      </c>
      <c r="D214" s="35"/>
      <c r="E214" s="35"/>
      <c r="F214" s="35"/>
      <c r="G214" s="35"/>
      <c r="H214" s="35"/>
      <c r="I214" s="35"/>
      <c r="J214" s="35"/>
      <c r="K214" s="35"/>
      <c r="BW214" s="17"/>
      <c r="BX214" s="17" t="str">
        <v>NAKSHATRA POOJA OIL 1 LTR POUCH BOX (200ml OFF)</v>
      </c>
      <c r="BY214" s="17" t="str">
        <v>LAMP 1 L</v>
      </c>
      <c r="BZ214" s="17"/>
      <c r="CA214" s="17"/>
      <c r="CB214" s="17"/>
      <c r="CC214" s="17"/>
      <c r="CD214" s="17"/>
      <c r="CE214" s="17"/>
    </row>
    <row r="215" spans="1:83" x14ac:dyDescent="0.25">
      <c r="A215" s="31" t="s">
        <v>268</v>
      </c>
      <c r="B215" s="30" t="s">
        <v>410</v>
      </c>
      <c r="C215" s="30" t="s">
        <v>210</v>
      </c>
      <c r="D215" s="35"/>
      <c r="E215" s="35"/>
      <c r="F215" s="35"/>
      <c r="G215" s="35"/>
      <c r="H215" s="35"/>
      <c r="I215" s="35"/>
      <c r="J215" s="35"/>
      <c r="K215" s="35"/>
      <c r="BW215" s="17"/>
      <c r="BX215" s="17" t="str">
        <v>NAKSHATRA POOJA OIL 1LTR POUCH</v>
      </c>
      <c r="BY215" s="17" t="str">
        <v>LAMP 1 L</v>
      </c>
      <c r="BZ215" s="17"/>
      <c r="CA215" s="17"/>
      <c r="CB215" s="17"/>
      <c r="CC215" s="17"/>
      <c r="CD215" s="17"/>
      <c r="CE215" s="17"/>
    </row>
    <row r="216" spans="1:83" x14ac:dyDescent="0.25">
      <c r="A216" s="31" t="s">
        <v>267</v>
      </c>
      <c r="B216" s="30" t="s">
        <v>410</v>
      </c>
      <c r="C216" s="30" t="s">
        <v>210</v>
      </c>
      <c r="D216" s="35"/>
      <c r="E216" s="35"/>
      <c r="F216" s="35"/>
      <c r="G216" s="35"/>
      <c r="H216" s="35"/>
      <c r="I216" s="35"/>
      <c r="J216" s="35"/>
      <c r="K216" s="35"/>
      <c r="BW216" s="17"/>
      <c r="BX216" s="17" t="str">
        <v>NAKSHATRA POOJA OIL 1 LTR PET</v>
      </c>
      <c r="BY216" s="17" t="str">
        <v>LAMP 1 L PET</v>
      </c>
      <c r="BZ216" s="17"/>
      <c r="CA216" s="17"/>
      <c r="CB216" s="17"/>
      <c r="CC216" s="17"/>
      <c r="CD216" s="17"/>
      <c r="CE216" s="17"/>
    </row>
    <row r="217" spans="1:83" x14ac:dyDescent="0.25">
      <c r="A217" s="31" t="s">
        <v>269</v>
      </c>
      <c r="B217" s="30" t="s">
        <v>411</v>
      </c>
      <c r="C217" s="30" t="s">
        <v>210</v>
      </c>
      <c r="D217" s="35"/>
      <c r="E217" s="35"/>
      <c r="F217" s="35"/>
      <c r="G217" s="35"/>
      <c r="H217" s="35"/>
      <c r="I217" s="35"/>
      <c r="J217" s="35"/>
      <c r="K217" s="35"/>
      <c r="BW217" s="17"/>
      <c r="BX217" s="17" t="str">
        <v>NAKSHATRA POOJA OIL 1 LTR PET (FREE)</v>
      </c>
      <c r="BY217" s="17" t="str">
        <v>LAMP 1 L PET</v>
      </c>
      <c r="BZ217" s="17"/>
      <c r="CA217" s="17"/>
      <c r="CB217" s="17"/>
      <c r="CC217" s="17"/>
      <c r="CD217" s="17"/>
      <c r="CE217" s="17"/>
    </row>
    <row r="218" spans="1:83" x14ac:dyDescent="0.25">
      <c r="A218" s="31" t="s">
        <v>79</v>
      </c>
      <c r="B218" s="30" t="s">
        <v>411</v>
      </c>
      <c r="C218" s="30" t="s">
        <v>210</v>
      </c>
      <c r="D218" s="35"/>
      <c r="E218" s="35"/>
      <c r="F218" s="35"/>
      <c r="G218" s="35"/>
      <c r="H218" s="35"/>
      <c r="I218" s="35"/>
      <c r="J218" s="35"/>
      <c r="K218" s="35"/>
      <c r="BW218" s="17"/>
      <c r="BX218" s="17" t="str">
        <v>NAKSHATRA POOJA OIL 1 LTR PET BOX</v>
      </c>
      <c r="BY218" s="17" t="str">
        <v>LAMP 1 L PET</v>
      </c>
      <c r="BZ218" s="17"/>
      <c r="CA218" s="17"/>
      <c r="CB218" s="17"/>
      <c r="CC218" s="17"/>
      <c r="CD218" s="17"/>
      <c r="CE218" s="17"/>
    </row>
    <row r="219" spans="1:83" x14ac:dyDescent="0.25">
      <c r="A219" s="30" t="s">
        <v>478</v>
      </c>
      <c r="B219" s="30" t="s">
        <v>411</v>
      </c>
      <c r="C219" s="30" t="s">
        <v>210</v>
      </c>
      <c r="D219" s="35"/>
      <c r="E219" s="35"/>
      <c r="F219" s="35"/>
      <c r="G219" s="35"/>
      <c r="H219" s="35"/>
      <c r="I219" s="35"/>
      <c r="J219" s="35"/>
      <c r="K219" s="35"/>
      <c r="BW219" s="17"/>
      <c r="BX219" s="17" t="str">
        <v>NAKSHATRA POOJA OIL 1 LTR PET BOX (AGARBATHI)</v>
      </c>
      <c r="BY219" s="17" t="str">
        <v>LAMP 1 L PET</v>
      </c>
      <c r="BZ219" s="17"/>
      <c r="CA219" s="17"/>
      <c r="CB219" s="17"/>
      <c r="CC219" s="17"/>
      <c r="CD219" s="17"/>
      <c r="CE219" s="17"/>
    </row>
    <row r="220" spans="1:83" x14ac:dyDescent="0.25">
      <c r="A220" s="31" t="s">
        <v>80</v>
      </c>
      <c r="B220" s="30" t="s">
        <v>411</v>
      </c>
      <c r="C220" s="30" t="s">
        <v>210</v>
      </c>
      <c r="D220" s="35"/>
      <c r="E220" s="35"/>
      <c r="F220" s="35"/>
      <c r="G220" s="35"/>
      <c r="H220" s="35"/>
      <c r="I220" s="35"/>
      <c r="J220" s="35"/>
      <c r="K220" s="35"/>
      <c r="BW220" s="17"/>
      <c r="BX220" s="17" t="str">
        <v>NAKSHATRA POOJA OIL 1 LTR PET BOX (AGARBATHI) FREE</v>
      </c>
      <c r="BY220" s="17" t="str">
        <v>LAMP 1 L PET</v>
      </c>
      <c r="BZ220" s="17"/>
      <c r="CA220" s="17"/>
      <c r="CB220" s="17"/>
      <c r="CC220" s="17"/>
      <c r="CD220" s="17"/>
      <c r="CE220" s="17"/>
    </row>
    <row r="221" spans="1:83" x14ac:dyDescent="0.25">
      <c r="A221" s="31" t="s">
        <v>586</v>
      </c>
      <c r="B221" s="30" t="s">
        <v>411</v>
      </c>
      <c r="C221" s="30" t="s">
        <v>210</v>
      </c>
      <c r="D221" s="35"/>
      <c r="E221" s="35"/>
      <c r="F221" s="35"/>
      <c r="G221" s="35"/>
      <c r="H221" s="35"/>
      <c r="I221" s="35"/>
      <c r="J221" s="35"/>
      <c r="K221" s="35"/>
      <c r="BW221" s="17"/>
      <c r="BX221" s="17" t="str">
        <v>NAKSHATRA POOJA OIL 1 LTR PET BOX (AMMAN)</v>
      </c>
      <c r="BY221" s="17" t="str">
        <v>LAMP 1 L PET</v>
      </c>
      <c r="BZ221" s="17"/>
      <c r="CA221" s="17"/>
      <c r="CB221" s="17"/>
      <c r="CC221" s="17"/>
      <c r="CD221" s="17"/>
      <c r="CE221" s="17"/>
    </row>
    <row r="222" spans="1:83" x14ac:dyDescent="0.25">
      <c r="A222" s="31" t="s">
        <v>447</v>
      </c>
      <c r="B222" s="30" t="s">
        <v>654</v>
      </c>
      <c r="C222" s="30" t="s">
        <v>210</v>
      </c>
      <c r="D222" s="35"/>
      <c r="E222" s="35"/>
      <c r="F222" s="35"/>
      <c r="G222" s="35"/>
      <c r="H222" s="35"/>
      <c r="I222" s="35"/>
      <c r="J222" s="35"/>
      <c r="K222" s="35"/>
      <c r="BW222" s="17"/>
      <c r="BX222" s="17" t="str">
        <v>NAKSHATRA POOJA OIL 1 LTR PET BOX (FREE)</v>
      </c>
      <c r="BY222" s="17" t="str">
        <v>LAMP 1 L PET</v>
      </c>
      <c r="BZ222" s="17"/>
      <c r="CA222" s="17"/>
      <c r="CB222" s="17"/>
      <c r="CC222" s="17"/>
      <c r="CD222" s="17"/>
      <c r="CE222" s="17"/>
    </row>
    <row r="223" spans="1:83" x14ac:dyDescent="0.25">
      <c r="A223" s="31" t="s">
        <v>472</v>
      </c>
      <c r="B223" s="30" t="s">
        <v>654</v>
      </c>
      <c r="C223" s="30" t="s">
        <v>210</v>
      </c>
      <c r="D223" s="35"/>
      <c r="E223" s="35"/>
      <c r="F223" s="35"/>
      <c r="G223" s="35"/>
      <c r="H223" s="35"/>
      <c r="I223" s="35"/>
      <c r="J223" s="35"/>
      <c r="K223" s="35"/>
      <c r="BW223" s="17"/>
      <c r="BX223" s="17" t="str">
        <v>NAKSHATRA POOJA OIL 1 LTR PET BOX (GANESHA)</v>
      </c>
      <c r="BY223" s="17" t="str">
        <v>LAMP 1 L PET</v>
      </c>
      <c r="BZ223" s="17"/>
      <c r="CA223" s="17"/>
      <c r="CB223" s="17"/>
      <c r="CC223" s="17"/>
      <c r="CD223" s="17"/>
      <c r="CE223" s="17"/>
    </row>
    <row r="224" spans="1:83" x14ac:dyDescent="0.25">
      <c r="A224" s="31" t="s">
        <v>582</v>
      </c>
      <c r="B224" s="30" t="s">
        <v>654</v>
      </c>
      <c r="C224" s="30" t="s">
        <v>210</v>
      </c>
      <c r="D224" s="35"/>
      <c r="E224" s="35"/>
      <c r="F224" s="35"/>
      <c r="G224" s="35"/>
      <c r="H224" s="35"/>
      <c r="I224" s="35"/>
      <c r="J224" s="35"/>
      <c r="K224" s="35"/>
      <c r="BW224" s="17"/>
      <c r="BX224" s="17" t="str">
        <v>NAKSHATRA POOJA OIL 1 LTR PET BOX (HILLS)</v>
      </c>
      <c r="BY224" s="17" t="str">
        <v>LAMP 1 L PET</v>
      </c>
      <c r="BZ224" s="17"/>
      <c r="CA224" s="17"/>
      <c r="CB224" s="17"/>
      <c r="CC224" s="17"/>
      <c r="CD224" s="17"/>
      <c r="CE224" s="17"/>
    </row>
    <row r="225" spans="1:83" x14ac:dyDescent="0.25">
      <c r="A225" s="31" t="s">
        <v>619</v>
      </c>
      <c r="B225" s="30" t="s">
        <v>629</v>
      </c>
      <c r="C225" s="30" t="s">
        <v>210</v>
      </c>
      <c r="D225" s="35"/>
      <c r="E225" s="35"/>
      <c r="F225" s="35"/>
      <c r="G225" s="35"/>
      <c r="H225" s="35"/>
      <c r="I225" s="35"/>
      <c r="J225" s="35"/>
      <c r="K225" s="35"/>
      <c r="BW225" s="17"/>
      <c r="BX225" s="17" t="str">
        <v>NAKSHATRA POOJA OIL 1 LTR PET BOX (MURUGAN)</v>
      </c>
      <c r="BY225" s="17" t="str">
        <v>LAMP 1 L PET</v>
      </c>
      <c r="BZ225" s="17"/>
      <c r="CA225" s="17"/>
      <c r="CB225" s="17"/>
      <c r="CC225" s="17"/>
      <c r="CD225" s="17"/>
      <c r="CE225" s="17"/>
    </row>
    <row r="226" spans="1:83" x14ac:dyDescent="0.25">
      <c r="A226" s="30" t="s">
        <v>495</v>
      </c>
      <c r="B226" s="30" t="s">
        <v>622</v>
      </c>
      <c r="C226" s="30" t="s">
        <v>210</v>
      </c>
      <c r="D226" s="35"/>
      <c r="E226" s="35"/>
      <c r="F226" s="35"/>
      <c r="G226" s="35"/>
      <c r="H226" s="35"/>
      <c r="I226" s="35"/>
      <c r="J226" s="35"/>
      <c r="K226" s="35"/>
      <c r="BW226" s="17"/>
      <c r="BX226" s="17" t="str">
        <v>NAKSHATRA POOJA OIL 1 LTR PET BOX (OFFER)</v>
      </c>
      <c r="BY226" s="17" t="str">
        <v>LAMP 1 L PET</v>
      </c>
      <c r="BZ226" s="17"/>
      <c r="CA226" s="17"/>
      <c r="CB226" s="17"/>
      <c r="CC226" s="17"/>
      <c r="CD226" s="17"/>
      <c r="CE226" s="17"/>
    </row>
    <row r="227" spans="1:83" x14ac:dyDescent="0.25">
      <c r="A227" s="31" t="s">
        <v>592</v>
      </c>
      <c r="B227" s="30" t="s">
        <v>622</v>
      </c>
      <c r="C227" s="30" t="s">
        <v>210</v>
      </c>
      <c r="D227" s="35"/>
      <c r="E227" s="35"/>
      <c r="F227" s="35"/>
      <c r="G227" s="35"/>
      <c r="H227" s="35"/>
      <c r="I227" s="35"/>
      <c r="J227" s="35"/>
      <c r="K227" s="35"/>
      <c r="BW227" s="17"/>
      <c r="BX227" s="17" t="str">
        <v>NAKSHATRA POOJA OIL 1 LTR PET BOX (TEMPLE)</v>
      </c>
      <c r="BY227" s="17" t="str">
        <v>LAMP 1 L PET</v>
      </c>
      <c r="BZ227" s="17"/>
      <c r="CA227" s="17"/>
      <c r="CB227" s="17"/>
      <c r="CC227" s="17"/>
      <c r="CD227" s="17"/>
      <c r="CE227" s="17"/>
    </row>
    <row r="228" spans="1:83" x14ac:dyDescent="0.25">
      <c r="A228" s="31" t="s">
        <v>205</v>
      </c>
      <c r="B228" s="30" t="s">
        <v>391</v>
      </c>
      <c r="C228" s="30" t="s">
        <v>210</v>
      </c>
      <c r="D228" s="35"/>
      <c r="E228" s="35"/>
      <c r="F228" s="35"/>
      <c r="G228" s="35"/>
      <c r="H228" s="35"/>
      <c r="I228" s="35"/>
      <c r="J228" s="35"/>
      <c r="K228" s="35"/>
      <c r="BW228" s="17"/>
      <c r="BX228" s="17" t="str">
        <v>NAKSHATRA POOJA OIL 1 LTR PET BOX OFFER</v>
      </c>
      <c r="BY228" s="17" t="str">
        <v>LAMP 1 L PET</v>
      </c>
      <c r="BZ228" s="17"/>
      <c r="CA228" s="17"/>
      <c r="CB228" s="17"/>
      <c r="CC228" s="17"/>
      <c r="CD228" s="17"/>
      <c r="CE228" s="17"/>
    </row>
    <row r="229" spans="1:83" x14ac:dyDescent="0.25">
      <c r="A229" s="31" t="s">
        <v>206</v>
      </c>
      <c r="B229" s="30" t="s">
        <v>391</v>
      </c>
      <c r="C229" s="30" t="s">
        <v>210</v>
      </c>
      <c r="D229" s="35"/>
      <c r="E229" s="35"/>
      <c r="F229" s="35"/>
      <c r="G229" s="35"/>
      <c r="H229" s="35"/>
      <c r="I229" s="35"/>
      <c r="J229" s="35"/>
      <c r="K229" s="35"/>
      <c r="BW229" s="17"/>
      <c r="BX229" s="17" t="str">
        <v>NAKSHATRA POOJA OIL 1LTR PET</v>
      </c>
      <c r="BY229" s="17" t="str">
        <v>LAMP 1 L PET</v>
      </c>
      <c r="BZ229" s="17"/>
      <c r="CA229" s="17"/>
      <c r="CB229" s="17"/>
      <c r="CC229" s="17"/>
      <c r="CD229" s="17"/>
      <c r="CE229" s="17"/>
    </row>
    <row r="230" spans="1:83" x14ac:dyDescent="0.25">
      <c r="A230" s="31" t="s">
        <v>207</v>
      </c>
      <c r="B230" s="30" t="s">
        <v>391</v>
      </c>
      <c r="C230" s="30" t="s">
        <v>210</v>
      </c>
      <c r="D230" s="35"/>
      <c r="E230" s="35"/>
      <c r="F230" s="35"/>
      <c r="G230" s="35"/>
      <c r="H230" s="35"/>
      <c r="I230" s="35"/>
      <c r="J230" s="35"/>
      <c r="K230" s="35"/>
      <c r="BW230" s="17"/>
      <c r="BX230" s="17" t="str">
        <v>NAKSHATRA POOJA OIL  100 ML BOX</v>
      </c>
      <c r="BY230" s="17" t="str">
        <v>LAMP 100 ML LUP</v>
      </c>
      <c r="BZ230" s="17"/>
      <c r="CA230" s="17"/>
      <c r="CB230" s="17"/>
      <c r="CC230" s="17"/>
      <c r="CD230" s="17"/>
      <c r="CE230" s="17"/>
    </row>
    <row r="231" spans="1:83" x14ac:dyDescent="0.25">
      <c r="A231" s="31" t="s">
        <v>601</v>
      </c>
      <c r="B231" s="30" t="s">
        <v>391</v>
      </c>
      <c r="C231" s="30" t="s">
        <v>210</v>
      </c>
      <c r="D231" s="35"/>
      <c r="E231" s="35"/>
      <c r="F231" s="35"/>
      <c r="G231" s="35"/>
      <c r="H231" s="35"/>
      <c r="I231" s="35"/>
      <c r="J231" s="35"/>
      <c r="K231" s="35"/>
      <c r="BW231" s="17"/>
      <c r="BX231" s="17" t="str">
        <v>NAKSHATRA POOJA OIL  200 ML PET</v>
      </c>
      <c r="BY231" s="17" t="str">
        <v>LAMP 200 ML PET</v>
      </c>
      <c r="BZ231" s="17"/>
      <c r="CA231" s="17"/>
      <c r="CB231" s="17"/>
      <c r="CC231" s="17"/>
      <c r="CD231" s="17"/>
      <c r="CE231" s="17"/>
    </row>
    <row r="232" spans="1:83" x14ac:dyDescent="0.25">
      <c r="A232" s="31" t="s">
        <v>593</v>
      </c>
      <c r="B232" s="30" t="s">
        <v>391</v>
      </c>
      <c r="C232" s="30" t="s">
        <v>210</v>
      </c>
      <c r="D232" s="35"/>
      <c r="E232" s="35"/>
      <c r="F232" s="35"/>
      <c r="G232" s="35"/>
      <c r="H232" s="35"/>
      <c r="I232" s="35"/>
      <c r="J232" s="35"/>
      <c r="K232" s="35"/>
      <c r="BW232" s="17"/>
      <c r="BX232" s="17" t="str">
        <v>NAKSHATRA POOJA OIL  200 ML PET (FREE)</v>
      </c>
      <c r="BY232" s="17" t="str">
        <v>LAMP 200 ML PET</v>
      </c>
      <c r="BZ232" s="17"/>
      <c r="CA232" s="17"/>
      <c r="CB232" s="17"/>
      <c r="CC232" s="17"/>
      <c r="CD232" s="17"/>
      <c r="CE232" s="17"/>
    </row>
    <row r="233" spans="1:83" x14ac:dyDescent="0.25">
      <c r="A233" s="31" t="s">
        <v>202</v>
      </c>
      <c r="B233" s="30" t="s">
        <v>459</v>
      </c>
      <c r="C233" s="30" t="s">
        <v>210</v>
      </c>
      <c r="D233" s="35"/>
      <c r="E233" s="35"/>
      <c r="F233" s="35"/>
      <c r="G233" s="35"/>
      <c r="H233" s="35"/>
      <c r="I233" s="35"/>
      <c r="J233" s="35"/>
      <c r="K233" s="35"/>
      <c r="BW233" s="17"/>
      <c r="BX233" s="17" t="str">
        <v>NAKSHATRA POOJA OIL  200 ML PET BOX</v>
      </c>
      <c r="BY233" s="17" t="str">
        <v>LAMP 200 ML PET</v>
      </c>
      <c r="BZ233" s="17"/>
      <c r="CA233" s="17"/>
      <c r="CB233" s="17"/>
      <c r="CC233" s="17"/>
      <c r="CD233" s="17"/>
      <c r="CE233" s="17"/>
    </row>
    <row r="234" spans="1:83" x14ac:dyDescent="0.25">
      <c r="A234" s="31" t="s">
        <v>203</v>
      </c>
      <c r="B234" s="30" t="s">
        <v>459</v>
      </c>
      <c r="C234" s="30" t="s">
        <v>210</v>
      </c>
      <c r="D234" s="35"/>
      <c r="E234" s="35"/>
      <c r="F234" s="35"/>
      <c r="G234" s="35"/>
      <c r="H234" s="35"/>
      <c r="I234" s="35"/>
      <c r="J234" s="35"/>
      <c r="K234" s="35"/>
      <c r="BW234" s="17"/>
      <c r="BX234" s="17" t="str">
        <v>NAKSHATRA POOJA OIL  200 ML PET BOX (FREE)</v>
      </c>
      <c r="BY234" s="17" t="str">
        <v>LAMP 200 ML PET</v>
      </c>
      <c r="BZ234" s="17"/>
      <c r="CA234" s="17"/>
      <c r="CB234" s="17"/>
      <c r="CC234" s="17"/>
      <c r="CD234" s="17"/>
      <c r="CE234" s="17"/>
    </row>
    <row r="235" spans="1:83" x14ac:dyDescent="0.25">
      <c r="A235" s="31" t="s">
        <v>204</v>
      </c>
      <c r="B235" s="30" t="s">
        <v>459</v>
      </c>
      <c r="C235" s="30" t="s">
        <v>210</v>
      </c>
      <c r="D235" s="35"/>
      <c r="E235" s="35"/>
      <c r="F235" s="35"/>
      <c r="G235" s="35"/>
      <c r="H235" s="35"/>
      <c r="I235" s="35"/>
      <c r="J235" s="35"/>
      <c r="K235" s="35"/>
      <c r="BW235" s="17"/>
      <c r="BX235" s="17" t="str">
        <v>NAKSHATRA POOJA OIL  200 ML PET BOX (TEMPLE)</v>
      </c>
      <c r="BY235" s="17" t="str">
        <v>LAMP 200 ML PET</v>
      </c>
      <c r="BZ235" s="17"/>
      <c r="CA235" s="17"/>
      <c r="CB235" s="17"/>
      <c r="CC235" s="17"/>
      <c r="CD235" s="17"/>
      <c r="CE235" s="17"/>
    </row>
    <row r="236" spans="1:83" x14ac:dyDescent="0.25">
      <c r="A236" s="31" t="s">
        <v>590</v>
      </c>
      <c r="B236" s="30" t="s">
        <v>412</v>
      </c>
      <c r="C236" s="30" t="s">
        <v>210</v>
      </c>
      <c r="D236" s="35"/>
      <c r="E236" s="35"/>
      <c r="F236" s="35"/>
      <c r="G236" s="35"/>
      <c r="H236" s="35"/>
      <c r="I236" s="35"/>
      <c r="J236" s="35"/>
      <c r="K236" s="35"/>
      <c r="BW236" s="17"/>
      <c r="BX236" s="17" t="str">
        <v>NAKSHATRA POOJA OIL 200 ML PET</v>
      </c>
      <c r="BY236" s="17" t="str">
        <v>LAMP 200 ML PET</v>
      </c>
      <c r="BZ236" s="17"/>
      <c r="CA236" s="17"/>
      <c r="CB236" s="17"/>
      <c r="CC236" s="17"/>
      <c r="CD236" s="17"/>
      <c r="CE236" s="17"/>
    </row>
    <row r="237" spans="1:83" x14ac:dyDescent="0.25">
      <c r="A237" s="31" t="s">
        <v>208</v>
      </c>
      <c r="B237" s="30" t="s">
        <v>412</v>
      </c>
      <c r="C237" s="30" t="s">
        <v>210</v>
      </c>
      <c r="D237" s="35"/>
      <c r="E237" s="35"/>
      <c r="F237" s="35"/>
      <c r="G237" s="35"/>
      <c r="H237" s="35"/>
      <c r="I237" s="35"/>
      <c r="J237" s="35"/>
      <c r="K237" s="35"/>
      <c r="BW237" s="17"/>
      <c r="BX237" s="17" t="str">
        <v>NAKSHATRA POOJA OIL 200 ML PET (FREE)</v>
      </c>
      <c r="BY237" s="17" t="str">
        <v>LAMP 200 ML PET</v>
      </c>
      <c r="BZ237" s="17"/>
      <c r="CA237" s="17"/>
      <c r="CB237" s="17"/>
      <c r="CC237" s="17"/>
      <c r="CD237" s="17"/>
      <c r="CE237" s="17"/>
    </row>
    <row r="238" spans="1:83" x14ac:dyDescent="0.25">
      <c r="A238" s="31" t="s">
        <v>610</v>
      </c>
      <c r="B238" s="30" t="s">
        <v>660</v>
      </c>
      <c r="C238" s="30" t="s">
        <v>210</v>
      </c>
      <c r="D238" s="35"/>
      <c r="E238" s="35"/>
      <c r="F238" s="35"/>
      <c r="G238" s="35"/>
      <c r="H238" s="35"/>
      <c r="I238" s="35"/>
      <c r="J238" s="35"/>
      <c r="K238" s="35"/>
      <c r="BW238" s="17"/>
      <c r="BX238" s="17" t="str">
        <v>NAKSHATRA POOJA OIL 200 ML PET BOX</v>
      </c>
      <c r="BY238" s="17" t="str">
        <v>LAMP 200 ML PET</v>
      </c>
      <c r="BZ238" s="17"/>
      <c r="CA238" s="17"/>
      <c r="CB238" s="17"/>
      <c r="CC238" s="17"/>
      <c r="CD238" s="17"/>
      <c r="CE238" s="17"/>
    </row>
    <row r="239" spans="1:83" x14ac:dyDescent="0.25">
      <c r="A239" s="31" t="s">
        <v>606</v>
      </c>
      <c r="B239" s="30" t="s">
        <v>660</v>
      </c>
      <c r="C239" s="30" t="s">
        <v>210</v>
      </c>
      <c r="D239" s="35"/>
      <c r="E239" s="35"/>
      <c r="F239" s="35"/>
      <c r="G239" s="35"/>
      <c r="H239" s="35"/>
      <c r="I239" s="35"/>
      <c r="J239" s="35"/>
      <c r="K239" s="35"/>
      <c r="BW239" s="17"/>
      <c r="BX239" s="17" t="str">
        <v>NAKSHATRA POOJA OIL 200 ML PET BOX (AGARBATHI)</v>
      </c>
      <c r="BY239" s="17" t="str">
        <v>LAMP 200 ML PET</v>
      </c>
      <c r="BZ239" s="17"/>
      <c r="CA239" s="17"/>
      <c r="CB239" s="17"/>
      <c r="CC239" s="17"/>
      <c r="CD239" s="17"/>
      <c r="CE239" s="17"/>
    </row>
    <row r="240" spans="1:83" x14ac:dyDescent="0.25">
      <c r="A240" s="31" t="s">
        <v>612</v>
      </c>
      <c r="B240" s="30" t="s">
        <v>661</v>
      </c>
      <c r="C240" s="30" t="s">
        <v>210</v>
      </c>
      <c r="D240" s="35"/>
      <c r="E240" s="35"/>
      <c r="F240" s="35"/>
      <c r="G240" s="35"/>
      <c r="H240" s="35"/>
      <c r="I240" s="35"/>
      <c r="J240" s="35"/>
      <c r="K240" s="35"/>
      <c r="BW240" s="17"/>
      <c r="BX240" s="17" t="str">
        <v>NAKSHATRA POOJA OIL 200 ML PET BOX (AMMAN)</v>
      </c>
      <c r="BY240" s="17" t="str">
        <v>LAMP 200 ML PET</v>
      </c>
      <c r="BZ240" s="17"/>
      <c r="CA240" s="17"/>
      <c r="CB240" s="17"/>
      <c r="CC240" s="17"/>
      <c r="CD240" s="17"/>
      <c r="CE240" s="17"/>
    </row>
    <row r="241" spans="1:83" x14ac:dyDescent="0.25">
      <c r="A241" s="31" t="s">
        <v>617</v>
      </c>
      <c r="B241" s="30" t="s">
        <v>661</v>
      </c>
      <c r="C241" s="30" t="s">
        <v>210</v>
      </c>
      <c r="D241" s="35"/>
      <c r="E241" s="35"/>
      <c r="F241" s="35"/>
      <c r="G241" s="35"/>
      <c r="H241" s="35"/>
      <c r="I241" s="35"/>
      <c r="J241" s="35"/>
      <c r="K241" s="35"/>
      <c r="BW241" s="17"/>
      <c r="BX241" s="17" t="str">
        <v>NAKSHATRA POOJA OIL 200 ML PET BOX (HILLS)</v>
      </c>
      <c r="BY241" s="17" t="str">
        <v>LAMP 200 ML PET</v>
      </c>
      <c r="BZ241" s="17"/>
      <c r="CA241" s="17"/>
      <c r="CB241" s="17"/>
      <c r="CC241" s="17"/>
      <c r="CD241" s="17"/>
      <c r="CE241" s="17"/>
    </row>
    <row r="242" spans="1:83" x14ac:dyDescent="0.25">
      <c r="A242" s="31" t="s">
        <v>607</v>
      </c>
      <c r="B242" s="30" t="s">
        <v>662</v>
      </c>
      <c r="C242" s="30" t="s">
        <v>210</v>
      </c>
      <c r="D242" s="35"/>
      <c r="E242" s="35"/>
      <c r="F242" s="35"/>
      <c r="G242" s="35"/>
      <c r="H242" s="35"/>
      <c r="I242" s="35"/>
      <c r="J242" s="35"/>
      <c r="K242" s="35"/>
      <c r="BW242" s="17"/>
      <c r="BX242" s="17" t="str">
        <v>NAKSHATRA POOJA OIL 200 ML PET BOX (MURUGAN)</v>
      </c>
      <c r="BY242" s="17" t="str">
        <v>LAMP 200 ML PET</v>
      </c>
      <c r="BZ242" s="17"/>
      <c r="CA242" s="17"/>
      <c r="CB242" s="17"/>
      <c r="CC242" s="17"/>
      <c r="CD242" s="17"/>
      <c r="CE242" s="17"/>
    </row>
    <row r="243" spans="1:83" x14ac:dyDescent="0.25">
      <c r="A243" s="31" t="s">
        <v>618</v>
      </c>
      <c r="B243" s="30" t="s">
        <v>662</v>
      </c>
      <c r="C243" s="30" t="s">
        <v>210</v>
      </c>
      <c r="D243" s="35"/>
      <c r="E243" s="35"/>
      <c r="F243" s="35"/>
      <c r="G243" s="35"/>
      <c r="H243" s="35"/>
      <c r="I243" s="35"/>
      <c r="J243" s="35"/>
      <c r="K243" s="35"/>
      <c r="BW243" s="17"/>
      <c r="BX243" s="17" t="str">
        <v>NAKSHATRA POOJA OIL 200 ML PET BOX (TEMPLE)</v>
      </c>
      <c r="BY243" s="17" t="str">
        <v>LAMP 200 ML PET</v>
      </c>
      <c r="BZ243" s="17"/>
      <c r="CA243" s="17"/>
      <c r="CB243" s="17"/>
      <c r="CC243" s="17"/>
      <c r="CD243" s="17"/>
      <c r="CE243" s="17"/>
    </row>
    <row r="244" spans="1:83" x14ac:dyDescent="0.25">
      <c r="A244" s="31" t="s">
        <v>295</v>
      </c>
      <c r="B244" s="30" t="s">
        <v>373</v>
      </c>
      <c r="C244" s="30" t="s">
        <v>210</v>
      </c>
      <c r="D244" s="35"/>
      <c r="E244" s="35"/>
      <c r="F244" s="35"/>
      <c r="G244" s="35"/>
      <c r="H244" s="35"/>
      <c r="I244" s="35"/>
      <c r="J244" s="35"/>
      <c r="K244" s="35"/>
      <c r="BW244" s="17"/>
      <c r="BX244" s="17" t="str">
        <v>NAKSHATRA POOJA OIL 200 ML PET BOX -OFFER</v>
      </c>
      <c r="BY244" s="17" t="str">
        <v>LAMP 200 ML PET</v>
      </c>
      <c r="BZ244" s="17"/>
      <c r="CA244" s="17"/>
      <c r="CB244" s="17"/>
      <c r="CC244" s="17"/>
      <c r="CD244" s="17"/>
      <c r="CE244" s="17"/>
    </row>
    <row r="245" spans="1:83" x14ac:dyDescent="0.25">
      <c r="A245" s="31" t="s">
        <v>106</v>
      </c>
      <c r="B245" s="30" t="s">
        <v>373</v>
      </c>
      <c r="C245" s="30" t="s">
        <v>210</v>
      </c>
      <c r="D245" s="35"/>
      <c r="E245" s="35"/>
      <c r="F245" s="35"/>
      <c r="G245" s="35"/>
      <c r="H245" s="35"/>
      <c r="I245" s="35"/>
      <c r="J245" s="35"/>
      <c r="K245" s="35"/>
      <c r="BW245" s="17"/>
      <c r="BX245" s="17" t="str">
        <v>NAKSHATRA POOJA OIL 200ML PET</v>
      </c>
      <c r="BY245" s="17" t="str">
        <v>LAMP 200 ML PET</v>
      </c>
      <c r="BZ245" s="17"/>
      <c r="CA245" s="17"/>
      <c r="CB245" s="17"/>
      <c r="CC245" s="17"/>
      <c r="CD245" s="17"/>
      <c r="CE245" s="17"/>
    </row>
    <row r="246" spans="1:83" x14ac:dyDescent="0.25">
      <c r="A246" s="31" t="s">
        <v>107</v>
      </c>
      <c r="B246" s="30" t="s">
        <v>373</v>
      </c>
      <c r="C246" s="30" t="s">
        <v>210</v>
      </c>
      <c r="D246" s="35"/>
      <c r="E246" s="35"/>
      <c r="F246" s="35"/>
      <c r="G246" s="35"/>
      <c r="H246" s="35"/>
      <c r="I246" s="35"/>
      <c r="J246" s="35"/>
      <c r="K246" s="35"/>
      <c r="BW246" s="17"/>
      <c r="BX246" s="17" t="str">
        <v>NAKSHATRA POOJA OIL  50 ML BOX (FREE)</v>
      </c>
      <c r="BY246" s="17" t="str">
        <v>LAMP 50 ML LUP</v>
      </c>
      <c r="BZ246" s="17"/>
      <c r="CA246" s="17"/>
      <c r="CB246" s="17"/>
      <c r="CC246" s="17"/>
      <c r="CD246" s="17"/>
      <c r="CE246" s="17"/>
    </row>
    <row r="247" spans="1:83" x14ac:dyDescent="0.25">
      <c r="A247" s="31" t="s">
        <v>228</v>
      </c>
      <c r="B247" s="30" t="s">
        <v>373</v>
      </c>
      <c r="C247" s="30" t="s">
        <v>210</v>
      </c>
      <c r="D247" s="35"/>
      <c r="E247" s="35"/>
      <c r="F247" s="35"/>
      <c r="G247" s="35"/>
      <c r="H247" s="35"/>
      <c r="I247" s="35"/>
      <c r="J247" s="35"/>
      <c r="K247" s="35"/>
      <c r="BW247" s="17"/>
      <c r="BX247" s="17" t="str">
        <v>NAKSHATRA POOJA OIL 50 ML BOX</v>
      </c>
      <c r="BY247" s="17" t="str">
        <v>LAMP 50 ML LUP</v>
      </c>
      <c r="BZ247" s="17"/>
      <c r="CA247" s="17"/>
      <c r="CB247" s="17"/>
      <c r="CC247" s="17"/>
      <c r="CD247" s="17"/>
      <c r="CE247" s="17"/>
    </row>
    <row r="248" spans="1:83" x14ac:dyDescent="0.25">
      <c r="A248" s="31" t="s">
        <v>293</v>
      </c>
      <c r="B248" s="30" t="s">
        <v>460</v>
      </c>
      <c r="C248" s="30" t="s">
        <v>210</v>
      </c>
      <c r="D248" s="35"/>
      <c r="E248" s="35"/>
      <c r="F248" s="35"/>
      <c r="G248" s="35"/>
      <c r="H248" s="35"/>
      <c r="I248" s="35"/>
      <c r="J248" s="35"/>
      <c r="K248" s="35"/>
      <c r="BW248" s="17"/>
      <c r="BX248" s="17" t="str">
        <v>NAKSHATRA POOJA OIL 1/2 LTR POUCH</v>
      </c>
      <c r="BY248" s="17" t="str">
        <v>LAMP 500 ML</v>
      </c>
      <c r="BZ248" s="17"/>
      <c r="CA248" s="17"/>
      <c r="CB248" s="17"/>
      <c r="CC248" s="17"/>
      <c r="CD248" s="17"/>
      <c r="CE248" s="17"/>
    </row>
    <row r="249" spans="1:83" x14ac:dyDescent="0.25">
      <c r="A249" s="31" t="s">
        <v>105</v>
      </c>
      <c r="B249" s="30" t="s">
        <v>460</v>
      </c>
      <c r="C249" s="30" t="s">
        <v>210</v>
      </c>
      <c r="D249" s="35"/>
      <c r="E249" s="35"/>
      <c r="F249" s="35"/>
      <c r="G249" s="35"/>
      <c r="H249" s="35"/>
      <c r="I249" s="35"/>
      <c r="J249" s="35"/>
      <c r="K249" s="35"/>
      <c r="BW249" s="17"/>
      <c r="BX249" s="17" t="str">
        <v>NAKSHATRA POOJA OIL 1/2 LTR POUCH BOX</v>
      </c>
      <c r="BY249" s="17" t="str">
        <v>LAMP 500 ML</v>
      </c>
      <c r="BZ249" s="17"/>
      <c r="CA249" s="17"/>
      <c r="CB249" s="17"/>
      <c r="CC249" s="17"/>
      <c r="CD249" s="17"/>
      <c r="CE249" s="17"/>
    </row>
    <row r="250" spans="1:83" x14ac:dyDescent="0.25">
      <c r="A250" s="31" t="s">
        <v>99</v>
      </c>
      <c r="B250" s="30" t="s">
        <v>460</v>
      </c>
      <c r="C250" s="30" t="s">
        <v>210</v>
      </c>
      <c r="D250" s="35"/>
      <c r="E250" s="35"/>
      <c r="F250" s="35"/>
      <c r="G250" s="35"/>
      <c r="H250" s="35"/>
      <c r="I250" s="35"/>
      <c r="J250" s="35"/>
      <c r="K250" s="35"/>
      <c r="BW250" s="17"/>
      <c r="BX250" s="17" t="str">
        <v>NAKSHATRA POOJA OIL 1/2 LTR POUCH BOX (200ml OFF)</v>
      </c>
      <c r="BY250" s="17" t="str">
        <v>LAMP 500 ML</v>
      </c>
      <c r="BZ250" s="17"/>
      <c r="CA250" s="17"/>
      <c r="CB250" s="17"/>
      <c r="CC250" s="17"/>
      <c r="CD250" s="17"/>
      <c r="CE250" s="17"/>
    </row>
    <row r="251" spans="1:83" x14ac:dyDescent="0.25">
      <c r="A251" s="31" t="s">
        <v>100</v>
      </c>
      <c r="B251" s="30" t="s">
        <v>460</v>
      </c>
      <c r="C251" s="30" t="s">
        <v>210</v>
      </c>
      <c r="D251" s="35"/>
      <c r="E251" s="35"/>
      <c r="F251" s="35"/>
      <c r="G251" s="35"/>
      <c r="H251" s="35"/>
      <c r="I251" s="35"/>
      <c r="J251" s="35"/>
      <c r="K251" s="35"/>
      <c r="BW251" s="17"/>
      <c r="BX251" s="17" t="str">
        <v>NAKSHATRA POOJA OIL  1/2 LTR PET (FREE)</v>
      </c>
      <c r="BY251" s="17" t="str">
        <v>LAMP 500 ML PET</v>
      </c>
      <c r="BZ251" s="17"/>
      <c r="CA251" s="17"/>
      <c r="CB251" s="17"/>
      <c r="CC251" s="17"/>
      <c r="CD251" s="17"/>
      <c r="CE251" s="17"/>
    </row>
    <row r="252" spans="1:83" x14ac:dyDescent="0.25">
      <c r="A252" s="31" t="s">
        <v>571</v>
      </c>
      <c r="B252" s="30" t="s">
        <v>460</v>
      </c>
      <c r="C252" s="30" t="s">
        <v>210</v>
      </c>
      <c r="D252" s="35"/>
      <c r="E252" s="35"/>
      <c r="F252" s="35"/>
      <c r="G252" s="35"/>
      <c r="H252" s="35"/>
      <c r="I252" s="35"/>
      <c r="J252" s="35"/>
      <c r="K252" s="35"/>
      <c r="BW252" s="17"/>
      <c r="BX252" s="17" t="str">
        <v>NAKSHATRA POOJA OIL  1/2 LTR PET BOX</v>
      </c>
      <c r="BY252" s="17" t="str">
        <v>LAMP 500 ML PET</v>
      </c>
      <c r="BZ252" s="17"/>
      <c r="CA252" s="17"/>
      <c r="CB252" s="17"/>
      <c r="CC252" s="17"/>
      <c r="CD252" s="17"/>
      <c r="CE252" s="17"/>
    </row>
    <row r="253" spans="1:83" x14ac:dyDescent="0.25">
      <c r="A253" s="31" t="s">
        <v>101</v>
      </c>
      <c r="B253" s="30" t="s">
        <v>460</v>
      </c>
      <c r="C253" s="30" t="s">
        <v>210</v>
      </c>
      <c r="D253" s="35"/>
      <c r="E253" s="35"/>
      <c r="F253" s="35"/>
      <c r="G253" s="35"/>
      <c r="H253" s="35"/>
      <c r="I253" s="35"/>
      <c r="J253" s="35"/>
      <c r="K253" s="35"/>
      <c r="BW253" s="17"/>
      <c r="BX253" s="17" t="str">
        <v>NAKSHATRA POOJA OIL  1/2 LTR PET BOX - EXPORT</v>
      </c>
      <c r="BY253" s="17" t="str">
        <v>LAMP 500 ML PET</v>
      </c>
      <c r="BZ253" s="17"/>
      <c r="CA253" s="17"/>
      <c r="CB253" s="17"/>
      <c r="CC253" s="17"/>
      <c r="CD253" s="17"/>
      <c r="CE253" s="17"/>
    </row>
    <row r="254" spans="1:83" x14ac:dyDescent="0.25">
      <c r="A254" s="31" t="s">
        <v>290</v>
      </c>
      <c r="B254" s="30" t="s">
        <v>460</v>
      </c>
      <c r="C254" s="30" t="s">
        <v>210</v>
      </c>
      <c r="D254" s="35"/>
      <c r="E254" s="35"/>
      <c r="F254" s="35"/>
      <c r="G254" s="35"/>
      <c r="H254" s="35"/>
      <c r="I254" s="35"/>
      <c r="J254" s="35"/>
      <c r="K254" s="35"/>
      <c r="BW254" s="17"/>
      <c r="BX254" s="17" t="str">
        <v>NAKSHATRA POOJA OIL  1/2 LTR PET BOX (FREE)</v>
      </c>
      <c r="BY254" s="17" t="str">
        <v>LAMP 500 ML PET</v>
      </c>
      <c r="BZ254" s="17"/>
      <c r="CA254" s="17"/>
      <c r="CB254" s="17"/>
      <c r="CC254" s="17"/>
      <c r="CD254" s="17"/>
      <c r="CE254" s="17"/>
    </row>
    <row r="255" spans="1:83" x14ac:dyDescent="0.25">
      <c r="A255" s="31" t="s">
        <v>621</v>
      </c>
      <c r="B255" s="30" t="s">
        <v>460</v>
      </c>
      <c r="C255" s="30" t="s">
        <v>210</v>
      </c>
      <c r="D255" s="35"/>
      <c r="E255" s="35"/>
      <c r="F255" s="35"/>
      <c r="G255" s="35"/>
      <c r="H255" s="35"/>
      <c r="I255" s="35"/>
      <c r="J255" s="35"/>
      <c r="K255" s="35"/>
      <c r="BW255" s="17"/>
      <c r="BX255" s="17" t="str">
        <v>NAKSHATRA POOJA OIL 1/2 LTR PET</v>
      </c>
      <c r="BY255" s="17" t="str">
        <v>LAMP 500 ML PET</v>
      </c>
      <c r="BZ255" s="17"/>
      <c r="CA255" s="17"/>
      <c r="CB255" s="17"/>
      <c r="CC255" s="17"/>
      <c r="CD255" s="17"/>
      <c r="CE255" s="17"/>
    </row>
    <row r="256" spans="1:83" x14ac:dyDescent="0.25">
      <c r="A256" s="31" t="s">
        <v>102</v>
      </c>
      <c r="B256" s="30" t="s">
        <v>460</v>
      </c>
      <c r="C256" s="30" t="s">
        <v>210</v>
      </c>
      <c r="D256" s="35"/>
      <c r="E256" s="35"/>
      <c r="F256" s="35"/>
      <c r="G256" s="35"/>
      <c r="H256" s="35"/>
      <c r="I256" s="35"/>
      <c r="J256" s="35"/>
      <c r="K256" s="35"/>
      <c r="BW256" s="17"/>
      <c r="BX256" s="17" t="str">
        <v>NAKSHATRA POOJA OIL 1/2 LTR PET (FREE)</v>
      </c>
      <c r="BY256" s="17" t="str">
        <v>LAMP 500 ML PET</v>
      </c>
      <c r="BZ256" s="17"/>
      <c r="CA256" s="17"/>
      <c r="CB256" s="17"/>
      <c r="CC256" s="17"/>
      <c r="CD256" s="17"/>
      <c r="CE256" s="17"/>
    </row>
    <row r="257" spans="1:83" x14ac:dyDescent="0.25">
      <c r="A257" s="30" t="s">
        <v>524</v>
      </c>
      <c r="B257" s="30" t="s">
        <v>460</v>
      </c>
      <c r="C257" s="30" t="s">
        <v>210</v>
      </c>
      <c r="D257" s="35"/>
      <c r="E257" s="35"/>
      <c r="F257" s="35"/>
      <c r="G257" s="35"/>
      <c r="H257" s="35"/>
      <c r="I257" s="35"/>
      <c r="J257" s="35"/>
      <c r="K257" s="35"/>
      <c r="BW257" s="17"/>
      <c r="BX257" s="17" t="str">
        <v>NAKSHATRA POOJA OIL 1/2 LTR PET BOX</v>
      </c>
      <c r="BY257" s="17" t="str">
        <v>LAMP 500 ML PET</v>
      </c>
      <c r="BZ257" s="17"/>
      <c r="CA257" s="17"/>
      <c r="CB257" s="17"/>
      <c r="CC257" s="17"/>
      <c r="CD257" s="17"/>
      <c r="CE257" s="17"/>
    </row>
    <row r="258" spans="1:83" x14ac:dyDescent="0.25">
      <c r="A258" s="31" t="s">
        <v>294</v>
      </c>
      <c r="B258" s="30" t="s">
        <v>460</v>
      </c>
      <c r="C258" s="30" t="s">
        <v>210</v>
      </c>
      <c r="D258" s="35"/>
      <c r="E258" s="35"/>
      <c r="F258" s="35"/>
      <c r="G258" s="35"/>
      <c r="H258" s="35"/>
      <c r="I258" s="35"/>
      <c r="J258" s="35"/>
      <c r="K258" s="35"/>
      <c r="BW258" s="17"/>
      <c r="BX258" s="17" t="str">
        <v>NAKSHATRA POOJA OIL 1/2 LTR PET BOX (AGARBATHI)</v>
      </c>
      <c r="BY258" s="17" t="str">
        <v>LAMP 500 ML PET</v>
      </c>
      <c r="BZ258" s="17"/>
      <c r="CA258" s="17"/>
      <c r="CB258" s="17"/>
      <c r="CC258" s="17"/>
      <c r="CD258" s="17"/>
      <c r="CE258" s="17"/>
    </row>
    <row r="259" spans="1:83" x14ac:dyDescent="0.25">
      <c r="A259" s="31" t="s">
        <v>104</v>
      </c>
      <c r="B259" s="30" t="s">
        <v>460</v>
      </c>
      <c r="C259" s="30" t="s">
        <v>210</v>
      </c>
      <c r="D259" s="35"/>
      <c r="E259" s="35"/>
      <c r="F259" s="35"/>
      <c r="G259" s="35"/>
      <c r="H259" s="35"/>
      <c r="I259" s="35"/>
      <c r="J259" s="35"/>
      <c r="K259" s="35"/>
      <c r="BW259" s="17"/>
      <c r="BX259" s="17" t="str">
        <v>NAKSHATRA POOJA OIL 1/2 LTR PET BOX (AMMAN)</v>
      </c>
      <c r="BY259" s="17" t="str">
        <v>LAMP 500 ML PET</v>
      </c>
      <c r="BZ259" s="17"/>
      <c r="CA259" s="17"/>
      <c r="CB259" s="17"/>
      <c r="CC259" s="17"/>
      <c r="CD259" s="17"/>
      <c r="CE259" s="17"/>
    </row>
    <row r="260" spans="1:83" x14ac:dyDescent="0.25">
      <c r="A260" s="31" t="s">
        <v>103</v>
      </c>
      <c r="B260" s="30" t="s">
        <v>460</v>
      </c>
      <c r="C260" s="30" t="s">
        <v>210</v>
      </c>
      <c r="D260" s="35"/>
      <c r="E260" s="35"/>
      <c r="F260" s="35"/>
      <c r="G260" s="35"/>
      <c r="H260" s="35"/>
      <c r="I260" s="35"/>
      <c r="J260" s="35"/>
      <c r="K260" s="35"/>
      <c r="BW260" s="17"/>
      <c r="BX260" s="17" t="str">
        <v>NAKSHATRA POOJA OIL 1/2 LTR PET BOX (HILLS)</v>
      </c>
      <c r="BY260" s="17" t="str">
        <v>LAMP 500 ML PET</v>
      </c>
      <c r="BZ260" s="17"/>
      <c r="CA260" s="17"/>
      <c r="CB260" s="17"/>
      <c r="CC260" s="17"/>
      <c r="CD260" s="17"/>
      <c r="CE260" s="17"/>
    </row>
    <row r="261" spans="1:83" x14ac:dyDescent="0.25">
      <c r="A261" s="31" t="s">
        <v>227</v>
      </c>
      <c r="B261" s="30" t="s">
        <v>460</v>
      </c>
      <c r="C261" s="30" t="s">
        <v>210</v>
      </c>
      <c r="D261" s="35"/>
      <c r="E261" s="35"/>
      <c r="F261" s="35"/>
      <c r="G261" s="35"/>
      <c r="H261" s="35"/>
      <c r="I261" s="35"/>
      <c r="J261" s="35"/>
      <c r="K261" s="35"/>
      <c r="BW261" s="17"/>
      <c r="BX261" s="17" t="str">
        <v>NAKSHATRA POOJA OIL 1/2 LTR PET BOX (MURUGAN)</v>
      </c>
      <c r="BY261" s="17" t="str">
        <v>LAMP 500 ML PET</v>
      </c>
      <c r="BZ261" s="17"/>
      <c r="CA261" s="17"/>
      <c r="CB261" s="17"/>
      <c r="CC261" s="17"/>
      <c r="CD261" s="17"/>
      <c r="CE261" s="17"/>
    </row>
    <row r="262" spans="1:83" x14ac:dyDescent="0.25">
      <c r="A262" s="31" t="s">
        <v>281</v>
      </c>
      <c r="B262" s="30" t="s">
        <v>413</v>
      </c>
      <c r="C262" s="30" t="s">
        <v>210</v>
      </c>
      <c r="D262" s="35"/>
      <c r="E262" s="35"/>
      <c r="F262" s="35"/>
      <c r="G262" s="35"/>
      <c r="H262" s="35"/>
      <c r="I262" s="35"/>
      <c r="J262" s="35"/>
      <c r="K262" s="35"/>
      <c r="BW262" s="17"/>
      <c r="BX262" s="17" t="str">
        <v>NAKSHATRA POOJA OIL 1/2 LTR PET BOX (OFFER)</v>
      </c>
      <c r="BY262" s="17" t="str">
        <v>LAMP 500 ML PET</v>
      </c>
      <c r="BZ262" s="17"/>
      <c r="CA262" s="17"/>
      <c r="CB262" s="17"/>
      <c r="CC262" s="17"/>
      <c r="CD262" s="17"/>
      <c r="CE262" s="17"/>
    </row>
    <row r="263" spans="1:83" x14ac:dyDescent="0.25">
      <c r="A263" s="31" t="s">
        <v>583</v>
      </c>
      <c r="B263" s="30" t="s">
        <v>461</v>
      </c>
      <c r="C263" s="30" t="s">
        <v>210</v>
      </c>
      <c r="D263" s="35"/>
      <c r="E263" s="35"/>
      <c r="F263" s="35"/>
      <c r="G263" s="35"/>
      <c r="H263" s="35"/>
      <c r="I263" s="35"/>
      <c r="J263" s="35"/>
      <c r="K263" s="35"/>
      <c r="BW263" s="17"/>
      <c r="BX263" s="17" t="str">
        <v>NAKSHATRA POOJA OIL 1/2 LTR PET BOX (TEMPLE)</v>
      </c>
      <c r="BY263" s="17" t="str">
        <v>LAMP 500 ML PET</v>
      </c>
      <c r="BZ263" s="17"/>
      <c r="CA263" s="17"/>
      <c r="CB263" s="17"/>
      <c r="CC263" s="17"/>
      <c r="CD263" s="17"/>
      <c r="CE263" s="17"/>
    </row>
    <row r="264" spans="1:83" x14ac:dyDescent="0.25">
      <c r="A264" s="31" t="s">
        <v>114</v>
      </c>
      <c r="B264" s="30" t="s">
        <v>461</v>
      </c>
      <c r="C264" s="30" t="s">
        <v>210</v>
      </c>
      <c r="D264" s="35"/>
      <c r="E264" s="35"/>
      <c r="F264" s="35"/>
      <c r="G264" s="35"/>
      <c r="H264" s="35"/>
      <c r="I264" s="35"/>
      <c r="J264" s="35"/>
      <c r="K264" s="35"/>
      <c r="BW264" s="17"/>
      <c r="BX264" s="17" t="str">
        <v>NAKSHATRA POOJA OIL 1/2 LTR PET BOX OFFER</v>
      </c>
      <c r="BY264" s="17" t="str">
        <v>LAMP 500 ML PET</v>
      </c>
      <c r="BZ264" s="17"/>
      <c r="CA264" s="17"/>
      <c r="CB264" s="17"/>
      <c r="CC264" s="17"/>
      <c r="CD264" s="17"/>
      <c r="CE264" s="17"/>
    </row>
    <row r="265" spans="1:83" x14ac:dyDescent="0.25">
      <c r="A265" s="31" t="s">
        <v>538</v>
      </c>
      <c r="B265" s="30" t="s">
        <v>461</v>
      </c>
      <c r="C265" s="30" t="s">
        <v>210</v>
      </c>
      <c r="D265" s="35"/>
      <c r="E265" s="35"/>
      <c r="F265" s="35"/>
      <c r="G265" s="35"/>
      <c r="H265" s="35"/>
      <c r="I265" s="35"/>
      <c r="J265" s="35"/>
      <c r="K265" s="35"/>
      <c r="BW265" s="17"/>
      <c r="BX265" s="17" t="str">
        <v>NAKSHATRA AGARPATHI Rs 10 COMBO BOX</v>
      </c>
      <c r="BY265" s="17" t="str">
        <v>LAMP RS.10 LUP</v>
      </c>
      <c r="BZ265" s="17"/>
      <c r="CA265" s="17"/>
      <c r="CB265" s="17"/>
      <c r="CC265" s="17"/>
      <c r="CD265" s="17"/>
      <c r="CE265" s="17"/>
    </row>
    <row r="266" spans="1:83" x14ac:dyDescent="0.25">
      <c r="A266" s="31" t="s">
        <v>291</v>
      </c>
      <c r="B266" s="30" t="s">
        <v>461</v>
      </c>
      <c r="C266" s="30" t="s">
        <v>210</v>
      </c>
      <c r="D266" s="35"/>
      <c r="E266" s="35"/>
      <c r="F266" s="35"/>
      <c r="G266" s="35"/>
      <c r="H266" s="35"/>
      <c r="I266" s="35"/>
      <c r="J266" s="35"/>
      <c r="K266" s="35"/>
      <c r="BW266" s="17"/>
      <c r="BX266" s="17" t="str">
        <v>NAKSHATRA POOJA OIL  Rs.10 PACK BOX (APRIL-22)</v>
      </c>
      <c r="BY266" s="17" t="str">
        <v>LAMP RS.10 LUP</v>
      </c>
      <c r="BZ266" s="17"/>
      <c r="CA266" s="17"/>
      <c r="CB266" s="17"/>
      <c r="CC266" s="17"/>
      <c r="CD266" s="17"/>
      <c r="CE266" s="17"/>
    </row>
    <row r="267" spans="1:83" x14ac:dyDescent="0.25">
      <c r="A267" s="31" t="s">
        <v>113</v>
      </c>
      <c r="B267" s="30" t="s">
        <v>461</v>
      </c>
      <c r="C267" s="30" t="s">
        <v>210</v>
      </c>
      <c r="D267" s="35"/>
      <c r="E267" s="35"/>
      <c r="F267" s="35"/>
      <c r="G267" s="35"/>
      <c r="H267" s="35"/>
      <c r="I267" s="35"/>
      <c r="J267" s="35"/>
      <c r="K267" s="35"/>
      <c r="BW267" s="17"/>
      <c r="BX267" s="17" t="str">
        <v>NAKSHATRA POOJA OIL  Rs.10 POUCH</v>
      </c>
      <c r="BY267" s="17" t="str">
        <v>LAMP RS.10 LUP</v>
      </c>
      <c r="BZ267" s="17"/>
      <c r="CA267" s="17"/>
      <c r="CB267" s="17"/>
      <c r="CC267" s="17"/>
      <c r="CD267" s="17"/>
      <c r="CE267" s="17"/>
    </row>
    <row r="268" spans="1:83" x14ac:dyDescent="0.25">
      <c r="A268" s="31" t="s">
        <v>568</v>
      </c>
      <c r="B268" s="30" t="s">
        <v>461</v>
      </c>
      <c r="C268" s="30" t="s">
        <v>210</v>
      </c>
      <c r="D268" s="35"/>
      <c r="E268" s="35"/>
      <c r="F268" s="35"/>
      <c r="G268" s="35"/>
      <c r="H268" s="35"/>
      <c r="I268" s="35"/>
      <c r="J268" s="35"/>
      <c r="K268" s="35"/>
      <c r="BW268" s="17"/>
      <c r="BX268" s="17" t="str">
        <v>NAKSHATRA POOJA OIL Rs.10 PACK BOX</v>
      </c>
      <c r="BY268" s="17" t="str">
        <v>LAMP RS.10 LUP</v>
      </c>
      <c r="BZ268" s="17"/>
      <c r="CA268" s="17"/>
      <c r="CB268" s="17"/>
      <c r="CC268" s="17"/>
      <c r="CD268" s="17"/>
      <c r="CE268" s="17"/>
    </row>
    <row r="269" spans="1:83" x14ac:dyDescent="0.25">
      <c r="A269" s="31" t="s">
        <v>284</v>
      </c>
      <c r="B269" s="30" t="s">
        <v>461</v>
      </c>
      <c r="C269" s="30" t="s">
        <v>210</v>
      </c>
      <c r="D269" s="35"/>
      <c r="E269" s="35"/>
      <c r="F269" s="35"/>
      <c r="G269" s="35"/>
      <c r="H269" s="35"/>
      <c r="I269" s="35"/>
      <c r="J269" s="35"/>
      <c r="K269" s="35"/>
      <c r="BW269" s="17"/>
      <c r="BX269" s="17" t="str">
        <v>NAKSHATRA POOJA OIL  Rs.20 PACK BOX (APRIL-22)</v>
      </c>
      <c r="BY269" s="17" t="str">
        <v>LAMP RS.20 LUP</v>
      </c>
      <c r="BZ269" s="17"/>
      <c r="CA269" s="17"/>
      <c r="CB269" s="17"/>
      <c r="CC269" s="17"/>
      <c r="CD269" s="17"/>
      <c r="CE269" s="17"/>
    </row>
    <row r="270" spans="1:83" x14ac:dyDescent="0.25">
      <c r="A270" s="31" t="s">
        <v>108</v>
      </c>
      <c r="B270" s="30" t="s">
        <v>461</v>
      </c>
      <c r="C270" s="30" t="s">
        <v>210</v>
      </c>
      <c r="D270" s="35"/>
      <c r="E270" s="35"/>
      <c r="F270" s="35"/>
      <c r="G270" s="35"/>
      <c r="H270" s="35"/>
      <c r="I270" s="35"/>
      <c r="J270" s="35"/>
      <c r="K270" s="35"/>
      <c r="BW270" s="17"/>
      <c r="BX270" s="17" t="str">
        <v>NAKSHATRA POOJA OIL  Rs.20 POUCH</v>
      </c>
      <c r="BY270" s="17" t="str">
        <v>LAMP RS.20 LUP</v>
      </c>
      <c r="BZ270" s="17"/>
      <c r="CA270" s="17"/>
      <c r="CB270" s="17"/>
      <c r="CC270" s="17"/>
      <c r="CD270" s="17"/>
      <c r="CE270" s="17"/>
    </row>
    <row r="271" spans="1:83" x14ac:dyDescent="0.25">
      <c r="A271" s="31" t="s">
        <v>109</v>
      </c>
      <c r="B271" s="30" t="s">
        <v>461</v>
      </c>
      <c r="C271" s="30" t="s">
        <v>210</v>
      </c>
      <c r="D271" s="35"/>
      <c r="E271" s="35"/>
      <c r="F271" s="35"/>
      <c r="G271" s="35"/>
      <c r="H271" s="35"/>
      <c r="I271" s="35"/>
      <c r="J271" s="35"/>
      <c r="K271" s="35"/>
      <c r="BW271" s="17"/>
      <c r="BX271" s="17" t="str">
        <v>NAKSHATRA POOJA OIL Rs.20 PACK BOX</v>
      </c>
      <c r="BY271" s="17" t="str">
        <v>LAMP RS.20 LUP</v>
      </c>
      <c r="BZ271" s="17"/>
      <c r="CA271" s="17"/>
      <c r="CB271" s="17"/>
      <c r="CC271" s="17"/>
      <c r="CD271" s="17"/>
      <c r="CE271" s="17"/>
    </row>
    <row r="272" spans="1:83" x14ac:dyDescent="0.25">
      <c r="A272" s="31" t="s">
        <v>110</v>
      </c>
      <c r="B272" s="30" t="s">
        <v>461</v>
      </c>
      <c r="C272" s="30" t="s">
        <v>210</v>
      </c>
      <c r="D272" s="35"/>
      <c r="E272" s="35"/>
      <c r="F272" s="35"/>
      <c r="G272" s="35"/>
      <c r="H272" s="35"/>
      <c r="I272" s="35"/>
      <c r="J272" s="35"/>
      <c r="K272" s="35"/>
      <c r="BW272" s="17"/>
      <c r="BX272" s="17" t="str">
        <v>NAKSHATRA MACH BOX (MEDIUM)</v>
      </c>
      <c r="BY272" s="17" t="str">
        <v>MACH BOX</v>
      </c>
      <c r="BZ272" s="17"/>
      <c r="CA272" s="17"/>
      <c r="CB272" s="17"/>
      <c r="CC272" s="17"/>
      <c r="CD272" s="17"/>
      <c r="CE272" s="17"/>
    </row>
    <row r="273" spans="1:83" x14ac:dyDescent="0.25">
      <c r="A273" s="31" t="s">
        <v>111</v>
      </c>
      <c r="B273" s="30" t="s">
        <v>461</v>
      </c>
      <c r="C273" s="30" t="s">
        <v>210</v>
      </c>
      <c r="D273" s="35"/>
      <c r="E273" s="35"/>
      <c r="F273" s="35"/>
      <c r="G273" s="35"/>
      <c r="H273" s="35"/>
      <c r="I273" s="35"/>
      <c r="J273" s="35"/>
      <c r="K273" s="35"/>
      <c r="BW273" s="17"/>
      <c r="BX273" s="17" t="str">
        <v>NAKSHATRA MATCH BOX - MEDIUM (10 x 30 Bundle)</v>
      </c>
      <c r="BY273" s="17" t="str">
        <v>MATCH BOX</v>
      </c>
      <c r="BZ273" s="17"/>
      <c r="CA273" s="17"/>
      <c r="CB273" s="17"/>
      <c r="CC273" s="17"/>
      <c r="CD273" s="17"/>
      <c r="CE273" s="17"/>
    </row>
    <row r="274" spans="1:83" x14ac:dyDescent="0.25">
      <c r="A274" s="31" t="s">
        <v>535</v>
      </c>
      <c r="B274" s="30" t="s">
        <v>461</v>
      </c>
      <c r="C274" s="30" t="s">
        <v>210</v>
      </c>
      <c r="D274" s="35"/>
      <c r="E274" s="35"/>
      <c r="F274" s="35"/>
      <c r="G274" s="35"/>
      <c r="H274" s="35"/>
      <c r="I274" s="35"/>
      <c r="J274" s="35"/>
      <c r="K274" s="35"/>
      <c r="BW274" s="17"/>
      <c r="BX274" s="17" t="str">
        <v>NAKSHATRA MATCH BOX - MEDIUM (10 x 30)</v>
      </c>
      <c r="BY274" s="17" t="str">
        <v>MATCH BOX</v>
      </c>
      <c r="BZ274" s="17"/>
      <c r="CA274" s="17"/>
      <c r="CB274" s="17"/>
      <c r="CC274" s="17"/>
      <c r="CD274" s="17"/>
      <c r="CE274" s="17"/>
    </row>
    <row r="275" spans="1:83" x14ac:dyDescent="0.25">
      <c r="A275" s="31" t="s">
        <v>296</v>
      </c>
      <c r="B275" s="30" t="s">
        <v>461</v>
      </c>
      <c r="C275" s="30" t="s">
        <v>210</v>
      </c>
      <c r="D275" s="35"/>
      <c r="E275" s="35"/>
      <c r="F275" s="35"/>
      <c r="G275" s="35"/>
      <c r="H275" s="35"/>
      <c r="I275" s="35"/>
      <c r="J275" s="35"/>
      <c r="K275" s="35"/>
      <c r="BW275" s="17"/>
      <c r="BX275" s="17" t="str">
        <v>KACHI GANI MUSTARD OIL 1 LTR PET</v>
      </c>
      <c r="BY275" s="17" t="str">
        <v>MUSTARD 1 L PET</v>
      </c>
      <c r="BZ275" s="17"/>
      <c r="CA275" s="17"/>
      <c r="CB275" s="17"/>
      <c r="CC275" s="17"/>
      <c r="CD275" s="17"/>
      <c r="CE275" s="17"/>
    </row>
    <row r="276" spans="1:83" x14ac:dyDescent="0.25">
      <c r="A276" s="31" t="s">
        <v>112</v>
      </c>
      <c r="B276" s="30" t="s">
        <v>461</v>
      </c>
      <c r="C276" s="30" t="s">
        <v>210</v>
      </c>
      <c r="D276" s="35"/>
      <c r="E276" s="35"/>
      <c r="F276" s="35"/>
      <c r="G276" s="35"/>
      <c r="H276" s="35"/>
      <c r="I276" s="35"/>
      <c r="J276" s="35"/>
      <c r="K276" s="35"/>
      <c r="BW276" s="17"/>
      <c r="BX276" s="17" t="str">
        <v>KACHI GANI MUSTARD OIL 1 LTR PET BOX</v>
      </c>
      <c r="BY276" s="17" t="str">
        <v>MUSTARD 1 L PET</v>
      </c>
      <c r="BZ276" s="17"/>
      <c r="CA276" s="17"/>
      <c r="CB276" s="17"/>
      <c r="CC276" s="17"/>
      <c r="CD276" s="17"/>
      <c r="CE276" s="17"/>
    </row>
    <row r="277" spans="1:83" x14ac:dyDescent="0.25">
      <c r="A277" s="30" t="s">
        <v>519</v>
      </c>
      <c r="B277" s="30" t="s">
        <v>461</v>
      </c>
      <c r="C277" s="30" t="s">
        <v>210</v>
      </c>
      <c r="D277" s="35"/>
      <c r="E277" s="35"/>
      <c r="F277" s="35"/>
      <c r="G277" s="35"/>
      <c r="H277" s="35"/>
      <c r="I277" s="35"/>
      <c r="J277" s="35"/>
      <c r="K277" s="35"/>
      <c r="BW277" s="17"/>
      <c r="BX277" s="17" t="str">
        <v>KACHI GANI MUSTARD OIL 1 LTR PET BOX (OFFER)</v>
      </c>
      <c r="BY277" s="17" t="str">
        <v>MUSTARD 1 L PET</v>
      </c>
      <c r="BZ277" s="17"/>
      <c r="CA277" s="17"/>
      <c r="CB277" s="17"/>
      <c r="CC277" s="17"/>
      <c r="CD277" s="17"/>
      <c r="CE277" s="17"/>
    </row>
    <row r="278" spans="1:83" x14ac:dyDescent="0.25">
      <c r="A278" s="31" t="s">
        <v>115</v>
      </c>
      <c r="B278" s="30" t="s">
        <v>414</v>
      </c>
      <c r="C278" s="30" t="s">
        <v>210</v>
      </c>
      <c r="D278" s="35"/>
      <c r="E278" s="35"/>
      <c r="F278" s="35"/>
      <c r="G278" s="35"/>
      <c r="H278" s="35"/>
      <c r="I278" s="35"/>
      <c r="J278" s="35"/>
      <c r="K278" s="35"/>
      <c r="BW278" s="17"/>
      <c r="BX278" s="17" t="str">
        <v>KACHI GANI MUSTARD OIL 200ML PET BOX</v>
      </c>
      <c r="BY278" s="17" t="str">
        <v>MUSTARD 200 ML PET</v>
      </c>
      <c r="BZ278" s="17"/>
      <c r="CA278" s="17"/>
      <c r="CB278" s="17"/>
      <c r="CC278" s="17"/>
      <c r="CD278" s="17"/>
      <c r="CE278" s="17"/>
    </row>
    <row r="279" spans="1:83" x14ac:dyDescent="0.25">
      <c r="A279" s="31" t="s">
        <v>285</v>
      </c>
      <c r="B279" s="30" t="s">
        <v>414</v>
      </c>
      <c r="C279" s="30" t="s">
        <v>210</v>
      </c>
      <c r="D279" s="35"/>
      <c r="E279" s="35"/>
      <c r="F279" s="35"/>
      <c r="G279" s="35"/>
      <c r="H279" s="35"/>
      <c r="I279" s="35"/>
      <c r="J279" s="35"/>
      <c r="K279" s="35"/>
      <c r="BW279" s="17"/>
      <c r="BX279" s="17" t="str">
        <v>KACHI GANI MUSTARD OIL 1/2 LTR PET</v>
      </c>
      <c r="BY279" s="17" t="str">
        <v>MUSTARD 500 ML PET</v>
      </c>
      <c r="BZ279" s="17"/>
      <c r="CA279" s="17"/>
      <c r="CB279" s="17"/>
      <c r="CC279" s="17"/>
      <c r="CD279" s="17"/>
      <c r="CE279" s="17"/>
    </row>
    <row r="280" spans="1:83" x14ac:dyDescent="0.25">
      <c r="A280" s="31" t="s">
        <v>96</v>
      </c>
      <c r="B280" s="30" t="s">
        <v>372</v>
      </c>
      <c r="C280" s="30" t="s">
        <v>210</v>
      </c>
      <c r="D280" s="35"/>
      <c r="E280" s="35"/>
      <c r="F280" s="35"/>
      <c r="G280" s="35"/>
      <c r="H280" s="35"/>
      <c r="I280" s="35"/>
      <c r="J280" s="35"/>
      <c r="K280" s="35"/>
      <c r="BW280" s="17"/>
      <c r="BX280" s="17" t="str">
        <v>KACHI GANI MUSTARD OIL 1/2 LTR PET BOX</v>
      </c>
      <c r="BY280" s="17" t="str">
        <v>MUSTARD 500 ML PET</v>
      </c>
      <c r="BZ280" s="17"/>
      <c r="CA280" s="17"/>
      <c r="CB280" s="17"/>
      <c r="CC280" s="17"/>
      <c r="CD280" s="17"/>
      <c r="CE280" s="17"/>
    </row>
    <row r="281" spans="1:83" x14ac:dyDescent="0.25">
      <c r="A281" s="31" t="s">
        <v>97</v>
      </c>
      <c r="B281" s="30" t="s">
        <v>372</v>
      </c>
      <c r="C281" s="30" t="s">
        <v>210</v>
      </c>
      <c r="D281" s="35"/>
      <c r="E281" s="35"/>
      <c r="F281" s="35"/>
      <c r="G281" s="35"/>
      <c r="H281" s="35"/>
      <c r="I281" s="35"/>
      <c r="J281" s="35"/>
      <c r="K281" s="35"/>
      <c r="BW281" s="17"/>
      <c r="BX281" s="17" t="str">
        <v>KACHI GANI MUSTARD OIL 1/2 LTR PET BOX (OFFER)</v>
      </c>
      <c r="BY281" s="17" t="str">
        <v>MUSTARD 500 ML PET</v>
      </c>
      <c r="BZ281" s="17"/>
      <c r="CA281" s="17"/>
      <c r="CB281" s="17"/>
      <c r="CC281" s="17"/>
      <c r="CD281" s="17"/>
      <c r="CE281" s="17"/>
    </row>
    <row r="282" spans="1:83" x14ac:dyDescent="0.25">
      <c r="A282" s="31" t="s">
        <v>98</v>
      </c>
      <c r="B282" s="30" t="s">
        <v>372</v>
      </c>
      <c r="C282" s="30" t="s">
        <v>210</v>
      </c>
      <c r="D282" s="35"/>
      <c r="E282" s="35"/>
      <c r="F282" s="35"/>
      <c r="G282" s="35"/>
      <c r="H282" s="35"/>
      <c r="I282" s="35"/>
      <c r="J282" s="35"/>
      <c r="K282" s="35"/>
      <c r="BW282" s="17"/>
      <c r="BX282" s="17" t="str">
        <v>25 x 2 Pcs</v>
      </c>
      <c r="BY282" s="17" t="str">
        <v>NO</v>
      </c>
      <c r="BZ282" s="17"/>
      <c r="CA282" s="17"/>
      <c r="CB282" s="17"/>
      <c r="CC282" s="17"/>
      <c r="CD282" s="17"/>
      <c r="CE282" s="17"/>
    </row>
    <row r="283" spans="1:83" x14ac:dyDescent="0.25">
      <c r="A283" s="31" t="s">
        <v>283</v>
      </c>
      <c r="B283" s="30" t="s">
        <v>462</v>
      </c>
      <c r="C283" s="30" t="s">
        <v>210</v>
      </c>
      <c r="D283" s="35"/>
      <c r="E283" s="35"/>
      <c r="F283" s="35"/>
      <c r="G283" s="35"/>
      <c r="H283" s="35"/>
      <c r="I283" s="35"/>
      <c r="J283" s="35"/>
      <c r="K283" s="35"/>
      <c r="BW283" s="17"/>
      <c r="BX283" s="17" t="str">
        <v>KITCHEN UTENSIL BASKET (FREE)</v>
      </c>
      <c r="BY283" s="17" t="str">
        <v>NO</v>
      </c>
      <c r="BZ283" s="17"/>
      <c r="CA283" s="17"/>
      <c r="CB283" s="17"/>
      <c r="CC283" s="17"/>
      <c r="CD283" s="17"/>
      <c r="CE283" s="17"/>
    </row>
    <row r="284" spans="1:83" x14ac:dyDescent="0.25">
      <c r="A284" s="31" t="s">
        <v>282</v>
      </c>
      <c r="B284" s="30" t="s">
        <v>462</v>
      </c>
      <c r="C284" s="30" t="s">
        <v>210</v>
      </c>
      <c r="D284" s="35"/>
      <c r="E284" s="35"/>
      <c r="F284" s="35"/>
      <c r="G284" s="35"/>
      <c r="H284" s="35"/>
      <c r="I284" s="35"/>
      <c r="J284" s="35"/>
      <c r="K284" s="35"/>
      <c r="BW284" s="17"/>
      <c r="BX284" s="17" t="str">
        <v>NAKSHATRA AGARBATTIES</v>
      </c>
      <c r="BY284" s="17" t="str">
        <v>NO</v>
      </c>
      <c r="BZ284" s="17"/>
      <c r="CA284" s="17"/>
      <c r="CB284" s="17"/>
      <c r="CC284" s="17"/>
      <c r="CD284" s="17"/>
      <c r="CE284" s="17"/>
    </row>
    <row r="285" spans="1:83" x14ac:dyDescent="0.25">
      <c r="A285" s="31" t="s">
        <v>288</v>
      </c>
      <c r="B285" s="30" t="s">
        <v>462</v>
      </c>
      <c r="C285" s="30" t="s">
        <v>210</v>
      </c>
      <c r="D285" s="35"/>
      <c r="E285" s="35"/>
      <c r="F285" s="35"/>
      <c r="G285" s="35"/>
      <c r="H285" s="35"/>
      <c r="I285" s="35"/>
      <c r="J285" s="35"/>
      <c r="K285" s="35"/>
      <c r="BW285" s="17"/>
      <c r="BX285" s="17" t="str">
        <v>REF RICE BRAN OIL 15 KG TIN (VALUE)</v>
      </c>
      <c r="BY285" s="17" t="str">
        <v>NO</v>
      </c>
      <c r="BZ285" s="17"/>
      <c r="CA285" s="17"/>
      <c r="CB285" s="17"/>
      <c r="CC285" s="17"/>
      <c r="CD285" s="17"/>
      <c r="CE285" s="17"/>
    </row>
    <row r="286" spans="1:83" x14ac:dyDescent="0.25">
      <c r="A286" s="31" t="s">
        <v>289</v>
      </c>
      <c r="B286" s="30" t="s">
        <v>462</v>
      </c>
      <c r="C286" s="30" t="s">
        <v>210</v>
      </c>
      <c r="D286" s="35"/>
      <c r="E286" s="35"/>
      <c r="F286" s="35"/>
      <c r="G286" s="35"/>
      <c r="H286" s="35"/>
      <c r="I286" s="35"/>
      <c r="J286" s="35"/>
      <c r="K286" s="35"/>
      <c r="BW286" s="17"/>
      <c r="BX286" s="17" t="str">
        <v>RBD PALMOLEIN  OIL 1 LTR POUCH</v>
      </c>
      <c r="BY286" s="17" t="str">
        <v>PALM 1 L</v>
      </c>
      <c r="BZ286" s="17"/>
      <c r="CA286" s="17"/>
      <c r="CB286" s="17"/>
      <c r="CC286" s="17"/>
      <c r="CD286" s="17"/>
      <c r="CE286" s="17"/>
    </row>
    <row r="287" spans="1:83" x14ac:dyDescent="0.25">
      <c r="A287" s="31" t="s">
        <v>88</v>
      </c>
      <c r="B287" s="30" t="s">
        <v>462</v>
      </c>
      <c r="C287" s="30" t="s">
        <v>210</v>
      </c>
      <c r="D287" s="35"/>
      <c r="E287" s="35"/>
      <c r="F287" s="35"/>
      <c r="G287" s="35"/>
      <c r="H287" s="35"/>
      <c r="I287" s="35"/>
      <c r="J287" s="35"/>
      <c r="K287" s="35"/>
      <c r="BW287" s="17"/>
      <c r="BX287" s="17" t="str">
        <v>RBD PALMOLEIN  OIL 1 LTR POUCH  (SUNRAJA)</v>
      </c>
      <c r="BY287" s="17" t="str">
        <v>PALM 1 L</v>
      </c>
      <c r="BZ287" s="17"/>
      <c r="CA287" s="17"/>
      <c r="CB287" s="17"/>
      <c r="CC287" s="17"/>
      <c r="CD287" s="17"/>
      <c r="CE287" s="17"/>
    </row>
    <row r="288" spans="1:83" x14ac:dyDescent="0.25">
      <c r="A288" s="31" t="s">
        <v>95</v>
      </c>
      <c r="B288" s="30" t="s">
        <v>462</v>
      </c>
      <c r="C288" s="30" t="s">
        <v>210</v>
      </c>
      <c r="D288" s="35"/>
      <c r="E288" s="35"/>
      <c r="F288" s="35"/>
      <c r="G288" s="35"/>
      <c r="H288" s="35"/>
      <c r="I288" s="35"/>
      <c r="J288" s="35"/>
      <c r="K288" s="35"/>
      <c r="BW288" s="17"/>
      <c r="BX288" s="17" t="str">
        <v>RBD PALMOLEIN  OIL 1 LTR POUCH (SAMPLE)</v>
      </c>
      <c r="BY288" s="17" t="str">
        <v>PALM 1 L</v>
      </c>
      <c r="BZ288" s="17"/>
      <c r="CA288" s="17"/>
      <c r="CB288" s="17"/>
      <c r="CC288" s="17"/>
      <c r="CD288" s="17"/>
      <c r="CE288" s="17"/>
    </row>
    <row r="289" spans="1:83" x14ac:dyDescent="0.25">
      <c r="A289" s="31" t="s">
        <v>89</v>
      </c>
      <c r="B289" s="30" t="s">
        <v>462</v>
      </c>
      <c r="C289" s="30" t="s">
        <v>210</v>
      </c>
      <c r="D289" s="35"/>
      <c r="E289" s="35"/>
      <c r="F289" s="35"/>
      <c r="G289" s="35"/>
      <c r="H289" s="35"/>
      <c r="I289" s="35"/>
      <c r="J289" s="35"/>
      <c r="K289" s="35"/>
      <c r="BW289" s="17"/>
      <c r="BX289" s="17" t="str">
        <v>REF PALMOLEIN  OIL 1 LTR BOX</v>
      </c>
      <c r="BY289" s="17" t="str">
        <v>PALM 1 L</v>
      </c>
      <c r="BZ289" s="17"/>
      <c r="CA289" s="17"/>
      <c r="CB289" s="17"/>
      <c r="CC289" s="17"/>
      <c r="CD289" s="17"/>
      <c r="CE289" s="17"/>
    </row>
    <row r="290" spans="1:83" x14ac:dyDescent="0.25">
      <c r="A290" s="31" t="s">
        <v>90</v>
      </c>
      <c r="B290" s="30" t="s">
        <v>462</v>
      </c>
      <c r="C290" s="30" t="s">
        <v>210</v>
      </c>
      <c r="D290" s="35"/>
      <c r="E290" s="35"/>
      <c r="F290" s="35"/>
      <c r="G290" s="35"/>
      <c r="H290" s="35"/>
      <c r="I290" s="35"/>
      <c r="J290" s="35"/>
      <c r="K290" s="35"/>
      <c r="BW290" s="17"/>
      <c r="BX290" s="17" t="str">
        <v>REF PALMOLEIN  OIL 1 LTR BOX (Mr.PALM)</v>
      </c>
      <c r="BY290" s="17" t="str">
        <v>PALM 1 L</v>
      </c>
      <c r="BZ290" s="17"/>
      <c r="CA290" s="17"/>
      <c r="CB290" s="17"/>
      <c r="CC290" s="17"/>
      <c r="CD290" s="17"/>
      <c r="CE290" s="17"/>
    </row>
    <row r="291" spans="1:83" x14ac:dyDescent="0.25">
      <c r="A291" s="31" t="s">
        <v>91</v>
      </c>
      <c r="B291" s="30" t="s">
        <v>462</v>
      </c>
      <c r="C291" s="30" t="s">
        <v>210</v>
      </c>
      <c r="D291" s="35"/>
      <c r="E291" s="35"/>
      <c r="F291" s="35"/>
      <c r="G291" s="35"/>
      <c r="H291" s="35"/>
      <c r="I291" s="35"/>
      <c r="J291" s="35"/>
      <c r="K291" s="35"/>
      <c r="BW291" s="17"/>
      <c r="BX291" s="17" t="str">
        <v>REF PALMOLEIN  OIL 1/2 LTR BOX (Mr.PALM)</v>
      </c>
      <c r="BY291" s="17" t="str">
        <v>PALM 500 ML</v>
      </c>
      <c r="BZ291" s="17"/>
      <c r="CA291" s="17"/>
      <c r="CB291" s="17"/>
      <c r="CC291" s="17"/>
      <c r="CD291" s="17"/>
      <c r="CE291" s="17"/>
    </row>
    <row r="292" spans="1:83" x14ac:dyDescent="0.25">
      <c r="A292" s="31" t="s">
        <v>92</v>
      </c>
      <c r="B292" s="30" t="s">
        <v>462</v>
      </c>
      <c r="C292" s="30" t="s">
        <v>210</v>
      </c>
      <c r="D292" s="35"/>
      <c r="E292" s="35"/>
      <c r="F292" s="35"/>
      <c r="G292" s="35"/>
      <c r="H292" s="35"/>
      <c r="I292" s="35"/>
      <c r="J292" s="35"/>
      <c r="K292" s="35"/>
      <c r="BW292" s="17"/>
      <c r="BX292" s="17" t="str">
        <v>SUNRAJA GULAS PALM JAGGERY POWDER 170g JAR BOX</v>
      </c>
      <c r="BY292" s="17" t="str">
        <v>PALM JAGGERY</v>
      </c>
      <c r="BZ292" s="17"/>
      <c r="CA292" s="17"/>
      <c r="CB292" s="17"/>
      <c r="CC292" s="17"/>
      <c r="CD292" s="17"/>
      <c r="CE292" s="17"/>
    </row>
    <row r="293" spans="1:83" x14ac:dyDescent="0.25">
      <c r="A293" s="31" t="s">
        <v>534</v>
      </c>
      <c r="B293" s="30" t="s">
        <v>462</v>
      </c>
      <c r="C293" s="30" t="s">
        <v>210</v>
      </c>
      <c r="D293" s="35"/>
      <c r="E293" s="35"/>
      <c r="F293" s="35"/>
      <c r="G293" s="35"/>
      <c r="H293" s="35"/>
      <c r="I293" s="35"/>
      <c r="J293" s="35"/>
      <c r="K293" s="35"/>
      <c r="BW293" s="17"/>
      <c r="BX293" s="17" t="str">
        <v>RBD PALM OLIEN OIL RS.10 PACK</v>
      </c>
      <c r="BY293" s="17" t="str">
        <v>PALM RS.10 LUP</v>
      </c>
      <c r="BZ293" s="17"/>
      <c r="CA293" s="17"/>
      <c r="CB293" s="17"/>
      <c r="CC293" s="17"/>
      <c r="CD293" s="17"/>
      <c r="CE293" s="17"/>
    </row>
    <row r="294" spans="1:83" x14ac:dyDescent="0.25">
      <c r="A294" s="31" t="s">
        <v>292</v>
      </c>
      <c r="B294" s="30" t="s">
        <v>462</v>
      </c>
      <c r="C294" s="30" t="s">
        <v>210</v>
      </c>
      <c r="D294" s="35"/>
      <c r="E294" s="35"/>
      <c r="F294" s="35"/>
      <c r="G294" s="35"/>
      <c r="H294" s="35"/>
      <c r="I294" s="35"/>
      <c r="J294" s="35"/>
      <c r="K294" s="35"/>
      <c r="BW294" s="17"/>
      <c r="BX294" s="17" t="str">
        <v>RBD PALM OLIEN OIL RS.10 PACK BOX(140 PCS)</v>
      </c>
      <c r="BY294" s="17" t="str">
        <v>PALM RS.10 LUP</v>
      </c>
      <c r="BZ294" s="17"/>
      <c r="CA294" s="17"/>
      <c r="CB294" s="17"/>
      <c r="CC294" s="17"/>
      <c r="CD294" s="17"/>
      <c r="CE294" s="17"/>
    </row>
    <row r="295" spans="1:83" x14ac:dyDescent="0.25">
      <c r="A295" s="31" t="s">
        <v>94</v>
      </c>
      <c r="B295" s="30" t="s">
        <v>462</v>
      </c>
      <c r="C295" s="30" t="s">
        <v>210</v>
      </c>
      <c r="D295" s="35"/>
      <c r="E295" s="35"/>
      <c r="F295" s="35"/>
      <c r="G295" s="35"/>
      <c r="H295" s="35"/>
      <c r="I295" s="35"/>
      <c r="J295" s="35"/>
      <c r="K295" s="35"/>
      <c r="BW295" s="17"/>
      <c r="BX295" s="17" t="str">
        <v>DAILY DOUBLE ROASTED RAVA 500g POUCH - 30Kg BAG</v>
      </c>
      <c r="BY295" s="17" t="str">
        <v>DAILY RAVA 500 G</v>
      </c>
      <c r="BZ295" s="17"/>
      <c r="CA295" s="17"/>
      <c r="CB295" s="17"/>
      <c r="CC295" s="17"/>
      <c r="CD295" s="17"/>
      <c r="CE295" s="17"/>
    </row>
    <row r="296" spans="1:83" x14ac:dyDescent="0.25">
      <c r="A296" s="31" t="s">
        <v>93</v>
      </c>
      <c r="B296" s="30" t="s">
        <v>462</v>
      </c>
      <c r="C296" s="30" t="s">
        <v>210</v>
      </c>
      <c r="D296" s="35"/>
      <c r="E296" s="35"/>
      <c r="F296" s="35"/>
      <c r="G296" s="35"/>
      <c r="H296" s="35"/>
      <c r="I296" s="35"/>
      <c r="J296" s="35"/>
      <c r="K296" s="35"/>
      <c r="BW296" s="17"/>
      <c r="BX296" s="17" t="str">
        <v>DAILY DOUBLE ROASTED RAVA 200g POUCH BAG</v>
      </c>
      <c r="BY296" s="17" t="str">
        <v>DAILY RAVA 200 G</v>
      </c>
      <c r="BZ296" s="17"/>
      <c r="CA296" s="17"/>
      <c r="CB296" s="17"/>
      <c r="CC296" s="17"/>
      <c r="CD296" s="17"/>
      <c r="CE296" s="17"/>
    </row>
    <row r="297" spans="1:83" x14ac:dyDescent="0.25">
      <c r="A297" s="31" t="s">
        <v>507</v>
      </c>
      <c r="B297" s="30" t="s">
        <v>415</v>
      </c>
      <c r="C297" s="30" t="s">
        <v>210</v>
      </c>
      <c r="D297" s="35"/>
      <c r="E297" s="35"/>
      <c r="F297" s="35"/>
      <c r="G297" s="35"/>
      <c r="H297" s="35"/>
      <c r="I297" s="35"/>
      <c r="J297" s="35"/>
      <c r="K297" s="35"/>
      <c r="BW297" s="17"/>
      <c r="BX297" s="17" t="str">
        <v>DAILY DOUBLE ROASTED RAVA 500g POUCH BAG</v>
      </c>
      <c r="BY297" s="17" t="str">
        <v>DAILY RAVA 500 G</v>
      </c>
      <c r="BZ297" s="17"/>
      <c r="CA297" s="17"/>
      <c r="CB297" s="17"/>
      <c r="CC297" s="17"/>
      <c r="CD297" s="17"/>
      <c r="CE297" s="17"/>
    </row>
    <row r="298" spans="1:83" x14ac:dyDescent="0.25">
      <c r="A298" s="31" t="s">
        <v>116</v>
      </c>
      <c r="B298" s="30" t="s">
        <v>415</v>
      </c>
      <c r="C298" s="30" t="s">
        <v>210</v>
      </c>
      <c r="D298" s="35"/>
      <c r="E298" s="35"/>
      <c r="F298" s="35"/>
      <c r="G298" s="35"/>
      <c r="H298" s="35"/>
      <c r="I298" s="35"/>
      <c r="J298" s="35"/>
      <c r="K298" s="35"/>
      <c r="BW298" s="17"/>
      <c r="BX298" s="17" t="str">
        <v>DAILY DOUBLE ROASTED RAVA 200g POUCH - 10Kg BAG</v>
      </c>
      <c r="BY298" s="17" t="str">
        <v>DAILY RAVA 200 G</v>
      </c>
      <c r="BZ298" s="17"/>
      <c r="CA298" s="17"/>
      <c r="CB298" s="17"/>
      <c r="CC298" s="17"/>
      <c r="CD298" s="17"/>
      <c r="CE298" s="17"/>
    </row>
    <row r="299" spans="1:83" x14ac:dyDescent="0.25">
      <c r="A299" s="31" t="s">
        <v>596</v>
      </c>
      <c r="B299" s="30" t="s">
        <v>415</v>
      </c>
      <c r="C299" s="30" t="s">
        <v>210</v>
      </c>
      <c r="D299" s="35"/>
      <c r="E299" s="35"/>
      <c r="F299" s="35"/>
      <c r="G299" s="35"/>
      <c r="H299" s="35"/>
      <c r="I299" s="35"/>
      <c r="J299" s="35"/>
      <c r="K299" s="35"/>
      <c r="BW299" s="17"/>
      <c r="BX299" s="17" t="str">
        <v>DAILY SAMBA  RAVA 500g POUCH - 10Kg BAG</v>
      </c>
      <c r="BY299" s="17" t="str">
        <v>DAILY SAMBA RAVA 500 G</v>
      </c>
      <c r="BZ299" s="17"/>
      <c r="CA299" s="17"/>
      <c r="CB299" s="17"/>
      <c r="CC299" s="17"/>
      <c r="CD299" s="17"/>
      <c r="CE299" s="17"/>
    </row>
    <row r="300" spans="1:83" x14ac:dyDescent="0.25">
      <c r="A300" s="31" t="s">
        <v>286</v>
      </c>
      <c r="B300" s="30" t="s">
        <v>415</v>
      </c>
      <c r="C300" s="30" t="s">
        <v>210</v>
      </c>
      <c r="D300" s="35"/>
      <c r="E300" s="35"/>
      <c r="F300" s="35"/>
      <c r="G300" s="35"/>
      <c r="H300" s="35"/>
      <c r="I300" s="35"/>
      <c r="J300" s="35"/>
      <c r="K300" s="35"/>
      <c r="BW300" s="17"/>
      <c r="BX300" s="17" t="str">
        <v>REF SUNFLOWER OIL RS.20 PACK BOX (OLD)-FREE</v>
      </c>
      <c r="BY300" s="17" t="str">
        <v>SF RS.20 LUP</v>
      </c>
      <c r="BZ300" s="17"/>
      <c r="CA300" s="17"/>
      <c r="CB300" s="17"/>
      <c r="CC300" s="17"/>
      <c r="CD300" s="17"/>
      <c r="CE300" s="17"/>
    </row>
    <row r="301" spans="1:83" x14ac:dyDescent="0.25">
      <c r="A301" s="31" t="s">
        <v>117</v>
      </c>
      <c r="B301" s="30" t="s">
        <v>416</v>
      </c>
      <c r="C301" s="30" t="s">
        <v>210</v>
      </c>
      <c r="D301" s="35"/>
      <c r="E301" s="35"/>
      <c r="F301" s="35"/>
      <c r="G301" s="35"/>
      <c r="H301" s="35"/>
      <c r="I301" s="35"/>
      <c r="J301" s="35"/>
      <c r="K301" s="35"/>
      <c r="BW301" s="17"/>
      <c r="BX301" s="17" t="str">
        <v>REF RICE BRAN OIL 1 LTR</v>
      </c>
      <c r="BY301" s="17" t="str">
        <v>RB 1 L</v>
      </c>
      <c r="BZ301" s="17"/>
      <c r="CA301" s="17"/>
      <c r="CB301" s="17"/>
      <c r="CC301" s="17"/>
      <c r="CD301" s="17"/>
      <c r="CE301" s="17"/>
    </row>
    <row r="302" spans="1:83" x14ac:dyDescent="0.25">
      <c r="A302" s="31" t="s">
        <v>578</v>
      </c>
      <c r="B302" s="30" t="s">
        <v>416</v>
      </c>
      <c r="C302" s="30" t="s">
        <v>210</v>
      </c>
      <c r="D302" s="35"/>
      <c r="E302" s="35"/>
      <c r="F302" s="35"/>
      <c r="G302" s="35"/>
      <c r="H302" s="35"/>
      <c r="I302" s="35"/>
      <c r="J302" s="35"/>
      <c r="K302" s="35"/>
      <c r="BW302" s="17"/>
      <c r="BX302" s="17" t="str">
        <v>REF RICE BRAN OIL 1 LTR  POUCH</v>
      </c>
      <c r="BY302" s="17" t="str">
        <v>RB 1 L</v>
      </c>
      <c r="BZ302" s="17"/>
      <c r="CA302" s="17"/>
      <c r="CB302" s="17"/>
      <c r="CC302" s="17"/>
      <c r="CD302" s="17"/>
      <c r="CE302" s="17"/>
    </row>
    <row r="303" spans="1:83" x14ac:dyDescent="0.25">
      <c r="A303" s="31" t="s">
        <v>287</v>
      </c>
      <c r="B303" s="30" t="s">
        <v>416</v>
      </c>
      <c r="C303" s="30" t="s">
        <v>210</v>
      </c>
      <c r="D303" s="35"/>
      <c r="E303" s="35"/>
      <c r="F303" s="35"/>
      <c r="G303" s="35"/>
      <c r="H303" s="35"/>
      <c r="I303" s="35"/>
      <c r="J303" s="35"/>
      <c r="K303" s="35"/>
      <c r="BW303" s="17"/>
      <c r="BX303" s="17" t="str">
        <v>REF RICE BRAN OIL 1 LTR BOX</v>
      </c>
      <c r="BY303" s="17" t="str">
        <v>RB 1 L</v>
      </c>
      <c r="BZ303" s="17"/>
      <c r="CA303" s="17"/>
      <c r="CB303" s="17"/>
      <c r="CC303" s="17"/>
      <c r="CD303" s="17"/>
      <c r="CE303" s="17"/>
    </row>
    <row r="304" spans="1:83" x14ac:dyDescent="0.25">
      <c r="A304" s="31" t="s">
        <v>597</v>
      </c>
      <c r="B304" s="30" t="s">
        <v>624</v>
      </c>
      <c r="C304" s="30" t="s">
        <v>210</v>
      </c>
      <c r="D304" s="35"/>
      <c r="E304" s="35"/>
      <c r="F304" s="35"/>
      <c r="G304" s="35"/>
      <c r="H304" s="35"/>
      <c r="I304" s="35"/>
      <c r="J304" s="35"/>
      <c r="K304" s="35"/>
      <c r="BW304" s="17"/>
      <c r="BX304" s="17" t="str">
        <v>REF RICE BRAN OIL 1 LTR BOX (FREE)</v>
      </c>
      <c r="BY304" s="17" t="str">
        <v>RB 1 L</v>
      </c>
      <c r="BZ304" s="17"/>
      <c r="CA304" s="17"/>
      <c r="CB304" s="17"/>
      <c r="CC304" s="17"/>
      <c r="CD304" s="17"/>
      <c r="CE304" s="17"/>
    </row>
    <row r="305" spans="1:83" x14ac:dyDescent="0.25">
      <c r="A305" s="31" t="s">
        <v>493</v>
      </c>
      <c r="B305" s="30" t="s">
        <v>641</v>
      </c>
      <c r="C305" s="30" t="s">
        <v>210</v>
      </c>
      <c r="D305" s="35"/>
      <c r="E305" s="35"/>
      <c r="F305" s="35"/>
      <c r="G305" s="35"/>
      <c r="H305" s="35"/>
      <c r="I305" s="35"/>
      <c r="J305" s="35"/>
      <c r="K305" s="35"/>
      <c r="BW305" s="17"/>
      <c r="BX305" s="17" t="str">
        <v>REF RICE BRAN OIL 1 LTR BOX (Mr.GOLD)</v>
      </c>
      <c r="BY305" s="17" t="str">
        <v>RB 1 L</v>
      </c>
      <c r="BZ305" s="17"/>
      <c r="CA305" s="17"/>
      <c r="CB305" s="17"/>
      <c r="CC305" s="17"/>
      <c r="CD305" s="17"/>
      <c r="CE305" s="17"/>
    </row>
    <row r="306" spans="1:83" x14ac:dyDescent="0.25">
      <c r="A306" s="31" t="s">
        <v>599</v>
      </c>
      <c r="B306" s="30" t="s">
        <v>641</v>
      </c>
      <c r="C306" s="30" t="s">
        <v>210</v>
      </c>
      <c r="D306" s="35"/>
      <c r="E306" s="35"/>
      <c r="F306" s="35"/>
      <c r="G306" s="35"/>
      <c r="H306" s="35"/>
      <c r="I306" s="35"/>
      <c r="J306" s="35"/>
      <c r="K306" s="35"/>
      <c r="BW306" s="17"/>
      <c r="BX306" s="17" t="str">
        <v>REF RICE BRAN OIL 1 LTR BOX (OFFER)</v>
      </c>
      <c r="BY306" s="17" t="str">
        <v>RB 1 L</v>
      </c>
      <c r="BZ306" s="17"/>
      <c r="CA306" s="17"/>
      <c r="CB306" s="17"/>
      <c r="CC306" s="17"/>
      <c r="CD306" s="17"/>
      <c r="CE306" s="17"/>
    </row>
    <row r="307" spans="1:83" x14ac:dyDescent="0.25">
      <c r="A307" s="31" t="s">
        <v>83</v>
      </c>
      <c r="B307" s="30" t="s">
        <v>463</v>
      </c>
      <c r="C307" s="30" t="s">
        <v>210</v>
      </c>
      <c r="D307" s="35"/>
      <c r="E307" s="35"/>
      <c r="F307" s="35"/>
      <c r="G307" s="35"/>
      <c r="H307" s="35"/>
      <c r="I307" s="35"/>
      <c r="J307" s="35"/>
      <c r="K307" s="35"/>
      <c r="BW307" s="17"/>
      <c r="BX307" s="17" t="str">
        <v>REF RICE BRAN OIL 1 LTR POUCH</v>
      </c>
      <c r="BY307" s="17" t="str">
        <v>RB 1 L</v>
      </c>
      <c r="BZ307" s="17"/>
      <c r="CA307" s="17"/>
      <c r="CB307" s="17"/>
      <c r="CC307" s="17"/>
      <c r="CD307" s="17"/>
      <c r="CE307" s="17"/>
    </row>
    <row r="308" spans="1:83" x14ac:dyDescent="0.25">
      <c r="A308" s="31" t="s">
        <v>84</v>
      </c>
      <c r="B308" s="30" t="s">
        <v>463</v>
      </c>
      <c r="C308" s="30" t="s">
        <v>210</v>
      </c>
      <c r="D308" s="35"/>
      <c r="E308" s="35"/>
      <c r="F308" s="35"/>
      <c r="G308" s="35"/>
      <c r="H308" s="35"/>
      <c r="I308" s="35"/>
      <c r="J308" s="35"/>
      <c r="K308" s="35"/>
      <c r="BW308" s="17"/>
      <c r="BX308" s="17" t="str">
        <v>REF RICEBRAN OIL 1LTR BOX(FREE)</v>
      </c>
      <c r="BY308" s="17" t="str">
        <v>RB 1 L</v>
      </c>
      <c r="BZ308" s="17"/>
      <c r="CA308" s="17"/>
      <c r="CB308" s="17"/>
      <c r="CC308" s="17"/>
      <c r="CD308" s="17"/>
      <c r="CE308" s="17"/>
    </row>
    <row r="309" spans="1:83" x14ac:dyDescent="0.25">
      <c r="A309" s="31" t="s">
        <v>85</v>
      </c>
      <c r="B309" s="30" t="s">
        <v>463</v>
      </c>
      <c r="C309" s="30" t="s">
        <v>210</v>
      </c>
      <c r="D309" s="35"/>
      <c r="E309" s="35"/>
      <c r="F309" s="35"/>
      <c r="G309" s="35"/>
      <c r="H309" s="35"/>
      <c r="I309" s="35"/>
      <c r="J309" s="35"/>
      <c r="K309" s="35"/>
      <c r="BW309" s="17"/>
      <c r="BX309" s="17" t="str">
        <v>REF RICE BRAN OIL 1 LTR PET</v>
      </c>
      <c r="BY309" s="17" t="str">
        <v>RB 1 L PET</v>
      </c>
      <c r="BZ309" s="17"/>
      <c r="CA309" s="17"/>
      <c r="CB309" s="17"/>
      <c r="CC309" s="17"/>
      <c r="CD309" s="17"/>
      <c r="CE309" s="17"/>
    </row>
    <row r="310" spans="1:83" x14ac:dyDescent="0.25">
      <c r="A310" s="31" t="s">
        <v>474</v>
      </c>
      <c r="B310" s="30" t="s">
        <v>625</v>
      </c>
      <c r="C310" s="30" t="s">
        <v>210</v>
      </c>
      <c r="D310" s="35"/>
      <c r="E310" s="35"/>
      <c r="F310" s="35"/>
      <c r="G310" s="35"/>
      <c r="H310" s="35"/>
      <c r="I310" s="35"/>
      <c r="J310" s="35"/>
      <c r="K310" s="35"/>
      <c r="BW310" s="17"/>
      <c r="BX310" s="17" t="str">
        <v>REF RICE BRAN OIL 1 LTR PET BOX</v>
      </c>
      <c r="BY310" s="17" t="str">
        <v>RB 1 L PET</v>
      </c>
      <c r="BZ310" s="17"/>
      <c r="CA310" s="17"/>
      <c r="CB310" s="17"/>
      <c r="CC310" s="17"/>
      <c r="CD310" s="17"/>
      <c r="CE310" s="17"/>
    </row>
    <row r="311" spans="1:83" x14ac:dyDescent="0.25">
      <c r="A311" s="31" t="s">
        <v>439</v>
      </c>
      <c r="B311" s="30" t="s">
        <v>464</v>
      </c>
      <c r="C311" s="30" t="s">
        <v>210</v>
      </c>
      <c r="D311" s="35"/>
      <c r="E311" s="35"/>
      <c r="F311" s="35"/>
      <c r="G311" s="35"/>
      <c r="H311" s="35"/>
      <c r="I311" s="35"/>
      <c r="J311" s="35"/>
      <c r="K311" s="35"/>
      <c r="BW311" s="17"/>
      <c r="BX311" s="17" t="str">
        <v>REF RICE BRAN OIL 1 LTR PET BOX (OFFER)</v>
      </c>
      <c r="BY311" s="17" t="str">
        <v>RB 1 L PET</v>
      </c>
      <c r="BZ311" s="17"/>
      <c r="CA311" s="17"/>
      <c r="CB311" s="17"/>
      <c r="CC311" s="17"/>
      <c r="CD311" s="17"/>
      <c r="CE311" s="17"/>
    </row>
    <row r="312" spans="1:83" x14ac:dyDescent="0.25">
      <c r="A312" s="31" t="s">
        <v>81</v>
      </c>
      <c r="B312" s="30" t="s">
        <v>464</v>
      </c>
      <c r="C312" s="30" t="s">
        <v>210</v>
      </c>
      <c r="D312" s="35"/>
      <c r="E312" s="35"/>
      <c r="F312" s="35"/>
      <c r="G312" s="35"/>
      <c r="H312" s="35"/>
      <c r="I312" s="35"/>
      <c r="J312" s="35"/>
      <c r="K312" s="35"/>
      <c r="BW312" s="17"/>
      <c r="BX312" s="17" t="str">
        <v>REF RICE BRAN OIL 1LTR PET</v>
      </c>
      <c r="BY312" s="17" t="str">
        <v>RB 1 L PET</v>
      </c>
      <c r="BZ312" s="17"/>
      <c r="CA312" s="17"/>
      <c r="CB312" s="17"/>
      <c r="CC312" s="17"/>
      <c r="CD312" s="17"/>
      <c r="CE312" s="17"/>
    </row>
    <row r="313" spans="1:83" x14ac:dyDescent="0.25">
      <c r="A313" s="31" t="s">
        <v>82</v>
      </c>
      <c r="B313" s="30" t="s">
        <v>464</v>
      </c>
      <c r="C313" s="30" t="s">
        <v>210</v>
      </c>
      <c r="D313" s="35"/>
      <c r="E313" s="35"/>
      <c r="F313" s="35"/>
      <c r="G313" s="35"/>
      <c r="H313" s="35"/>
      <c r="I313" s="35"/>
      <c r="J313" s="35"/>
      <c r="K313" s="35"/>
      <c r="BW313" s="17"/>
      <c r="BX313" s="17" t="str">
        <v>REF RICE BRAN OIL 100 ML BOX</v>
      </c>
      <c r="BY313" s="17" t="str">
        <v>RB 100 ML LUP</v>
      </c>
      <c r="BZ313" s="17"/>
      <c r="CA313" s="17"/>
      <c r="CB313" s="17"/>
      <c r="CC313" s="17"/>
      <c r="CD313" s="17"/>
      <c r="CE313" s="17"/>
    </row>
    <row r="314" spans="1:83" x14ac:dyDescent="0.25">
      <c r="A314" s="31" t="s">
        <v>580</v>
      </c>
      <c r="B314" s="30" t="s">
        <v>371</v>
      </c>
      <c r="C314" s="30" t="s">
        <v>210</v>
      </c>
      <c r="D314" s="35"/>
      <c r="E314" s="35"/>
      <c r="F314" s="35"/>
      <c r="G314" s="35"/>
      <c r="H314" s="35"/>
      <c r="I314" s="35"/>
      <c r="J314" s="35"/>
      <c r="K314" s="35"/>
      <c r="BW314" s="17"/>
      <c r="BX314" s="17" t="str">
        <v>REF RICE BRAN OIL 2 LTR PET BOX</v>
      </c>
      <c r="BY314" s="17" t="str">
        <v>RB 2 L PET</v>
      </c>
      <c r="BZ314" s="17"/>
      <c r="CA314" s="17"/>
      <c r="CB314" s="17"/>
      <c r="CC314" s="17"/>
      <c r="CD314" s="17"/>
      <c r="CE314" s="17"/>
    </row>
    <row r="315" spans="1:83" x14ac:dyDescent="0.25">
      <c r="A315" s="31" t="s">
        <v>86</v>
      </c>
      <c r="B315" s="30" t="s">
        <v>371</v>
      </c>
      <c r="C315" s="30" t="s">
        <v>210</v>
      </c>
      <c r="D315" s="35"/>
      <c r="E315" s="35"/>
      <c r="F315" s="35"/>
      <c r="G315" s="35"/>
      <c r="H315" s="35"/>
      <c r="I315" s="35"/>
      <c r="J315" s="35"/>
      <c r="K315" s="35"/>
      <c r="BW315" s="17"/>
      <c r="BX315" s="17" t="str">
        <v>REF RICE BRAN OIL 2 LTR PET BOX (Export)</v>
      </c>
      <c r="BY315" s="17" t="str">
        <v>RB 2 L PET</v>
      </c>
      <c r="BZ315" s="17"/>
      <c r="CA315" s="17"/>
      <c r="CB315" s="17"/>
      <c r="CC315" s="17"/>
      <c r="CD315" s="17"/>
      <c r="CE315" s="17"/>
    </row>
    <row r="316" spans="1:83" x14ac:dyDescent="0.25">
      <c r="A316" s="31" t="s">
        <v>87</v>
      </c>
      <c r="B316" s="30" t="s">
        <v>371</v>
      </c>
      <c r="C316" s="30" t="s">
        <v>210</v>
      </c>
      <c r="D316" s="35"/>
      <c r="E316" s="35"/>
      <c r="F316" s="35"/>
      <c r="G316" s="35"/>
      <c r="H316" s="35"/>
      <c r="I316" s="35"/>
      <c r="J316" s="35"/>
      <c r="K316" s="35"/>
      <c r="BW316" s="17"/>
      <c r="BX316" s="17" t="str">
        <v>REF RICE BRAN OIL 5 LTR BOX</v>
      </c>
      <c r="BY316" s="17" t="str">
        <v>RB 5 L</v>
      </c>
      <c r="BZ316" s="17"/>
      <c r="CA316" s="17"/>
      <c r="CB316" s="17"/>
      <c r="CC316" s="17"/>
      <c r="CD316" s="17"/>
      <c r="CE316" s="17"/>
    </row>
    <row r="317" spans="1:83" x14ac:dyDescent="0.25">
      <c r="A317" s="31" t="s">
        <v>595</v>
      </c>
      <c r="B317" s="30" t="s">
        <v>371</v>
      </c>
      <c r="C317" s="30" t="s">
        <v>210</v>
      </c>
      <c r="D317" s="35"/>
      <c r="E317" s="35"/>
      <c r="F317" s="35"/>
      <c r="G317" s="35"/>
      <c r="H317" s="35"/>
      <c r="I317" s="35"/>
      <c r="J317" s="35"/>
      <c r="K317" s="35"/>
      <c r="BW317" s="17"/>
      <c r="BX317" s="17" t="str">
        <v>REF RICE BRAN OIL 5 LTR BOX (Export)</v>
      </c>
      <c r="BY317" s="17" t="str">
        <v>RB 5 L</v>
      </c>
      <c r="BZ317" s="17"/>
      <c r="CA317" s="17"/>
      <c r="CB317" s="17"/>
      <c r="CC317" s="17"/>
      <c r="CD317" s="17"/>
      <c r="CE317" s="17"/>
    </row>
    <row r="318" spans="1:83" x14ac:dyDescent="0.25">
      <c r="A318" s="31" t="s">
        <v>118</v>
      </c>
      <c r="B318" s="30" t="s">
        <v>374</v>
      </c>
      <c r="C318" s="30" t="s">
        <v>210</v>
      </c>
      <c r="D318" s="35"/>
      <c r="E318" s="35"/>
      <c r="F318" s="35"/>
      <c r="G318" s="35"/>
      <c r="H318" s="35"/>
      <c r="I318" s="35"/>
      <c r="J318" s="35"/>
      <c r="K318" s="35"/>
      <c r="BW318" s="17"/>
      <c r="BX318" s="17" t="str">
        <v>REF RICE BRAN OIL 5 LTR CAN</v>
      </c>
      <c r="BY318" s="17" t="str">
        <v>RB 5 L</v>
      </c>
      <c r="BZ318" s="17"/>
      <c r="CA318" s="17"/>
      <c r="CB318" s="17"/>
      <c r="CC318" s="17"/>
      <c r="CD318" s="17"/>
      <c r="CE318" s="17"/>
    </row>
    <row r="319" spans="1:83" x14ac:dyDescent="0.25">
      <c r="A319" s="31" t="s">
        <v>120</v>
      </c>
      <c r="B319" s="30" t="s">
        <v>374</v>
      </c>
      <c r="C319" s="30" t="s">
        <v>210</v>
      </c>
      <c r="D319" s="35"/>
      <c r="E319" s="35"/>
      <c r="F319" s="35"/>
      <c r="G319" s="35"/>
      <c r="H319" s="35"/>
      <c r="I319" s="35"/>
      <c r="J319" s="35"/>
      <c r="K319" s="35"/>
      <c r="BW319" s="17"/>
      <c r="BX319" s="17" t="str">
        <v>REF RICE BRAN OIL 5 LTR CAN BOX</v>
      </c>
      <c r="BY319" s="17" t="str">
        <v>RB 5 L</v>
      </c>
      <c r="BZ319" s="17"/>
      <c r="CA319" s="17"/>
      <c r="CB319" s="17"/>
      <c r="CC319" s="17"/>
      <c r="CD319" s="17"/>
      <c r="CE319" s="17"/>
    </row>
    <row r="320" spans="1:83" x14ac:dyDescent="0.25">
      <c r="A320" s="31" t="s">
        <v>119</v>
      </c>
      <c r="B320" s="30" t="s">
        <v>374</v>
      </c>
      <c r="C320" s="30" t="s">
        <v>210</v>
      </c>
      <c r="D320" s="35"/>
      <c r="E320" s="35"/>
      <c r="F320" s="35"/>
      <c r="G320" s="35"/>
      <c r="H320" s="35"/>
      <c r="I320" s="35"/>
      <c r="J320" s="35"/>
      <c r="K320" s="35"/>
      <c r="BW320" s="17"/>
      <c r="BX320" s="17" t="str">
        <v>REF RICE BRAN OIL 5LTR CAN</v>
      </c>
      <c r="BY320" s="17" t="str">
        <v>RB 5 L</v>
      </c>
      <c r="BZ320" s="17"/>
      <c r="CA320" s="17"/>
      <c r="CB320" s="17"/>
      <c r="CC320" s="17"/>
      <c r="CD320" s="17"/>
      <c r="CE320" s="17"/>
    </row>
    <row r="321" spans="1:83" x14ac:dyDescent="0.25">
      <c r="A321" s="31" t="s">
        <v>299</v>
      </c>
      <c r="B321" s="30" t="s">
        <v>374</v>
      </c>
      <c r="C321" s="30" t="s">
        <v>210</v>
      </c>
      <c r="D321" s="35"/>
      <c r="E321" s="35"/>
      <c r="F321" s="35"/>
      <c r="G321" s="35"/>
      <c r="H321" s="35"/>
      <c r="I321" s="35"/>
      <c r="J321" s="35"/>
      <c r="K321" s="35"/>
      <c r="BW321" s="17"/>
      <c r="BX321" s="17" t="str">
        <v>REF RICE BRAN OIL 1/2 LTR BOX</v>
      </c>
      <c r="BY321" s="17" t="str">
        <v>RB 500 ML</v>
      </c>
      <c r="BZ321" s="17"/>
      <c r="CA321" s="17"/>
      <c r="CB321" s="17"/>
      <c r="CC321" s="17"/>
      <c r="CD321" s="17"/>
      <c r="CE321" s="17"/>
    </row>
    <row r="322" spans="1:83" x14ac:dyDescent="0.25">
      <c r="A322" s="31" t="s">
        <v>127</v>
      </c>
      <c r="B322" s="30" t="s">
        <v>374</v>
      </c>
      <c r="C322" s="30" t="s">
        <v>210</v>
      </c>
      <c r="D322" s="35"/>
      <c r="E322" s="35"/>
      <c r="F322" s="35"/>
      <c r="G322" s="35"/>
      <c r="H322" s="35"/>
      <c r="I322" s="35"/>
      <c r="J322" s="35"/>
      <c r="K322" s="35"/>
      <c r="BW322" s="17"/>
      <c r="BX322" s="17" t="str">
        <v>REF RICE BRAN OIL 1/2 LTR BOX (OFFER)</v>
      </c>
      <c r="BY322" s="17" t="str">
        <v>RB 500 ML</v>
      </c>
      <c r="BZ322" s="17"/>
      <c r="CA322" s="17"/>
      <c r="CB322" s="17"/>
      <c r="CC322" s="17"/>
      <c r="CD322" s="17"/>
      <c r="CE322" s="17"/>
    </row>
    <row r="323" spans="1:83" x14ac:dyDescent="0.25">
      <c r="A323" s="31" t="s">
        <v>126</v>
      </c>
      <c r="B323" s="30" t="s">
        <v>377</v>
      </c>
      <c r="C323" s="30" t="s">
        <v>210</v>
      </c>
      <c r="D323" s="35"/>
      <c r="E323" s="35"/>
      <c r="F323" s="35"/>
      <c r="G323" s="35"/>
      <c r="H323" s="35"/>
      <c r="I323" s="35"/>
      <c r="J323" s="35"/>
      <c r="K323" s="35"/>
      <c r="BW323" s="17"/>
      <c r="BX323" s="17" t="str">
        <v>REF RICE BRAN OIL 1/2 LTR POUCH</v>
      </c>
      <c r="BY323" s="17" t="str">
        <v>RB 500 ML</v>
      </c>
      <c r="BZ323" s="17"/>
      <c r="CA323" s="17"/>
      <c r="CB323" s="17"/>
      <c r="CC323" s="17"/>
      <c r="CD323" s="17"/>
      <c r="CE323" s="17"/>
    </row>
    <row r="324" spans="1:83" x14ac:dyDescent="0.25">
      <c r="A324" s="31" t="s">
        <v>591</v>
      </c>
      <c r="B324" s="30" t="s">
        <v>513</v>
      </c>
      <c r="C324" s="30" t="s">
        <v>210</v>
      </c>
      <c r="D324" s="35"/>
      <c r="E324" s="35"/>
      <c r="F324" s="35"/>
      <c r="G324" s="35"/>
      <c r="H324" s="35"/>
      <c r="I324" s="35"/>
      <c r="J324" s="35"/>
      <c r="K324" s="35"/>
      <c r="BW324" s="17"/>
      <c r="BX324" s="17" t="str">
        <v>REF RICE BRAN OIL 1/2 LTR POUCH (FREE)</v>
      </c>
      <c r="BY324" s="17" t="str">
        <v>RB 500 ML</v>
      </c>
      <c r="BZ324" s="17"/>
      <c r="CA324" s="17"/>
      <c r="CB324" s="17"/>
      <c r="CC324" s="17"/>
      <c r="CD324" s="17"/>
      <c r="CE324" s="17"/>
    </row>
    <row r="325" spans="1:83" x14ac:dyDescent="0.25">
      <c r="A325" s="31" t="s">
        <v>587</v>
      </c>
      <c r="B325" s="30" t="s">
        <v>417</v>
      </c>
      <c r="C325" s="30" t="s">
        <v>210</v>
      </c>
      <c r="D325" s="35"/>
      <c r="E325" s="35"/>
      <c r="F325" s="35"/>
      <c r="G325" s="35"/>
      <c r="H325" s="35"/>
      <c r="I325" s="35"/>
      <c r="J325" s="35"/>
      <c r="K325" s="35"/>
      <c r="BW325" s="17"/>
      <c r="BX325" s="17" t="str">
        <v>REF RICEBRAN OIL 1/2 LTR BOX</v>
      </c>
      <c r="BY325" s="17" t="str">
        <v>RB 500 ML</v>
      </c>
      <c r="BZ325" s="17"/>
      <c r="CA325" s="17"/>
      <c r="CB325" s="17"/>
      <c r="CC325" s="17"/>
      <c r="CD325" s="17"/>
      <c r="CE325" s="17"/>
    </row>
    <row r="326" spans="1:83" x14ac:dyDescent="0.25">
      <c r="A326" s="31" t="s">
        <v>121</v>
      </c>
      <c r="B326" s="30" t="s">
        <v>417</v>
      </c>
      <c r="C326" s="30" t="s">
        <v>210</v>
      </c>
      <c r="D326" s="35"/>
      <c r="E326" s="35"/>
      <c r="F326" s="35"/>
      <c r="G326" s="35"/>
      <c r="H326" s="35"/>
      <c r="I326" s="35"/>
      <c r="J326" s="35"/>
      <c r="K326" s="35"/>
      <c r="BW326" s="17"/>
      <c r="BX326" s="17" t="str">
        <v>REFRICE BRANOIL 1/2 LTR BOX(Mr.GOLD)</v>
      </c>
      <c r="BY326" s="17" t="str">
        <v>RB 500 ML</v>
      </c>
      <c r="BZ326" s="17"/>
      <c r="CA326" s="17"/>
      <c r="CB326" s="17"/>
      <c r="CC326" s="17"/>
      <c r="CD326" s="17"/>
      <c r="CE326" s="17"/>
    </row>
    <row r="327" spans="1:83" x14ac:dyDescent="0.25">
      <c r="A327" s="31" t="s">
        <v>475</v>
      </c>
      <c r="B327" s="30" t="s">
        <v>659</v>
      </c>
      <c r="C327" s="30" t="s">
        <v>210</v>
      </c>
      <c r="D327" s="35"/>
      <c r="E327" s="35"/>
      <c r="F327" s="35"/>
      <c r="G327" s="35"/>
      <c r="H327" s="35"/>
      <c r="I327" s="35"/>
      <c r="J327" s="35"/>
      <c r="K327" s="35"/>
      <c r="BW327" s="17"/>
      <c r="BX327" s="17" t="str">
        <v>REF RICE BRAN OIL  OIL Rs.10 PACK</v>
      </c>
      <c r="BY327" s="17" t="str">
        <v>RB RS.10 LUP</v>
      </c>
      <c r="BZ327" s="17"/>
      <c r="CA327" s="17"/>
      <c r="CB327" s="17"/>
      <c r="CC327" s="17"/>
      <c r="CD327" s="17"/>
      <c r="CE327" s="17"/>
    </row>
    <row r="328" spans="1:83" x14ac:dyDescent="0.25">
      <c r="A328" s="31" t="s">
        <v>604</v>
      </c>
      <c r="B328" s="30" t="s">
        <v>658</v>
      </c>
      <c r="C328" s="30" t="s">
        <v>210</v>
      </c>
      <c r="D328" s="35"/>
      <c r="E328" s="35"/>
      <c r="F328" s="35"/>
      <c r="G328" s="35"/>
      <c r="H328" s="35"/>
      <c r="I328" s="35"/>
      <c r="J328" s="35"/>
      <c r="K328" s="35"/>
      <c r="BW328" s="17"/>
      <c r="BX328" s="17" t="str">
        <v>REF RICE BRAN OIL  OIL Rs.10 PACK JAR BOX (18 MAY)</v>
      </c>
      <c r="BY328" s="17" t="str">
        <v>RB RS.10 LUP</v>
      </c>
      <c r="BZ328" s="17"/>
      <c r="CA328" s="17"/>
      <c r="CB328" s="17"/>
      <c r="CC328" s="17"/>
      <c r="CD328" s="17"/>
      <c r="CE328" s="17"/>
    </row>
    <row r="329" spans="1:83" x14ac:dyDescent="0.25">
      <c r="A329" s="31" t="s">
        <v>605</v>
      </c>
      <c r="B329" s="30" t="s">
        <v>659</v>
      </c>
      <c r="C329" s="30" t="s">
        <v>210</v>
      </c>
      <c r="D329" s="35"/>
      <c r="E329" s="35"/>
      <c r="F329" s="35"/>
      <c r="G329" s="35"/>
      <c r="H329" s="35"/>
      <c r="I329" s="35"/>
      <c r="J329" s="35"/>
      <c r="K329" s="35"/>
      <c r="BW329" s="17"/>
      <c r="BX329" s="17" t="str">
        <v>REF RICE BRAN OIL 100ML BOX</v>
      </c>
      <c r="BY329" s="17" t="str">
        <v>RB RS.10 LUP</v>
      </c>
      <c r="BZ329" s="17"/>
      <c r="CA329" s="17"/>
      <c r="CB329" s="17"/>
      <c r="CC329" s="17"/>
      <c r="CD329" s="17"/>
      <c r="CE329" s="17"/>
    </row>
    <row r="330" spans="1:83" x14ac:dyDescent="0.25">
      <c r="A330" s="31" t="s">
        <v>705</v>
      </c>
      <c r="B330" s="30" t="s">
        <v>658</v>
      </c>
      <c r="C330" s="30" t="s">
        <v>210</v>
      </c>
      <c r="D330" s="35"/>
      <c r="E330" s="35"/>
      <c r="F330" s="35"/>
      <c r="G330" s="35"/>
      <c r="H330" s="35"/>
      <c r="I330" s="35"/>
      <c r="J330" s="35"/>
      <c r="K330" s="35"/>
      <c r="BW330" s="17"/>
      <c r="BX330" s="17" t="str">
        <v>REF RICE BRAN OIL Rs.10 PACK</v>
      </c>
      <c r="BY330" s="17" t="str">
        <v>RB RS.10 LUP</v>
      </c>
      <c r="BZ330" s="17"/>
      <c r="CA330" s="17"/>
      <c r="CB330" s="17"/>
      <c r="CC330" s="17"/>
      <c r="CD330" s="17"/>
      <c r="CE330" s="17"/>
    </row>
    <row r="331" spans="1:83" x14ac:dyDescent="0.25">
      <c r="A331" s="31" t="s">
        <v>680</v>
      </c>
      <c r="B331" s="30" t="s">
        <v>683</v>
      </c>
      <c r="C331" s="30" t="s">
        <v>210</v>
      </c>
      <c r="D331" s="35"/>
      <c r="E331" s="35"/>
      <c r="F331" s="35"/>
      <c r="G331" s="35"/>
      <c r="H331" s="35"/>
      <c r="I331" s="35"/>
      <c r="J331" s="35"/>
      <c r="K331" s="35"/>
      <c r="BW331" s="17"/>
      <c r="BX331" s="17" t="str">
        <v>REF RICE BRAN OIL RS.10 PACK BOX</v>
      </c>
      <c r="BY331" s="17" t="str">
        <v>RB RS.10 LUP</v>
      </c>
      <c r="BZ331" s="17"/>
      <c r="CA331" s="17"/>
      <c r="CB331" s="17"/>
      <c r="CC331" s="17"/>
      <c r="CD331" s="17"/>
      <c r="CE331" s="17"/>
    </row>
    <row r="332" spans="1:83" x14ac:dyDescent="0.25">
      <c r="A332" s="31" t="s">
        <v>723</v>
      </c>
      <c r="B332" s="30" t="s">
        <v>727</v>
      </c>
      <c r="C332" s="30" t="s">
        <v>211</v>
      </c>
      <c r="D332" s="35"/>
      <c r="E332" s="35"/>
      <c r="F332" s="35"/>
      <c r="G332" s="35"/>
      <c r="H332" s="35"/>
      <c r="I332" s="35"/>
      <c r="J332" s="35"/>
      <c r="K332" s="35"/>
      <c r="BW332" s="17"/>
      <c r="BX332" s="17" t="str">
        <v>REF RICE BRAN OIL RS.10 PACK BOX (01.02.24)</v>
      </c>
      <c r="BY332" s="17" t="str">
        <v>RB RS.10 LUP</v>
      </c>
      <c r="BZ332" s="17"/>
      <c r="CA332" s="17"/>
      <c r="CB332" s="17"/>
      <c r="CC332" s="17"/>
      <c r="CD332" s="17"/>
      <c r="CE332" s="17"/>
    </row>
    <row r="333" spans="1:83" x14ac:dyDescent="0.25">
      <c r="A333" s="31" t="s">
        <v>719</v>
      </c>
      <c r="B333" s="30" t="s">
        <v>422</v>
      </c>
      <c r="C333" s="30" t="s">
        <v>210</v>
      </c>
      <c r="D333" s="35"/>
      <c r="E333" s="35"/>
      <c r="F333" s="35"/>
      <c r="G333" s="35"/>
      <c r="H333" s="35"/>
      <c r="I333" s="35"/>
      <c r="J333" s="35"/>
      <c r="K333" s="35"/>
      <c r="BW333" s="17"/>
      <c r="BX333" s="17" t="str">
        <v>REF RICE BRAN OIL RS.10 PACK BOX (03.05.2023)</v>
      </c>
      <c r="BY333" s="17" t="str">
        <v>RB RS.10 LUP</v>
      </c>
      <c r="BZ333" s="17"/>
      <c r="CA333" s="17"/>
      <c r="CB333" s="17"/>
      <c r="CC333" s="17"/>
      <c r="CD333" s="17"/>
      <c r="CE333" s="17"/>
    </row>
    <row r="334" spans="1:83" x14ac:dyDescent="0.25">
      <c r="A334" s="31" t="s">
        <v>133</v>
      </c>
      <c r="B334" s="30" t="s">
        <v>378</v>
      </c>
      <c r="C334" s="30" t="s">
        <v>210</v>
      </c>
      <c r="D334" s="35"/>
      <c r="E334" s="35"/>
      <c r="F334" s="35"/>
      <c r="G334" s="35"/>
      <c r="H334" s="35"/>
      <c r="I334" s="35"/>
      <c r="J334" s="35"/>
      <c r="K334" s="35"/>
      <c r="BW334" s="17"/>
      <c r="BX334" s="17" t="str">
        <v>REF RICE BRAN OIL RS.10 PACK BOX (APRIL-22)</v>
      </c>
      <c r="BY334" s="17" t="str">
        <v>RB RS.10 LUP</v>
      </c>
      <c r="BZ334" s="17"/>
      <c r="CA334" s="17"/>
      <c r="CB334" s="17"/>
      <c r="CC334" s="17"/>
      <c r="CD334" s="17"/>
      <c r="CE334" s="17"/>
    </row>
    <row r="335" spans="1:83" x14ac:dyDescent="0.25">
      <c r="A335" s="31" t="s">
        <v>142</v>
      </c>
      <c r="B335" s="30" t="s">
        <v>378</v>
      </c>
      <c r="C335" s="30" t="s">
        <v>210</v>
      </c>
      <c r="D335" s="35"/>
      <c r="E335" s="35"/>
      <c r="F335" s="35"/>
      <c r="G335" s="35"/>
      <c r="H335" s="35"/>
      <c r="I335" s="35"/>
      <c r="J335" s="35"/>
      <c r="K335" s="35"/>
      <c r="BW335" s="17"/>
      <c r="BX335" s="17" t="str">
        <v>REF RICE BRAN OIL RS.10 PACK BOX-OFFER(18-JULY-22</v>
      </c>
      <c r="BY335" s="17" t="str">
        <v>RB RS.10 LUP</v>
      </c>
      <c r="BZ335" s="17"/>
      <c r="CA335" s="17"/>
      <c r="CB335" s="17"/>
      <c r="CC335" s="17"/>
      <c r="CD335" s="17"/>
      <c r="CE335" s="17"/>
    </row>
    <row r="336" spans="1:83" x14ac:dyDescent="0.25">
      <c r="A336" s="31" t="s">
        <v>134</v>
      </c>
      <c r="B336" s="30" t="s">
        <v>378</v>
      </c>
      <c r="C336" s="30" t="s">
        <v>210</v>
      </c>
      <c r="D336" s="35"/>
      <c r="E336" s="35"/>
      <c r="F336" s="35"/>
      <c r="G336" s="35"/>
      <c r="H336" s="35"/>
      <c r="I336" s="35"/>
      <c r="J336" s="35"/>
      <c r="K336" s="35"/>
      <c r="BW336" s="17"/>
      <c r="BX336" s="17" t="str">
        <v>REF GROUNDNUT OIL 1 LTR BOX</v>
      </c>
      <c r="BY336" s="17" t="str">
        <v>RGN 1 L</v>
      </c>
      <c r="BZ336" s="17"/>
      <c r="CA336" s="17"/>
      <c r="CB336" s="17"/>
      <c r="CC336" s="17"/>
      <c r="CD336" s="17"/>
      <c r="CE336" s="17"/>
    </row>
    <row r="337" spans="1:83" x14ac:dyDescent="0.25">
      <c r="A337" s="31" t="s">
        <v>135</v>
      </c>
      <c r="B337" s="30" t="s">
        <v>378</v>
      </c>
      <c r="C337" s="30" t="s">
        <v>210</v>
      </c>
      <c r="D337" s="35"/>
      <c r="E337" s="35"/>
      <c r="F337" s="35"/>
      <c r="G337" s="35"/>
      <c r="H337" s="35"/>
      <c r="I337" s="35"/>
      <c r="J337" s="35"/>
      <c r="K337" s="35"/>
      <c r="BW337" s="17"/>
      <c r="BX337" s="17" t="str">
        <v>REF GROUNDNUT OIL 1 LTR POUCH</v>
      </c>
      <c r="BY337" s="17" t="str">
        <v>RGN 1 L</v>
      </c>
      <c r="BZ337" s="17"/>
      <c r="CA337" s="17"/>
      <c r="CB337" s="17"/>
      <c r="CC337" s="17"/>
      <c r="CD337" s="17"/>
      <c r="CE337" s="17"/>
    </row>
    <row r="338" spans="1:83" x14ac:dyDescent="0.25">
      <c r="A338" s="31" t="s">
        <v>137</v>
      </c>
      <c r="B338" s="30" t="s">
        <v>378</v>
      </c>
      <c r="C338" s="30" t="s">
        <v>210</v>
      </c>
      <c r="D338" s="35"/>
      <c r="E338" s="35"/>
      <c r="F338" s="35"/>
      <c r="G338" s="35"/>
      <c r="H338" s="35"/>
      <c r="I338" s="35"/>
      <c r="J338" s="35"/>
      <c r="K338" s="35"/>
      <c r="BW338" s="17"/>
      <c r="BX338" s="17" t="str">
        <v>REF GROUNDNUT OIL 1 LTR POUCH (FREE)</v>
      </c>
      <c r="BY338" s="17" t="str">
        <v>RGN 1 L</v>
      </c>
      <c r="BZ338" s="17"/>
      <c r="CA338" s="17"/>
      <c r="CB338" s="17"/>
      <c r="CC338" s="17"/>
      <c r="CD338" s="17"/>
      <c r="CE338" s="17"/>
    </row>
    <row r="339" spans="1:83" x14ac:dyDescent="0.25">
      <c r="A339" s="31" t="s">
        <v>138</v>
      </c>
      <c r="B339" s="30" t="s">
        <v>378</v>
      </c>
      <c r="C339" s="30" t="s">
        <v>210</v>
      </c>
      <c r="D339" s="35"/>
      <c r="E339" s="35"/>
      <c r="F339" s="35"/>
      <c r="G339" s="35"/>
      <c r="H339" s="35"/>
      <c r="I339" s="35"/>
      <c r="J339" s="35"/>
      <c r="K339" s="35"/>
      <c r="BW339" s="17"/>
      <c r="BX339" s="17" t="str">
        <v>REF GROUNDNUT OIL 5 LTR  CAN</v>
      </c>
      <c r="BY339" s="17" t="str">
        <v>RGN 5 L</v>
      </c>
      <c r="BZ339" s="17"/>
      <c r="CA339" s="17"/>
      <c r="CB339" s="17"/>
      <c r="CC339" s="17"/>
      <c r="CD339" s="17"/>
      <c r="CE339" s="17"/>
    </row>
    <row r="340" spans="1:83" x14ac:dyDescent="0.25">
      <c r="A340" s="31" t="s">
        <v>307</v>
      </c>
      <c r="B340" s="30" t="s">
        <v>378</v>
      </c>
      <c r="C340" s="30" t="s">
        <v>210</v>
      </c>
      <c r="D340" s="35"/>
      <c r="E340" s="35"/>
      <c r="F340" s="35"/>
      <c r="G340" s="35"/>
      <c r="H340" s="35"/>
      <c r="I340" s="35"/>
      <c r="J340" s="35"/>
      <c r="K340" s="35"/>
      <c r="BW340" s="17"/>
      <c r="BX340" s="17" t="str">
        <v>REF GROUNDNUT OIL 5 LTR CAN  BOX</v>
      </c>
      <c r="BY340" s="17" t="str">
        <v>RGN 5 L</v>
      </c>
      <c r="BZ340" s="17"/>
      <c r="CA340" s="17"/>
      <c r="CB340" s="17"/>
      <c r="CC340" s="17"/>
      <c r="CD340" s="17"/>
      <c r="CE340" s="17"/>
    </row>
    <row r="341" spans="1:83" x14ac:dyDescent="0.25">
      <c r="A341" s="31" t="s">
        <v>450</v>
      </c>
      <c r="B341" s="30" t="s">
        <v>378</v>
      </c>
      <c r="C341" s="30" t="s">
        <v>210</v>
      </c>
      <c r="D341" s="35"/>
      <c r="E341" s="35"/>
      <c r="F341" s="35"/>
      <c r="G341" s="35"/>
      <c r="H341" s="35"/>
      <c r="I341" s="35"/>
      <c r="J341" s="35"/>
      <c r="K341" s="35"/>
      <c r="BW341" s="17"/>
      <c r="BX341" s="17" t="str">
        <v>REF SUNFLOWER OIL 1 LIT POUCH</v>
      </c>
      <c r="BY341" s="17" t="str">
        <v>SF 1 L</v>
      </c>
      <c r="BZ341" s="17"/>
      <c r="CA341" s="17"/>
      <c r="CB341" s="17"/>
      <c r="CC341" s="17"/>
      <c r="CD341" s="17"/>
      <c r="CE341" s="17"/>
    </row>
    <row r="342" spans="1:83" x14ac:dyDescent="0.25">
      <c r="A342" s="31" t="s">
        <v>139</v>
      </c>
      <c r="B342" s="30" t="s">
        <v>465</v>
      </c>
      <c r="C342" s="30" t="s">
        <v>210</v>
      </c>
      <c r="D342" s="35"/>
      <c r="E342" s="35"/>
      <c r="F342" s="35"/>
      <c r="G342" s="35"/>
      <c r="H342" s="35"/>
      <c r="I342" s="35"/>
      <c r="J342" s="35"/>
      <c r="K342" s="35"/>
      <c r="BW342" s="17"/>
      <c r="BX342" s="17" t="str">
        <v>REF SUNFLOWER OIL 1 LTR BOX</v>
      </c>
      <c r="BY342" s="17" t="str">
        <v>SF 1 L</v>
      </c>
      <c r="BZ342" s="17"/>
      <c r="CA342" s="17"/>
      <c r="CB342" s="17"/>
      <c r="CC342" s="17"/>
      <c r="CD342" s="17"/>
      <c r="CE342" s="17"/>
    </row>
    <row r="343" spans="1:83" x14ac:dyDescent="0.25">
      <c r="A343" s="31" t="s">
        <v>140</v>
      </c>
      <c r="B343" s="30" t="s">
        <v>465</v>
      </c>
      <c r="C343" s="30" t="s">
        <v>210</v>
      </c>
      <c r="D343" s="35"/>
      <c r="E343" s="35"/>
      <c r="F343" s="35"/>
      <c r="G343" s="35"/>
      <c r="H343" s="35"/>
      <c r="I343" s="35"/>
      <c r="J343" s="35"/>
      <c r="K343" s="35"/>
      <c r="BW343" s="17"/>
      <c r="BX343" s="17" t="str">
        <v>REF SUNFLOWER OIL 1 LTR BOX (COCONUT OFFER)</v>
      </c>
      <c r="BY343" s="17" t="str">
        <v>SF 1 L</v>
      </c>
      <c r="BZ343" s="17"/>
      <c r="CA343" s="17"/>
      <c r="CB343" s="17"/>
      <c r="CC343" s="17"/>
      <c r="CD343" s="17"/>
      <c r="CE343" s="17"/>
    </row>
    <row r="344" spans="1:83" x14ac:dyDescent="0.25">
      <c r="A344" s="31" t="s">
        <v>141</v>
      </c>
      <c r="B344" s="30" t="s">
        <v>465</v>
      </c>
      <c r="C344" s="30" t="s">
        <v>210</v>
      </c>
      <c r="D344" s="35"/>
      <c r="E344" s="35"/>
      <c r="F344" s="35"/>
      <c r="G344" s="35"/>
      <c r="H344" s="35"/>
      <c r="I344" s="35"/>
      <c r="J344" s="35"/>
      <c r="K344" s="35"/>
      <c r="BW344" s="17"/>
      <c r="BX344" s="17" t="str">
        <v>REF SUNFLOWER OIL 1 LTR BOX (FREE)</v>
      </c>
      <c r="BY344" s="17" t="str">
        <v>SF 1 L</v>
      </c>
      <c r="BZ344" s="17"/>
      <c r="CA344" s="17"/>
      <c r="CB344" s="17"/>
      <c r="CC344" s="17"/>
      <c r="CD344" s="17"/>
      <c r="CE344" s="17"/>
    </row>
    <row r="345" spans="1:83" x14ac:dyDescent="0.25">
      <c r="A345" s="31" t="s">
        <v>229</v>
      </c>
      <c r="B345" s="30" t="s">
        <v>465</v>
      </c>
      <c r="C345" s="30" t="s">
        <v>210</v>
      </c>
      <c r="D345" s="35"/>
      <c r="E345" s="35"/>
      <c r="F345" s="35"/>
      <c r="G345" s="35"/>
      <c r="H345" s="35"/>
      <c r="I345" s="35"/>
      <c r="J345" s="35"/>
      <c r="K345" s="35"/>
      <c r="BW345" s="17"/>
      <c r="BX345" s="17" t="str">
        <v>REF SUNFLOWER OIL 1 LTR BOX (RRB OFFER)</v>
      </c>
      <c r="BY345" s="17" t="str">
        <v>SF 1 L</v>
      </c>
      <c r="BZ345" s="17"/>
      <c r="CA345" s="17"/>
      <c r="CB345" s="17"/>
      <c r="CC345" s="17"/>
      <c r="CD345" s="17"/>
      <c r="CE345" s="17"/>
    </row>
    <row r="346" spans="1:83" x14ac:dyDescent="0.25">
      <c r="A346" s="31" t="s">
        <v>302</v>
      </c>
      <c r="B346" s="30" t="s">
        <v>418</v>
      </c>
      <c r="C346" s="30" t="s">
        <v>210</v>
      </c>
      <c r="D346" s="35"/>
      <c r="E346" s="35"/>
      <c r="F346" s="35"/>
      <c r="G346" s="35"/>
      <c r="H346" s="35"/>
      <c r="I346" s="35"/>
      <c r="J346" s="35"/>
      <c r="K346" s="35"/>
      <c r="BW346" s="17"/>
      <c r="BX346" s="17" t="str">
        <v>REF SUNFLOWER OIL 1 LTR POUCH</v>
      </c>
      <c r="BY346" s="17" t="str">
        <v>SF 1 L</v>
      </c>
      <c r="BZ346" s="17"/>
      <c r="CA346" s="17"/>
      <c r="CB346" s="17"/>
      <c r="CC346" s="17"/>
      <c r="CD346" s="17"/>
      <c r="CE346" s="17"/>
    </row>
    <row r="347" spans="1:83" x14ac:dyDescent="0.25">
      <c r="A347" s="31" t="s">
        <v>143</v>
      </c>
      <c r="B347" s="30" t="s">
        <v>517</v>
      </c>
      <c r="C347" s="30" t="s">
        <v>210</v>
      </c>
      <c r="D347" s="35"/>
      <c r="E347" s="35"/>
      <c r="F347" s="35"/>
      <c r="G347" s="35"/>
      <c r="H347" s="35"/>
      <c r="I347" s="35"/>
      <c r="J347" s="35"/>
      <c r="K347" s="35"/>
      <c r="BW347" s="17"/>
      <c r="BX347" s="17" t="str">
        <v>REF SUNFLOWER OIL 1 Ltr POUCH (FREE)</v>
      </c>
      <c r="BY347" s="17" t="str">
        <v>SF 1 L</v>
      </c>
      <c r="BZ347" s="17"/>
      <c r="CA347" s="17"/>
      <c r="CB347" s="17"/>
      <c r="CC347" s="17"/>
      <c r="CD347" s="17"/>
      <c r="CE347" s="17"/>
    </row>
    <row r="348" spans="1:83" x14ac:dyDescent="0.25">
      <c r="A348" s="31" t="s">
        <v>304</v>
      </c>
      <c r="B348" s="30" t="s">
        <v>517</v>
      </c>
      <c r="C348" s="30" t="s">
        <v>210</v>
      </c>
      <c r="D348" s="35"/>
      <c r="E348" s="35"/>
      <c r="F348" s="35"/>
      <c r="G348" s="35"/>
      <c r="H348" s="35"/>
      <c r="I348" s="35"/>
      <c r="J348" s="35"/>
      <c r="K348" s="35"/>
      <c r="BW348" s="17"/>
      <c r="BX348" s="17" t="str">
        <v>REF SUNFLOWEROIL 1 Ltr Pouch (Free)</v>
      </c>
      <c r="BY348" s="17" t="str">
        <v>SF 1 L</v>
      </c>
      <c r="BZ348" s="17"/>
      <c r="CA348" s="17"/>
      <c r="CB348" s="17"/>
      <c r="CC348" s="17"/>
      <c r="CD348" s="17"/>
      <c r="CE348" s="17"/>
    </row>
    <row r="349" spans="1:83" x14ac:dyDescent="0.25">
      <c r="A349" s="31" t="s">
        <v>305</v>
      </c>
      <c r="B349" s="30" t="s">
        <v>379</v>
      </c>
      <c r="C349" s="30" t="s">
        <v>210</v>
      </c>
      <c r="D349" s="35"/>
      <c r="E349" s="35"/>
      <c r="F349" s="35"/>
      <c r="G349" s="35"/>
      <c r="H349" s="35"/>
      <c r="I349" s="35"/>
      <c r="J349" s="35"/>
      <c r="K349" s="35"/>
      <c r="BW349" s="17"/>
      <c r="BX349" s="17" t="str">
        <v>REF SUNFLOWER OIL 1 LTR  PET</v>
      </c>
      <c r="BY349" s="17" t="str">
        <v>SF 1 L PET</v>
      </c>
      <c r="BZ349" s="17"/>
      <c r="CA349" s="17"/>
      <c r="CB349" s="17"/>
      <c r="CC349" s="17"/>
      <c r="CD349" s="17"/>
      <c r="CE349" s="17"/>
    </row>
    <row r="350" spans="1:83" x14ac:dyDescent="0.25">
      <c r="A350" s="31" t="s">
        <v>306</v>
      </c>
      <c r="B350" s="30" t="s">
        <v>379</v>
      </c>
      <c r="C350" s="30" t="s">
        <v>210</v>
      </c>
      <c r="D350" s="35"/>
      <c r="E350" s="35"/>
      <c r="F350" s="35"/>
      <c r="G350" s="35"/>
      <c r="H350" s="35"/>
      <c r="I350" s="35"/>
      <c r="J350" s="35"/>
      <c r="K350" s="35"/>
      <c r="BW350" s="17"/>
      <c r="BX350" s="17" t="str">
        <v>REF SUNFLOWER OIL 1 LTR  PET BOX</v>
      </c>
      <c r="BY350" s="17" t="str">
        <v>SF 1 L PET</v>
      </c>
      <c r="BZ350" s="17"/>
      <c r="CA350" s="17"/>
      <c r="CB350" s="17"/>
      <c r="CC350" s="17"/>
      <c r="CD350" s="17"/>
      <c r="CE350" s="17"/>
    </row>
    <row r="351" spans="1:83" x14ac:dyDescent="0.25">
      <c r="A351" s="31" t="s">
        <v>215</v>
      </c>
      <c r="B351" s="30" t="s">
        <v>379</v>
      </c>
      <c r="C351" s="30" t="s">
        <v>210</v>
      </c>
      <c r="D351" s="35"/>
      <c r="E351" s="35"/>
      <c r="F351" s="35"/>
      <c r="G351" s="35"/>
      <c r="H351" s="35"/>
      <c r="I351" s="35"/>
      <c r="J351" s="35"/>
      <c r="K351" s="35"/>
      <c r="BW351" s="17"/>
      <c r="BX351" s="17" t="str">
        <v>REF SUNFLOWER OIL 1 LTR  PET BOX (COCONUT OFFER)</v>
      </c>
      <c r="BY351" s="17" t="str">
        <v>SF 1 L PET</v>
      </c>
      <c r="BZ351" s="17"/>
      <c r="CA351" s="17"/>
      <c r="CB351" s="17"/>
      <c r="CC351" s="17"/>
      <c r="CD351" s="17"/>
      <c r="CE351" s="17"/>
    </row>
    <row r="352" spans="1:83" x14ac:dyDescent="0.25">
      <c r="A352" s="31" t="s">
        <v>145</v>
      </c>
      <c r="B352" s="30" t="s">
        <v>379</v>
      </c>
      <c r="C352" s="30" t="s">
        <v>210</v>
      </c>
      <c r="D352" s="35"/>
      <c r="E352" s="35"/>
      <c r="F352" s="35"/>
      <c r="G352" s="35"/>
      <c r="H352" s="35"/>
      <c r="I352" s="35"/>
      <c r="J352" s="35"/>
      <c r="K352" s="35"/>
      <c r="BW352" s="17"/>
      <c r="BX352" s="17" t="str">
        <v>REF SUNFLOWER OIL 1 LTR  PET BOX (Export)</v>
      </c>
      <c r="BY352" s="17" t="str">
        <v>SF 1 L PET</v>
      </c>
      <c r="BZ352" s="17"/>
      <c r="CA352" s="17"/>
      <c r="CB352" s="17"/>
      <c r="CC352" s="17"/>
      <c r="CD352" s="17"/>
      <c r="CE352" s="17"/>
    </row>
    <row r="353" spans="1:83" x14ac:dyDescent="0.25">
      <c r="A353" s="31" t="s">
        <v>144</v>
      </c>
      <c r="B353" s="30" t="s">
        <v>379</v>
      </c>
      <c r="C353" s="30" t="s">
        <v>210</v>
      </c>
      <c r="D353" s="35"/>
      <c r="E353" s="35"/>
      <c r="F353" s="35"/>
      <c r="G353" s="35"/>
      <c r="H353" s="35"/>
      <c r="I353" s="35"/>
      <c r="J353" s="35"/>
      <c r="K353" s="35"/>
      <c r="BW353" s="17"/>
      <c r="BX353" s="17" t="str">
        <v>REF SUNFLOWER OIL 1 LTR  PET BOX (RRB OFFER)</v>
      </c>
      <c r="BY353" s="17" t="str">
        <v>SF 1 L PET</v>
      </c>
      <c r="BZ353" s="17"/>
      <c r="CA353" s="17"/>
      <c r="CB353" s="17"/>
      <c r="CC353" s="17"/>
      <c r="CD353" s="17"/>
      <c r="CE353" s="17"/>
    </row>
    <row r="354" spans="1:83" x14ac:dyDescent="0.25">
      <c r="A354" s="31" t="s">
        <v>128</v>
      </c>
      <c r="B354" s="30" t="s">
        <v>380</v>
      </c>
      <c r="C354" s="30" t="s">
        <v>210</v>
      </c>
      <c r="D354" s="35"/>
      <c r="E354" s="35"/>
      <c r="F354" s="35"/>
      <c r="G354" s="35"/>
      <c r="H354" s="35"/>
      <c r="I354" s="35"/>
      <c r="J354" s="35"/>
      <c r="K354" s="35"/>
      <c r="BW354" s="17"/>
      <c r="BX354" s="17" t="str">
        <v>REF SUNFLOWER OIL 1 LTR PET</v>
      </c>
      <c r="BY354" s="17" t="str">
        <v>SF 1 L PET</v>
      </c>
      <c r="BZ354" s="17"/>
      <c r="CA354" s="17"/>
      <c r="CB354" s="17"/>
      <c r="CC354" s="17"/>
      <c r="CD354" s="17"/>
      <c r="CE354" s="17"/>
    </row>
    <row r="355" spans="1:83" x14ac:dyDescent="0.25">
      <c r="A355" s="31" t="s">
        <v>130</v>
      </c>
      <c r="B355" s="30" t="s">
        <v>380</v>
      </c>
      <c r="C355" s="30" t="s">
        <v>210</v>
      </c>
      <c r="D355" s="35"/>
      <c r="E355" s="35"/>
      <c r="F355" s="35"/>
      <c r="G355" s="35"/>
      <c r="H355" s="35"/>
      <c r="I355" s="35"/>
      <c r="J355" s="35"/>
      <c r="K355" s="35"/>
      <c r="BW355" s="17"/>
      <c r="BX355" s="17" t="str">
        <v>REF SUNFLOWER OIL 1 LTR PET (FREE)</v>
      </c>
      <c r="BY355" s="17" t="str">
        <v>SF 1 L PET</v>
      </c>
      <c r="BZ355" s="17"/>
      <c r="CA355" s="17"/>
      <c r="CB355" s="17"/>
      <c r="CC355" s="17"/>
      <c r="CD355" s="17"/>
      <c r="CE355" s="17"/>
    </row>
    <row r="356" spans="1:83" x14ac:dyDescent="0.25">
      <c r="A356" s="31" t="s">
        <v>131</v>
      </c>
      <c r="B356" s="30" t="s">
        <v>380</v>
      </c>
      <c r="C356" s="30" t="s">
        <v>210</v>
      </c>
      <c r="D356" s="35"/>
      <c r="E356" s="35"/>
      <c r="F356" s="35"/>
      <c r="G356" s="35"/>
      <c r="H356" s="35"/>
      <c r="I356" s="35"/>
      <c r="J356" s="35"/>
      <c r="K356" s="35"/>
      <c r="BW356" s="17"/>
      <c r="BX356" s="17" t="str">
        <v>REF SUNFLOWER OIL 1 LTR PET BOX</v>
      </c>
      <c r="BY356" s="17" t="str">
        <v>SF 1 L PET</v>
      </c>
      <c r="BZ356" s="17"/>
      <c r="CA356" s="17"/>
      <c r="CB356" s="17"/>
      <c r="CC356" s="17"/>
      <c r="CD356" s="17"/>
      <c r="CE356" s="17"/>
    </row>
    <row r="357" spans="1:83" x14ac:dyDescent="0.25">
      <c r="A357" s="31" t="s">
        <v>132</v>
      </c>
      <c r="B357" s="30" t="s">
        <v>380</v>
      </c>
      <c r="C357" s="30" t="s">
        <v>210</v>
      </c>
      <c r="D357" s="35"/>
      <c r="E357" s="35"/>
      <c r="F357" s="35"/>
      <c r="G357" s="35"/>
      <c r="H357" s="35"/>
      <c r="I357" s="35"/>
      <c r="J357" s="35"/>
      <c r="K357" s="35"/>
      <c r="BW357" s="17"/>
      <c r="BX357" s="17" t="str">
        <v>REF SUNFLOWER OIL 1 LTR PET BOX (FREE)</v>
      </c>
      <c r="BY357" s="17" t="str">
        <v>SF 1 L PET</v>
      </c>
      <c r="BZ357" s="17"/>
      <c r="CA357" s="17"/>
      <c r="CB357" s="17"/>
      <c r="CC357" s="17"/>
      <c r="CD357" s="17"/>
      <c r="CE357" s="17"/>
    </row>
    <row r="358" spans="1:83" x14ac:dyDescent="0.25">
      <c r="A358" s="31" t="s">
        <v>539</v>
      </c>
      <c r="B358" s="30" t="s">
        <v>380</v>
      </c>
      <c r="C358" s="30" t="s">
        <v>210</v>
      </c>
      <c r="D358" s="35"/>
      <c r="E358" s="35"/>
      <c r="F358" s="35"/>
      <c r="G358" s="35"/>
      <c r="H358" s="35"/>
      <c r="I358" s="35"/>
      <c r="J358" s="35"/>
      <c r="K358" s="35"/>
      <c r="BW358" s="17"/>
      <c r="BX358" s="17" t="str">
        <v>REF SUNFLOWEROIL 1 LtrPET (FREE)</v>
      </c>
      <c r="BY358" s="17" t="str">
        <v>SF 1 L PET</v>
      </c>
      <c r="BZ358" s="17"/>
      <c r="CA358" s="17"/>
      <c r="CB358" s="17"/>
      <c r="CC358" s="17"/>
      <c r="CD358" s="17"/>
      <c r="CE358" s="17"/>
    </row>
    <row r="359" spans="1:83" x14ac:dyDescent="0.25">
      <c r="A359" s="31" t="s">
        <v>129</v>
      </c>
      <c r="B359" s="30" t="s">
        <v>380</v>
      </c>
      <c r="C359" s="30" t="s">
        <v>210</v>
      </c>
      <c r="D359" s="35"/>
      <c r="E359" s="35"/>
      <c r="F359" s="35"/>
      <c r="G359" s="35"/>
      <c r="H359" s="35"/>
      <c r="I359" s="35"/>
      <c r="J359" s="35"/>
      <c r="K359" s="35"/>
      <c r="BW359" s="17"/>
      <c r="BX359" s="17" t="str">
        <v>REF SUNFLOWER OIL 1.5 LTR CAN BOX</v>
      </c>
      <c r="BY359" s="17" t="str">
        <v>SF 1.5 L</v>
      </c>
      <c r="BZ359" s="17"/>
      <c r="CA359" s="17"/>
      <c r="CB359" s="17"/>
      <c r="CC359" s="17"/>
      <c r="CD359" s="17"/>
      <c r="CE359" s="17"/>
    </row>
    <row r="360" spans="1:83" x14ac:dyDescent="0.25">
      <c r="A360" s="31" t="s">
        <v>440</v>
      </c>
      <c r="B360" s="30" t="s">
        <v>419</v>
      </c>
      <c r="C360" s="30" t="s">
        <v>210</v>
      </c>
      <c r="D360" s="35"/>
      <c r="E360" s="35"/>
      <c r="F360" s="35"/>
      <c r="G360" s="35"/>
      <c r="H360" s="35"/>
      <c r="I360" s="35"/>
      <c r="J360" s="35"/>
      <c r="K360" s="35"/>
      <c r="BW360" s="17"/>
      <c r="BX360" s="17" t="str">
        <v>REF SUNFLOWER OIL 100 ML  BOX</v>
      </c>
      <c r="BY360" s="17" t="str">
        <v>SF 100 ML LUP</v>
      </c>
      <c r="BZ360" s="17"/>
      <c r="CA360" s="17"/>
      <c r="CB360" s="17"/>
      <c r="CC360" s="17"/>
      <c r="CD360" s="17"/>
      <c r="CE360" s="17"/>
    </row>
    <row r="361" spans="1:83" x14ac:dyDescent="0.25">
      <c r="A361" s="31" t="s">
        <v>146</v>
      </c>
      <c r="B361" s="30" t="s">
        <v>419</v>
      </c>
      <c r="C361" s="30" t="s">
        <v>210</v>
      </c>
      <c r="D361" s="35"/>
      <c r="E361" s="35"/>
      <c r="F361" s="35"/>
      <c r="G361" s="35"/>
      <c r="H361" s="35"/>
      <c r="I361" s="35"/>
      <c r="J361" s="35"/>
      <c r="K361" s="35"/>
      <c r="BW361" s="17"/>
      <c r="BX361" s="17" t="str">
        <v>REF SUNFLOWER OIL 100 ML BOX</v>
      </c>
      <c r="BY361" s="17" t="str">
        <v>SF 100 ML LUP</v>
      </c>
      <c r="BZ361" s="17"/>
      <c r="CA361" s="17"/>
      <c r="CB361" s="17"/>
      <c r="CC361" s="17"/>
      <c r="CD361" s="17"/>
      <c r="CE361" s="17"/>
    </row>
    <row r="362" spans="1:83" x14ac:dyDescent="0.25">
      <c r="A362" s="31" t="s">
        <v>451</v>
      </c>
      <c r="B362" s="30" t="s">
        <v>419</v>
      </c>
      <c r="C362" s="30" t="s">
        <v>210</v>
      </c>
      <c r="D362" s="35"/>
      <c r="E362" s="35"/>
      <c r="F362" s="35"/>
      <c r="G362" s="35"/>
      <c r="H362" s="35"/>
      <c r="I362" s="35"/>
      <c r="J362" s="35"/>
      <c r="K362" s="35"/>
      <c r="BW362" s="17"/>
      <c r="BX362" s="17" t="str">
        <v>REF SUNFLOWER OIL 100 ML BOX (FREE)</v>
      </c>
      <c r="BY362" s="17" t="str">
        <v>SF 100 ML LUP</v>
      </c>
      <c r="BZ362" s="17"/>
      <c r="CA362" s="17"/>
      <c r="CB362" s="17"/>
      <c r="CC362" s="17"/>
      <c r="CD362" s="17"/>
      <c r="CE362" s="17"/>
    </row>
    <row r="363" spans="1:83" x14ac:dyDescent="0.25">
      <c r="A363" s="31" t="s">
        <v>448</v>
      </c>
      <c r="B363" s="30" t="s">
        <v>419</v>
      </c>
      <c r="C363" s="30" t="s">
        <v>210</v>
      </c>
      <c r="D363" s="35"/>
      <c r="E363" s="35"/>
      <c r="F363" s="35"/>
      <c r="G363" s="35"/>
      <c r="H363" s="35"/>
      <c r="I363" s="35"/>
      <c r="J363" s="35"/>
      <c r="K363" s="35"/>
      <c r="BW363" s="17"/>
      <c r="BX363" s="17" t="str">
        <v>REF SUNFLOWER OIL 100 ML POUCH (FREE)</v>
      </c>
      <c r="BY363" s="17" t="str">
        <v>SF 100 ML LUP</v>
      </c>
      <c r="BZ363" s="17"/>
      <c r="CA363" s="17"/>
      <c r="CB363" s="17"/>
      <c r="CC363" s="17"/>
      <c r="CD363" s="17"/>
      <c r="CE363" s="17"/>
    </row>
    <row r="364" spans="1:83" x14ac:dyDescent="0.25">
      <c r="A364" s="31" t="s">
        <v>303</v>
      </c>
      <c r="B364" s="30" t="s">
        <v>419</v>
      </c>
      <c r="C364" s="30" t="s">
        <v>210</v>
      </c>
      <c r="D364" s="35"/>
      <c r="E364" s="35"/>
      <c r="F364" s="35"/>
      <c r="G364" s="35"/>
      <c r="H364" s="35"/>
      <c r="I364" s="35"/>
      <c r="J364" s="35"/>
      <c r="K364" s="35"/>
      <c r="BW364" s="17"/>
      <c r="BX364" s="17" t="str">
        <v>REF SUNFLOWER OIL 100ML BOX</v>
      </c>
      <c r="BY364" s="17" t="str">
        <v>SF 100 ML LUP</v>
      </c>
      <c r="BZ364" s="17"/>
      <c r="CA364" s="17"/>
      <c r="CB364" s="17"/>
      <c r="CC364" s="17"/>
      <c r="CD364" s="17"/>
      <c r="CE364" s="17"/>
    </row>
    <row r="365" spans="1:83" x14ac:dyDescent="0.25">
      <c r="A365" s="30" t="s">
        <v>527</v>
      </c>
      <c r="B365" s="30" t="s">
        <v>419</v>
      </c>
      <c r="C365" s="30" t="s">
        <v>210</v>
      </c>
      <c r="D365" s="35"/>
      <c r="E365" s="35"/>
      <c r="F365" s="35"/>
      <c r="G365" s="35"/>
      <c r="H365" s="35"/>
      <c r="I365" s="35"/>
      <c r="J365" s="35"/>
      <c r="K365" s="35"/>
      <c r="BW365" s="17"/>
      <c r="BX365" s="17" t="str">
        <v>REF SUNFLOWER OIL 100ML BOX(Free)</v>
      </c>
      <c r="BY365" s="17" t="str">
        <v>SF 100 ML LUP</v>
      </c>
      <c r="BZ365" s="17"/>
      <c r="CA365" s="17"/>
      <c r="CB365" s="17"/>
      <c r="CC365" s="17"/>
      <c r="CD365" s="17"/>
      <c r="CE365" s="17"/>
    </row>
    <row r="366" spans="1:83" x14ac:dyDescent="0.25">
      <c r="A366" s="31" t="s">
        <v>147</v>
      </c>
      <c r="B366" s="30" t="s">
        <v>419</v>
      </c>
      <c r="C366" s="30" t="s">
        <v>210</v>
      </c>
      <c r="D366" s="35"/>
      <c r="E366" s="35"/>
      <c r="F366" s="35"/>
      <c r="G366" s="35"/>
      <c r="H366" s="35"/>
      <c r="I366" s="35"/>
      <c r="J366" s="35"/>
      <c r="K366" s="35"/>
      <c r="BW366" s="17"/>
      <c r="BX366" s="17" t="str">
        <v>REF SUNFLOWER OIL 2 LTR PET</v>
      </c>
      <c r="BY366" s="17" t="str">
        <v>SF 2 L</v>
      </c>
      <c r="BZ366" s="17"/>
      <c r="CA366" s="17"/>
      <c r="CB366" s="17"/>
      <c r="CC366" s="17"/>
      <c r="CD366" s="17"/>
      <c r="CE366" s="17"/>
    </row>
    <row r="367" spans="1:83" x14ac:dyDescent="0.25">
      <c r="A367" s="31" t="s">
        <v>148</v>
      </c>
      <c r="B367" s="30" t="s">
        <v>419</v>
      </c>
      <c r="C367" s="30" t="s">
        <v>210</v>
      </c>
      <c r="D367" s="35"/>
      <c r="E367" s="35"/>
      <c r="F367" s="35"/>
      <c r="G367" s="35"/>
      <c r="H367" s="35"/>
      <c r="I367" s="35"/>
      <c r="J367" s="35"/>
      <c r="K367" s="35"/>
      <c r="BW367" s="17"/>
      <c r="BX367" s="17" t="str">
        <v>REF SUNFLOWER OIL 2 LTR PET BOX</v>
      </c>
      <c r="BY367" s="17" t="str">
        <v>SF 2 L</v>
      </c>
      <c r="BZ367" s="17"/>
      <c r="CA367" s="17"/>
      <c r="CB367" s="17"/>
      <c r="CC367" s="17"/>
      <c r="CD367" s="17"/>
      <c r="CE367" s="17"/>
    </row>
    <row r="368" spans="1:83" x14ac:dyDescent="0.25">
      <c r="A368" s="31" t="s">
        <v>149</v>
      </c>
      <c r="B368" s="30" t="s">
        <v>419</v>
      </c>
      <c r="C368" s="30" t="s">
        <v>210</v>
      </c>
      <c r="D368" s="35"/>
      <c r="E368" s="35"/>
      <c r="F368" s="35"/>
      <c r="G368" s="35"/>
      <c r="H368" s="35"/>
      <c r="I368" s="35"/>
      <c r="J368" s="35"/>
      <c r="K368" s="35"/>
      <c r="BW368" s="17"/>
      <c r="BX368" s="17" t="str">
        <v>REF SUNFLOWER OIL 2 LTR PET BOX (Export)</v>
      </c>
      <c r="BY368" s="17" t="str">
        <v>SF 2 L</v>
      </c>
      <c r="BZ368" s="17"/>
      <c r="CA368" s="17"/>
      <c r="CB368" s="17"/>
      <c r="CC368" s="17"/>
      <c r="CD368" s="17"/>
      <c r="CE368" s="17"/>
    </row>
    <row r="369" spans="1:83" x14ac:dyDescent="0.25">
      <c r="A369" s="31" t="s">
        <v>122</v>
      </c>
      <c r="B369" s="30" t="s">
        <v>375</v>
      </c>
      <c r="C369" s="30" t="s">
        <v>210</v>
      </c>
      <c r="D369" s="35"/>
      <c r="E369" s="35"/>
      <c r="F369" s="35"/>
      <c r="G369" s="35"/>
      <c r="H369" s="35"/>
      <c r="I369" s="35"/>
      <c r="J369" s="35"/>
      <c r="K369" s="35"/>
      <c r="BW369" s="17"/>
      <c r="BX369" s="17" t="str">
        <v>REF SUNFLOWER OIL 2LTR PET</v>
      </c>
      <c r="BY369" s="17" t="str">
        <v>SF 2 L</v>
      </c>
      <c r="BZ369" s="17"/>
      <c r="CA369" s="17"/>
      <c r="CB369" s="17"/>
      <c r="CC369" s="17"/>
      <c r="CD369" s="17"/>
      <c r="CE369" s="17"/>
    </row>
    <row r="370" spans="1:83" x14ac:dyDescent="0.25">
      <c r="A370" s="31" t="s">
        <v>123</v>
      </c>
      <c r="B370" s="30" t="s">
        <v>375</v>
      </c>
      <c r="C370" s="30" t="s">
        <v>210</v>
      </c>
      <c r="D370" s="35"/>
      <c r="E370" s="35"/>
      <c r="F370" s="35"/>
      <c r="G370" s="35"/>
      <c r="H370" s="35"/>
      <c r="I370" s="35"/>
      <c r="J370" s="35"/>
      <c r="K370" s="35"/>
      <c r="BW370" s="17"/>
      <c r="BX370" s="17" t="str">
        <v>REF SUNFLOWER OIL 2LTR PET(FREE)</v>
      </c>
      <c r="BY370" s="17" t="str">
        <v>SF 2 L</v>
      </c>
      <c r="BZ370" s="17"/>
      <c r="CA370" s="17"/>
      <c r="CB370" s="17"/>
      <c r="CC370" s="17"/>
      <c r="CD370" s="17"/>
      <c r="CE370" s="17"/>
    </row>
    <row r="371" spans="1:83" x14ac:dyDescent="0.25">
      <c r="A371" s="31" t="s">
        <v>270</v>
      </c>
      <c r="B371" s="30" t="s">
        <v>375</v>
      </c>
      <c r="C371" s="30" t="s">
        <v>210</v>
      </c>
      <c r="D371" s="35"/>
      <c r="E371" s="35"/>
      <c r="F371" s="35"/>
      <c r="G371" s="35"/>
      <c r="H371" s="35"/>
      <c r="I371" s="35"/>
      <c r="J371" s="35"/>
      <c r="K371" s="35"/>
      <c r="BW371" s="17"/>
      <c r="BX371" s="17" t="str">
        <v>REF SUNFLOWER OIL 200 ML BOX</v>
      </c>
      <c r="BY371" s="17" t="str">
        <v>SF 200 ML</v>
      </c>
      <c r="BZ371" s="17"/>
      <c r="CA371" s="17"/>
      <c r="CB371" s="17"/>
      <c r="CC371" s="17"/>
      <c r="CD371" s="17"/>
      <c r="CE371" s="17"/>
    </row>
    <row r="372" spans="1:83" x14ac:dyDescent="0.25">
      <c r="A372" s="31" t="s">
        <v>124</v>
      </c>
      <c r="B372" s="30" t="s">
        <v>376</v>
      </c>
      <c r="C372" s="30" t="s">
        <v>210</v>
      </c>
      <c r="D372" s="35"/>
      <c r="E372" s="35"/>
      <c r="F372" s="35"/>
      <c r="G372" s="35"/>
      <c r="H372" s="35"/>
      <c r="I372" s="35"/>
      <c r="J372" s="35"/>
      <c r="K372" s="35"/>
      <c r="BW372" s="17"/>
      <c r="BX372" s="17" t="str">
        <v>REF SUNFLOWER OIL 200ml BOX (Offer)</v>
      </c>
      <c r="BY372" s="17" t="str">
        <v>SF 200 ML</v>
      </c>
      <c r="BZ372" s="17"/>
      <c r="CA372" s="17"/>
      <c r="CB372" s="17"/>
      <c r="CC372" s="17"/>
      <c r="CD372" s="17"/>
      <c r="CE372" s="17"/>
    </row>
    <row r="373" spans="1:83" x14ac:dyDescent="0.25">
      <c r="A373" s="31" t="s">
        <v>125</v>
      </c>
      <c r="B373" s="30" t="s">
        <v>376</v>
      </c>
      <c r="C373" s="30" t="s">
        <v>210</v>
      </c>
      <c r="D373" s="35"/>
      <c r="E373" s="35"/>
      <c r="F373" s="35"/>
      <c r="G373" s="35"/>
      <c r="H373" s="35"/>
      <c r="I373" s="35"/>
      <c r="J373" s="35"/>
      <c r="K373" s="35"/>
      <c r="BW373" s="17"/>
      <c r="BX373" s="17" t="str">
        <v>REF SUNFLOWER  OIL 3 LTR CAN BOX</v>
      </c>
      <c r="BY373" s="17" t="str">
        <v>SF 3 L</v>
      </c>
      <c r="BZ373" s="17"/>
      <c r="CA373" s="17"/>
      <c r="CB373" s="17"/>
      <c r="CC373" s="17"/>
      <c r="CD373" s="17"/>
      <c r="CE373" s="17"/>
    </row>
    <row r="374" spans="1:83" x14ac:dyDescent="0.25">
      <c r="A374" s="31" t="s">
        <v>231</v>
      </c>
      <c r="B374" s="30" t="s">
        <v>383</v>
      </c>
      <c r="C374" s="30" t="s">
        <v>210</v>
      </c>
      <c r="D374" s="35"/>
      <c r="E374" s="35"/>
      <c r="F374" s="35"/>
      <c r="G374" s="35"/>
      <c r="H374" s="35"/>
      <c r="I374" s="35"/>
      <c r="J374" s="35"/>
      <c r="K374" s="35"/>
      <c r="BW374" s="17"/>
      <c r="BX374" s="17" t="str">
        <v>REF SUNFLOWER OIL 3 LTR CAN</v>
      </c>
      <c r="BY374" s="17" t="str">
        <v>SF 3 L</v>
      </c>
      <c r="BZ374" s="17"/>
      <c r="CA374" s="17"/>
      <c r="CB374" s="17"/>
      <c r="CC374" s="17"/>
      <c r="CD374" s="17"/>
      <c r="CE374" s="17"/>
    </row>
    <row r="375" spans="1:83" x14ac:dyDescent="0.25">
      <c r="A375" s="31" t="s">
        <v>161</v>
      </c>
      <c r="B375" s="30" t="s">
        <v>383</v>
      </c>
      <c r="C375" s="30" t="s">
        <v>210</v>
      </c>
      <c r="D375" s="35"/>
      <c r="E375" s="35"/>
      <c r="F375" s="35"/>
      <c r="G375" s="35"/>
      <c r="H375" s="35"/>
      <c r="I375" s="35"/>
      <c r="J375" s="35"/>
      <c r="K375" s="35"/>
      <c r="BW375" s="17"/>
      <c r="BX375" s="17" t="str">
        <v>REF SUNFLOWER OIL 3 LTR CAN (FREE)</v>
      </c>
      <c r="BY375" s="17" t="str">
        <v>SF 3 L</v>
      </c>
      <c r="BZ375" s="17"/>
      <c r="CA375" s="17"/>
      <c r="CB375" s="17"/>
      <c r="CC375" s="17"/>
      <c r="CD375" s="17"/>
      <c r="CE375" s="17"/>
    </row>
    <row r="376" spans="1:83" x14ac:dyDescent="0.25">
      <c r="A376" s="31" t="s">
        <v>162</v>
      </c>
      <c r="B376" s="30" t="s">
        <v>383</v>
      </c>
      <c r="C376" s="30" t="s">
        <v>210</v>
      </c>
      <c r="D376" s="35"/>
      <c r="E376" s="35"/>
      <c r="F376" s="35"/>
      <c r="G376" s="35"/>
      <c r="H376" s="35"/>
      <c r="I376" s="35"/>
      <c r="J376" s="35"/>
      <c r="K376" s="35"/>
      <c r="BW376" s="17"/>
      <c r="BX376" s="17" t="str">
        <v>REF SUNFLOWER OIL 3 LTR CAN BOX</v>
      </c>
      <c r="BY376" s="17" t="str">
        <v>SF 3 L</v>
      </c>
      <c r="BZ376" s="17"/>
      <c r="CA376" s="17"/>
      <c r="CB376" s="17"/>
      <c r="CC376" s="17"/>
      <c r="CD376" s="17"/>
      <c r="CE376" s="17"/>
    </row>
    <row r="377" spans="1:83" x14ac:dyDescent="0.25">
      <c r="A377" s="31" t="s">
        <v>316</v>
      </c>
      <c r="B377" s="30" t="s">
        <v>383</v>
      </c>
      <c r="C377" s="30" t="s">
        <v>210</v>
      </c>
      <c r="D377" s="35"/>
      <c r="E377" s="35"/>
      <c r="F377" s="35"/>
      <c r="G377" s="35"/>
      <c r="H377" s="35"/>
      <c r="I377" s="35"/>
      <c r="J377" s="35"/>
      <c r="K377" s="35"/>
      <c r="BW377" s="17"/>
      <c r="BX377" s="17" t="str">
        <v>REF SUNFLOWER OIL 3 LTR CAN BOX (FREE)</v>
      </c>
      <c r="BY377" s="17" t="str">
        <v>SF 3 L</v>
      </c>
      <c r="BZ377" s="17"/>
      <c r="CA377" s="17"/>
      <c r="CB377" s="17"/>
      <c r="CC377" s="17"/>
      <c r="CD377" s="17"/>
      <c r="CE377" s="17"/>
    </row>
    <row r="378" spans="1:83" x14ac:dyDescent="0.25">
      <c r="A378" s="31" t="s">
        <v>165</v>
      </c>
      <c r="B378" s="30" t="s">
        <v>383</v>
      </c>
      <c r="C378" s="30" t="s">
        <v>210</v>
      </c>
      <c r="D378" s="35"/>
      <c r="E378" s="35"/>
      <c r="F378" s="35"/>
      <c r="G378" s="35"/>
      <c r="H378" s="35"/>
      <c r="I378" s="35"/>
      <c r="J378" s="35"/>
      <c r="K378" s="35"/>
      <c r="BW378" s="17"/>
      <c r="BX378" s="17" t="str">
        <v>REF SUNFLOWER OIL 3 LTR COMBO PACK (12 LTR)</v>
      </c>
      <c r="BY378" s="17" t="str">
        <v>SF 3 L</v>
      </c>
      <c r="BZ378" s="17"/>
      <c r="CA378" s="17"/>
      <c r="CB378" s="17"/>
      <c r="CC378" s="17"/>
      <c r="CD378" s="17"/>
      <c r="CE378" s="17"/>
    </row>
    <row r="379" spans="1:83" x14ac:dyDescent="0.25">
      <c r="A379" s="31" t="s">
        <v>160</v>
      </c>
      <c r="B379" s="30" t="s">
        <v>383</v>
      </c>
      <c r="C379" s="30" t="s">
        <v>210</v>
      </c>
      <c r="D379" s="35"/>
      <c r="E379" s="35"/>
      <c r="F379" s="35"/>
      <c r="G379" s="35"/>
      <c r="H379" s="35"/>
      <c r="I379" s="35"/>
      <c r="J379" s="35"/>
      <c r="K379" s="35"/>
      <c r="BW379" s="17"/>
      <c r="BX379" s="17" t="str">
        <v>REF SF OIL 5 LTR PET BOX</v>
      </c>
      <c r="BY379" s="17" t="str">
        <v>SF 5 L</v>
      </c>
      <c r="BZ379" s="17"/>
      <c r="CA379" s="17"/>
      <c r="CB379" s="17"/>
      <c r="CC379" s="17"/>
      <c r="CD379" s="17"/>
      <c r="CE379" s="17"/>
    </row>
    <row r="380" spans="1:83" x14ac:dyDescent="0.25">
      <c r="A380" s="31" t="s">
        <v>336</v>
      </c>
      <c r="B380" s="30" t="s">
        <v>383</v>
      </c>
      <c r="C380" s="30" t="s">
        <v>210</v>
      </c>
      <c r="D380" s="35"/>
      <c r="E380" s="35"/>
      <c r="F380" s="35"/>
      <c r="G380" s="35"/>
      <c r="H380" s="35"/>
      <c r="I380" s="35"/>
      <c r="J380" s="35"/>
      <c r="K380" s="35"/>
      <c r="BW380" s="17"/>
      <c r="BX380" s="17" t="str">
        <v>REF SUNFLOWER  OIL 5 LTR CAN</v>
      </c>
      <c r="BY380" s="17" t="str">
        <v>SF 5 L</v>
      </c>
      <c r="BZ380" s="17"/>
      <c r="CA380" s="17"/>
      <c r="CB380" s="17"/>
      <c r="CC380" s="17"/>
      <c r="CD380" s="17"/>
      <c r="CE380" s="17"/>
    </row>
    <row r="381" spans="1:83" x14ac:dyDescent="0.25">
      <c r="A381" s="31" t="s">
        <v>169</v>
      </c>
      <c r="B381" s="30" t="s">
        <v>383</v>
      </c>
      <c r="C381" s="30" t="s">
        <v>210</v>
      </c>
      <c r="D381" s="35"/>
      <c r="E381" s="35"/>
      <c r="F381" s="35"/>
      <c r="G381" s="35"/>
      <c r="H381" s="35"/>
      <c r="I381" s="35"/>
      <c r="J381" s="35"/>
      <c r="K381" s="35"/>
      <c r="BW381" s="17"/>
      <c r="BX381" s="17" t="str">
        <v>REF SUNFLOWER 5 LTR CAN</v>
      </c>
      <c r="BY381" s="17" t="str">
        <v>SF 5 L</v>
      </c>
      <c r="BZ381" s="17"/>
      <c r="CA381" s="17"/>
      <c r="CB381" s="17"/>
      <c r="CC381" s="17"/>
      <c r="CD381" s="17"/>
      <c r="CE381" s="17"/>
    </row>
    <row r="382" spans="1:83" x14ac:dyDescent="0.25">
      <c r="A382" s="31" t="s">
        <v>166</v>
      </c>
      <c r="B382" s="30" t="s">
        <v>466</v>
      </c>
      <c r="C382" s="30" t="s">
        <v>210</v>
      </c>
      <c r="D382" s="35"/>
      <c r="E382" s="35"/>
      <c r="F382" s="35"/>
      <c r="G382" s="35"/>
      <c r="H382" s="35"/>
      <c r="I382" s="35"/>
      <c r="J382" s="35"/>
      <c r="K382" s="35"/>
      <c r="BW382" s="17"/>
      <c r="BX382" s="17" t="str">
        <v>REF SUNFLOWER 5LTR CAN</v>
      </c>
      <c r="BY382" s="17" t="str">
        <v>SF 5 L</v>
      </c>
      <c r="BZ382" s="17"/>
      <c r="CA382" s="17"/>
      <c r="CB382" s="17"/>
      <c r="CC382" s="17"/>
      <c r="CD382" s="17"/>
      <c r="CE382" s="17"/>
    </row>
    <row r="383" spans="1:83" x14ac:dyDescent="0.25">
      <c r="A383" s="31" t="s">
        <v>167</v>
      </c>
      <c r="B383" s="30" t="s">
        <v>466</v>
      </c>
      <c r="C383" s="30" t="s">
        <v>210</v>
      </c>
      <c r="D383" s="35"/>
      <c r="E383" s="35"/>
      <c r="F383" s="35"/>
      <c r="G383" s="35"/>
      <c r="H383" s="35"/>
      <c r="I383" s="35"/>
      <c r="J383" s="35"/>
      <c r="K383" s="35"/>
      <c r="BW383" s="17"/>
      <c r="BX383" s="17" t="str">
        <v>REF SUNFLOWER OIL 5 LTR BOX</v>
      </c>
      <c r="BY383" s="17" t="str">
        <v>SF 5 L</v>
      </c>
      <c r="BZ383" s="17"/>
      <c r="CA383" s="17"/>
      <c r="CB383" s="17"/>
      <c r="CC383" s="17"/>
      <c r="CD383" s="17"/>
      <c r="CE383" s="17"/>
    </row>
    <row r="384" spans="1:83" x14ac:dyDescent="0.25">
      <c r="A384" s="31" t="s">
        <v>168</v>
      </c>
      <c r="B384" s="30" t="s">
        <v>466</v>
      </c>
      <c r="C384" s="30" t="s">
        <v>210</v>
      </c>
      <c r="D384" s="35"/>
      <c r="E384" s="35"/>
      <c r="F384" s="35"/>
      <c r="G384" s="35"/>
      <c r="H384" s="35"/>
      <c r="I384" s="35"/>
      <c r="J384" s="35"/>
      <c r="K384" s="35"/>
      <c r="BW384" s="17"/>
      <c r="BX384" s="17" t="str">
        <v>REF SUNFLOWER OIL 5 LTR BOX (DOSA TAWA)</v>
      </c>
      <c r="BY384" s="17" t="str">
        <v>SF 5 L</v>
      </c>
      <c r="BZ384" s="17"/>
      <c r="CA384" s="17"/>
      <c r="CB384" s="17"/>
      <c r="CC384" s="17"/>
      <c r="CD384" s="17"/>
      <c r="CE384" s="17"/>
    </row>
    <row r="385" spans="1:83" x14ac:dyDescent="0.25">
      <c r="A385" s="31" t="s">
        <v>326</v>
      </c>
      <c r="B385" s="30" t="s">
        <v>466</v>
      </c>
      <c r="C385" s="30" t="s">
        <v>210</v>
      </c>
      <c r="D385" s="35"/>
      <c r="E385" s="35"/>
      <c r="F385" s="35"/>
      <c r="G385" s="35"/>
      <c r="H385" s="35"/>
      <c r="I385" s="35"/>
      <c r="J385" s="35"/>
      <c r="K385" s="35"/>
      <c r="BW385" s="17"/>
      <c r="BX385" s="17" t="str">
        <v>REF SUNFLOWER OIL 5 LTR CAN</v>
      </c>
      <c r="BY385" s="17" t="str">
        <v>SF 5 L</v>
      </c>
      <c r="BZ385" s="17"/>
      <c r="CA385" s="17"/>
      <c r="CB385" s="17"/>
      <c r="CC385" s="17"/>
      <c r="CD385" s="17"/>
      <c r="CE385" s="17"/>
    </row>
    <row r="386" spans="1:83" x14ac:dyDescent="0.25">
      <c r="A386" s="31" t="s">
        <v>328</v>
      </c>
      <c r="B386" s="30" t="s">
        <v>466</v>
      </c>
      <c r="C386" s="30" t="s">
        <v>210</v>
      </c>
      <c r="D386" s="35"/>
      <c r="E386" s="35"/>
      <c r="F386" s="35"/>
      <c r="G386" s="35"/>
      <c r="H386" s="35"/>
      <c r="I386" s="35"/>
      <c r="J386" s="35"/>
      <c r="K386" s="35"/>
      <c r="BW386" s="17"/>
      <c r="BX386" s="17" t="str">
        <v>REF SUNFLOWER OIL 5 LTR CAN (Offer)</v>
      </c>
      <c r="BY386" s="17" t="str">
        <v>SF 5 L</v>
      </c>
      <c r="BZ386" s="17"/>
      <c r="CA386" s="17"/>
      <c r="CB386" s="17"/>
      <c r="CC386" s="17"/>
      <c r="CD386" s="17"/>
      <c r="CE386" s="17"/>
    </row>
    <row r="387" spans="1:83" x14ac:dyDescent="0.25">
      <c r="A387" s="31" t="s">
        <v>334</v>
      </c>
      <c r="B387" s="30" t="s">
        <v>466</v>
      </c>
      <c r="C387" s="30" t="s">
        <v>210</v>
      </c>
      <c r="D387" s="35"/>
      <c r="E387" s="35"/>
      <c r="F387" s="35"/>
      <c r="G387" s="35"/>
      <c r="H387" s="35"/>
      <c r="I387" s="35"/>
      <c r="J387" s="35"/>
      <c r="K387" s="35"/>
      <c r="BW387" s="17"/>
      <c r="BX387" s="17" t="str">
        <v>REF SUNFLOWER OIL 5 LTR CAN BOX</v>
      </c>
      <c r="BY387" s="17" t="str">
        <v>SF 5 L</v>
      </c>
      <c r="BZ387" s="17"/>
      <c r="CA387" s="17"/>
      <c r="CB387" s="17"/>
      <c r="CC387" s="17"/>
      <c r="CD387" s="17"/>
      <c r="CE387" s="17"/>
    </row>
    <row r="388" spans="1:83" x14ac:dyDescent="0.25">
      <c r="A388" s="31" t="s">
        <v>335</v>
      </c>
      <c r="B388" s="30" t="s">
        <v>466</v>
      </c>
      <c r="C388" s="30" t="s">
        <v>210</v>
      </c>
      <c r="D388" s="35"/>
      <c r="E388" s="35"/>
      <c r="F388" s="35"/>
      <c r="G388" s="35"/>
      <c r="H388" s="35"/>
      <c r="I388" s="35"/>
      <c r="J388" s="35"/>
      <c r="K388" s="35"/>
      <c r="BW388" s="17"/>
      <c r="BX388" s="17" t="str">
        <v>REF SUNFLOWER OIL 5 LTR CAN BOX (2 CAN)</v>
      </c>
      <c r="BY388" s="17" t="str">
        <v>SF 5 L</v>
      </c>
      <c r="BZ388" s="17"/>
      <c r="CA388" s="17"/>
      <c r="CB388" s="17"/>
      <c r="CC388" s="17"/>
      <c r="CD388" s="17"/>
      <c r="CE388" s="17"/>
    </row>
    <row r="389" spans="1:83" x14ac:dyDescent="0.25">
      <c r="A389" s="31" t="s">
        <v>540</v>
      </c>
      <c r="B389" s="30" t="s">
        <v>466</v>
      </c>
      <c r="C389" s="30" t="s">
        <v>210</v>
      </c>
      <c r="D389" s="35"/>
      <c r="E389" s="35"/>
      <c r="F389" s="35"/>
      <c r="G389" s="35"/>
      <c r="H389" s="35"/>
      <c r="I389" s="35"/>
      <c r="J389" s="35"/>
      <c r="K389" s="35"/>
      <c r="BW389" s="17"/>
      <c r="BX389" s="17" t="str">
        <v>REF SUNFLOWER OIL 5 LTR CAN BOX (2 CAN) OFFER</v>
      </c>
      <c r="BY389" s="17" t="str">
        <v>SF 5 L</v>
      </c>
      <c r="BZ389" s="17"/>
      <c r="CA389" s="17"/>
      <c r="CB389" s="17"/>
      <c r="CC389" s="17"/>
      <c r="CD389" s="17"/>
      <c r="CE389" s="17"/>
    </row>
    <row r="390" spans="1:83" x14ac:dyDescent="0.25">
      <c r="A390" s="31" t="s">
        <v>327</v>
      </c>
      <c r="B390" s="30" t="s">
        <v>466</v>
      </c>
      <c r="C390" s="30" t="s">
        <v>210</v>
      </c>
      <c r="D390" s="35"/>
      <c r="E390" s="35"/>
      <c r="F390" s="35"/>
      <c r="G390" s="35"/>
      <c r="H390" s="35"/>
      <c r="I390" s="35"/>
      <c r="J390" s="35"/>
      <c r="K390" s="35"/>
      <c r="BW390" s="17"/>
      <c r="BX390" s="17" t="str">
        <v>REF SUNFLOWER OIL 5 LTR CAN BOX (DOSA TAVA)</v>
      </c>
      <c r="BY390" s="17" t="str">
        <v>SF 5 L</v>
      </c>
      <c r="BZ390" s="17"/>
      <c r="CA390" s="17"/>
      <c r="CB390" s="17"/>
      <c r="CC390" s="17"/>
      <c r="CD390" s="17"/>
      <c r="CE390" s="17"/>
    </row>
    <row r="391" spans="1:83" x14ac:dyDescent="0.25">
      <c r="A391" s="31" t="s">
        <v>329</v>
      </c>
      <c r="B391" s="30" t="s">
        <v>466</v>
      </c>
      <c r="C391" s="30" t="s">
        <v>210</v>
      </c>
      <c r="D391" s="35"/>
      <c r="E391" s="35"/>
      <c r="F391" s="35"/>
      <c r="G391" s="35"/>
      <c r="H391" s="35"/>
      <c r="I391" s="35"/>
      <c r="J391" s="35"/>
      <c r="K391" s="35"/>
      <c r="BW391" s="17"/>
      <c r="BX391" s="17" t="str">
        <v>REF SUNFLOWER OIL 5 LTR CAN BOX (GULAB JAMUN)</v>
      </c>
      <c r="BY391" s="17" t="str">
        <v>SF 5 L</v>
      </c>
      <c r="BZ391" s="17"/>
      <c r="CA391" s="17"/>
      <c r="CB391" s="17"/>
      <c r="CC391" s="17"/>
      <c r="CD391" s="17"/>
      <c r="CE391" s="17"/>
    </row>
    <row r="392" spans="1:83" x14ac:dyDescent="0.25">
      <c r="A392" s="31" t="s">
        <v>325</v>
      </c>
      <c r="B392" s="30" t="s">
        <v>387</v>
      </c>
      <c r="C392" s="30" t="s">
        <v>210</v>
      </c>
      <c r="D392" s="35"/>
      <c r="E392" s="35"/>
      <c r="F392" s="35"/>
      <c r="G392" s="35"/>
      <c r="H392" s="35"/>
      <c r="I392" s="35"/>
      <c r="J392" s="35"/>
      <c r="K392" s="35"/>
      <c r="BW392" s="17"/>
      <c r="BX392" s="17" t="str">
        <v>REF SUNFLOWER OIL 5 LTR CAN BOX (GULAB JAMUN)</v>
      </c>
      <c r="BY392" s="17" t="str">
        <v>SF 5 L</v>
      </c>
      <c r="BZ392" s="17"/>
      <c r="CA392" s="17"/>
      <c r="CB392" s="17"/>
      <c r="CC392" s="17"/>
      <c r="CD392" s="17"/>
      <c r="CE392" s="17"/>
    </row>
    <row r="393" spans="1:83" x14ac:dyDescent="0.25">
      <c r="A393" s="31" t="s">
        <v>541</v>
      </c>
      <c r="B393" s="30" t="s">
        <v>420</v>
      </c>
      <c r="C393" s="30" t="s">
        <v>210</v>
      </c>
      <c r="D393" s="35"/>
      <c r="E393" s="35"/>
      <c r="F393" s="35"/>
      <c r="G393" s="35"/>
      <c r="H393" s="35"/>
      <c r="I393" s="35"/>
      <c r="J393" s="35"/>
      <c r="K393" s="35"/>
      <c r="BW393" s="17"/>
      <c r="BX393" s="17" t="str">
        <v>REF SUNFLOWER OIL 5 LTR CAN BOX (GULAS Offer)</v>
      </c>
      <c r="BY393" s="17" t="str">
        <v>SF 5 L</v>
      </c>
      <c r="BZ393" s="17"/>
      <c r="CA393" s="17"/>
      <c r="CB393" s="17"/>
      <c r="CC393" s="17"/>
      <c r="CD393" s="17"/>
      <c r="CE393" s="17"/>
    </row>
    <row r="394" spans="1:83" x14ac:dyDescent="0.25">
      <c r="A394" s="31" t="s">
        <v>312</v>
      </c>
      <c r="B394" s="30" t="s">
        <v>420</v>
      </c>
      <c r="C394" s="30" t="s">
        <v>210</v>
      </c>
      <c r="D394" s="35"/>
      <c r="E394" s="35"/>
      <c r="F394" s="35"/>
      <c r="G394" s="35"/>
      <c r="H394" s="35"/>
      <c r="I394" s="35"/>
      <c r="J394" s="35"/>
      <c r="K394" s="35"/>
      <c r="BW394" s="17"/>
      <c r="BX394" s="17" t="str">
        <v>REF SUNFLOWER OIL 5 LTR CAN BOX (Offer)</v>
      </c>
      <c r="BY394" s="17" t="str">
        <v>SF 5 L</v>
      </c>
      <c r="BZ394" s="17"/>
      <c r="CA394" s="17"/>
      <c r="CB394" s="17"/>
      <c r="CC394" s="17"/>
      <c r="CD394" s="17"/>
      <c r="CE394" s="17"/>
    </row>
    <row r="395" spans="1:83" x14ac:dyDescent="0.25">
      <c r="A395" s="31" t="s">
        <v>313</v>
      </c>
      <c r="B395" s="30" t="s">
        <v>420</v>
      </c>
      <c r="C395" s="30" t="s">
        <v>210</v>
      </c>
      <c r="D395" s="35"/>
      <c r="E395" s="35"/>
      <c r="F395" s="35"/>
      <c r="G395" s="35"/>
      <c r="H395" s="35"/>
      <c r="I395" s="35"/>
      <c r="J395" s="35"/>
      <c r="K395" s="35"/>
      <c r="BW395" s="17"/>
      <c r="BX395" s="17" t="str">
        <v>REF SUNFLOWER OIL 5 LTR CAN(FREE)</v>
      </c>
      <c r="BY395" s="17" t="str">
        <v>SF 5 L</v>
      </c>
      <c r="BZ395" s="17"/>
      <c r="CA395" s="17"/>
      <c r="CB395" s="17"/>
      <c r="CC395" s="17"/>
      <c r="CD395" s="17"/>
      <c r="CE395" s="17"/>
    </row>
    <row r="396" spans="1:83" x14ac:dyDescent="0.25">
      <c r="A396" s="31" t="s">
        <v>314</v>
      </c>
      <c r="B396" s="30" t="s">
        <v>420</v>
      </c>
      <c r="C396" s="30" t="s">
        <v>210</v>
      </c>
      <c r="D396" s="35"/>
      <c r="E396" s="35"/>
      <c r="F396" s="35"/>
      <c r="G396" s="35"/>
      <c r="H396" s="35"/>
      <c r="I396" s="35"/>
      <c r="J396" s="35"/>
      <c r="K396" s="35"/>
      <c r="BW396" s="17"/>
      <c r="BX396" s="17" t="str">
        <v>REF SUNFLOWER OIL 5 LTR PET BOX</v>
      </c>
      <c r="BY396" s="17" t="str">
        <v>SF 5 L</v>
      </c>
      <c r="BZ396" s="17"/>
      <c r="CA396" s="17"/>
      <c r="CB396" s="17"/>
      <c r="CC396" s="17"/>
      <c r="CD396" s="17"/>
      <c r="CE396" s="17"/>
    </row>
    <row r="397" spans="1:83" x14ac:dyDescent="0.25">
      <c r="A397" s="31" t="s">
        <v>322</v>
      </c>
      <c r="B397" s="30" t="s">
        <v>420</v>
      </c>
      <c r="C397" s="30" t="s">
        <v>210</v>
      </c>
      <c r="D397" s="35"/>
      <c r="E397" s="35"/>
      <c r="F397" s="35"/>
      <c r="G397" s="35"/>
      <c r="H397" s="35"/>
      <c r="I397" s="35"/>
      <c r="J397" s="35"/>
      <c r="K397" s="35"/>
      <c r="BW397" s="17"/>
      <c r="BX397" s="17" t="str">
        <v>REF SUNFLOWER OIL 5 LTR PET BOX ( Kadai Offer)</v>
      </c>
      <c r="BY397" s="17" t="str">
        <v>SF 5 L</v>
      </c>
      <c r="BZ397" s="17"/>
      <c r="CA397" s="17"/>
      <c r="CB397" s="17"/>
      <c r="CC397" s="17"/>
      <c r="CD397" s="17"/>
      <c r="CE397" s="17"/>
    </row>
    <row r="398" spans="1:83" x14ac:dyDescent="0.25">
      <c r="A398" s="31" t="s">
        <v>435</v>
      </c>
      <c r="B398" s="30" t="s">
        <v>420</v>
      </c>
      <c r="C398" s="30" t="s">
        <v>210</v>
      </c>
      <c r="D398" s="35"/>
      <c r="E398" s="35"/>
      <c r="F398" s="35"/>
      <c r="G398" s="35"/>
      <c r="H398" s="35"/>
      <c r="I398" s="35"/>
      <c r="J398" s="35"/>
      <c r="K398" s="35"/>
      <c r="BW398" s="17"/>
      <c r="BX398" s="17" t="str">
        <v>REF SUNFLOWER OIL 5 LTR PET BOX (FREE_)</v>
      </c>
      <c r="BY398" s="17" t="str">
        <v>SF 5 L</v>
      </c>
      <c r="BZ398" s="17"/>
      <c r="CA398" s="17"/>
      <c r="CB398" s="17"/>
      <c r="CC398" s="17"/>
      <c r="CD398" s="17"/>
      <c r="CE398" s="17"/>
    </row>
    <row r="399" spans="1:83" x14ac:dyDescent="0.25">
      <c r="A399" s="31" t="s">
        <v>337</v>
      </c>
      <c r="B399" s="30" t="s">
        <v>384</v>
      </c>
      <c r="C399" s="30" t="s">
        <v>210</v>
      </c>
      <c r="D399" s="35"/>
      <c r="E399" s="35"/>
      <c r="F399" s="35"/>
      <c r="G399" s="35"/>
      <c r="H399" s="35"/>
      <c r="I399" s="35"/>
      <c r="J399" s="35"/>
      <c r="K399" s="35"/>
      <c r="BW399" s="17"/>
      <c r="BX399" s="17" t="str">
        <v>REF SUNFLOWER OIL 5 LTR PET BOX (GULAB JAMUN)</v>
      </c>
      <c r="BY399" s="17" t="str">
        <v>SF 5 L</v>
      </c>
      <c r="BZ399" s="17"/>
      <c r="CA399" s="17"/>
      <c r="CB399" s="17"/>
      <c r="CC399" s="17"/>
      <c r="CD399" s="17"/>
      <c r="CE399" s="17"/>
    </row>
    <row r="400" spans="1:83" x14ac:dyDescent="0.25">
      <c r="A400" s="31" t="s">
        <v>173</v>
      </c>
      <c r="B400" s="30" t="s">
        <v>384</v>
      </c>
      <c r="C400" s="30" t="s">
        <v>210</v>
      </c>
      <c r="D400" s="35"/>
      <c r="E400" s="35"/>
      <c r="F400" s="35"/>
      <c r="G400" s="35"/>
      <c r="H400" s="35"/>
      <c r="I400" s="35"/>
      <c r="J400" s="35"/>
      <c r="K400" s="35"/>
      <c r="BW400" s="17"/>
      <c r="BX400" s="17" t="str">
        <v>REF SUNFLOWER OIL 5 LTR PET BOX (GULAS OFFER)</v>
      </c>
      <c r="BY400" s="17" t="str">
        <v>SF 5 L</v>
      </c>
      <c r="BZ400" s="17"/>
      <c r="CA400" s="17"/>
      <c r="CB400" s="17"/>
      <c r="CC400" s="17"/>
      <c r="CD400" s="17"/>
      <c r="CE400" s="17"/>
    </row>
    <row r="401" spans="1:83" x14ac:dyDescent="0.25">
      <c r="A401" s="31" t="s">
        <v>330</v>
      </c>
      <c r="B401" s="30" t="s">
        <v>384</v>
      </c>
      <c r="C401" s="30" t="s">
        <v>210</v>
      </c>
      <c r="D401" s="35"/>
      <c r="E401" s="35"/>
      <c r="F401" s="35"/>
      <c r="G401" s="35"/>
      <c r="H401" s="35"/>
      <c r="I401" s="35"/>
      <c r="J401" s="35"/>
      <c r="K401" s="35"/>
      <c r="BW401" s="17"/>
      <c r="BX401" s="17" t="str">
        <v>REF SUNFLOWER OIL 5 LTR PET BOX (Offer)</v>
      </c>
      <c r="BY401" s="17" t="str">
        <v>SF 5 L</v>
      </c>
      <c r="BZ401" s="17"/>
      <c r="CA401" s="17"/>
      <c r="CB401" s="17"/>
      <c r="CC401" s="17"/>
      <c r="CD401" s="17"/>
      <c r="CE401" s="17"/>
    </row>
    <row r="402" spans="1:83" x14ac:dyDescent="0.25">
      <c r="A402" s="31" t="s">
        <v>172</v>
      </c>
      <c r="B402" s="30" t="s">
        <v>384</v>
      </c>
      <c r="C402" s="30" t="s">
        <v>210</v>
      </c>
      <c r="D402" s="35"/>
      <c r="E402" s="35"/>
      <c r="F402" s="35"/>
      <c r="G402" s="35"/>
      <c r="H402" s="35"/>
      <c r="I402" s="35"/>
      <c r="J402" s="35"/>
      <c r="K402" s="35"/>
      <c r="BW402" s="17"/>
      <c r="BX402" s="17" t="str">
        <v>REF SUNFLOWER OIL 5LTR CAN(FREE)</v>
      </c>
      <c r="BY402" s="17" t="str">
        <v>SF 5 L</v>
      </c>
      <c r="BZ402" s="17"/>
      <c r="CA402" s="17"/>
      <c r="CB402" s="17"/>
      <c r="CC402" s="17"/>
      <c r="CD402" s="17"/>
      <c r="CE402" s="17"/>
    </row>
    <row r="403" spans="1:83" x14ac:dyDescent="0.25">
      <c r="A403" s="31" t="s">
        <v>174</v>
      </c>
      <c r="B403" s="30" t="s">
        <v>384</v>
      </c>
      <c r="C403" s="30" t="s">
        <v>210</v>
      </c>
      <c r="D403" s="35"/>
      <c r="E403" s="35"/>
      <c r="F403" s="35"/>
      <c r="G403" s="35"/>
      <c r="H403" s="35"/>
      <c r="I403" s="35"/>
      <c r="J403" s="35"/>
      <c r="K403" s="35"/>
      <c r="BW403" s="17"/>
      <c r="BX403" s="17" t="str">
        <v>REF.SUNFLOWER 5 Ltr CAN</v>
      </c>
      <c r="BY403" s="17" t="str">
        <v>SF 5 L</v>
      </c>
      <c r="BZ403" s="17"/>
      <c r="CA403" s="17"/>
      <c r="CB403" s="17"/>
      <c r="CC403" s="17"/>
      <c r="CD403" s="17"/>
      <c r="CE403" s="17"/>
    </row>
    <row r="404" spans="1:83" x14ac:dyDescent="0.25">
      <c r="A404" s="31" t="s">
        <v>317</v>
      </c>
      <c r="B404" s="30" t="s">
        <v>389</v>
      </c>
      <c r="C404" s="30" t="s">
        <v>210</v>
      </c>
      <c r="D404" s="35"/>
      <c r="E404" s="35"/>
      <c r="F404" s="35"/>
      <c r="G404" s="35"/>
      <c r="H404" s="35"/>
      <c r="I404" s="35"/>
      <c r="J404" s="35"/>
      <c r="K404" s="35"/>
      <c r="BW404" s="17"/>
      <c r="BX404" s="17" t="str">
        <v>REF SUNFLOWER OIL 1/2 LTR BOX</v>
      </c>
      <c r="BY404" s="17" t="str">
        <v>SF 500 ML</v>
      </c>
      <c r="BZ404" s="17"/>
      <c r="CA404" s="17"/>
      <c r="CB404" s="17"/>
      <c r="CC404" s="17"/>
      <c r="CD404" s="17"/>
      <c r="CE404" s="17"/>
    </row>
    <row r="405" spans="1:83" x14ac:dyDescent="0.25">
      <c r="A405" s="31" t="s">
        <v>171</v>
      </c>
      <c r="B405" s="30" t="s">
        <v>389</v>
      </c>
      <c r="C405" s="30" t="s">
        <v>210</v>
      </c>
      <c r="D405" s="35"/>
      <c r="E405" s="35"/>
      <c r="F405" s="35"/>
      <c r="G405" s="35"/>
      <c r="H405" s="35"/>
      <c r="I405" s="35"/>
      <c r="J405" s="35"/>
      <c r="K405" s="35"/>
      <c r="BW405" s="17"/>
      <c r="BX405" s="17" t="str">
        <v>REF SUNFLOWER OIL 1/2 LTR BOX (24 POUCHES)</v>
      </c>
      <c r="BY405" s="17" t="str">
        <v>SF 500 ML</v>
      </c>
      <c r="BZ405" s="17"/>
      <c r="CA405" s="17"/>
      <c r="CB405" s="17"/>
      <c r="CC405" s="17"/>
      <c r="CD405" s="17"/>
      <c r="CE405" s="17"/>
    </row>
    <row r="406" spans="1:83" x14ac:dyDescent="0.25">
      <c r="A406" s="31" t="s">
        <v>176</v>
      </c>
      <c r="B406" s="30" t="s">
        <v>382</v>
      </c>
      <c r="C406" s="30" t="s">
        <v>210</v>
      </c>
      <c r="D406" s="35"/>
      <c r="E406" s="35"/>
      <c r="F406" s="35"/>
      <c r="G406" s="35"/>
      <c r="H406" s="35"/>
      <c r="I406" s="35"/>
      <c r="J406" s="35"/>
      <c r="K406" s="35"/>
      <c r="BW406" s="17"/>
      <c r="BX406" s="17" t="str">
        <v>REF SUNFLOWER OIL 1/2 LTR BOX (COCONUT OFFER)</v>
      </c>
      <c r="BY406" s="17" t="str">
        <v>SF 500 ML</v>
      </c>
      <c r="BZ406" s="17"/>
      <c r="CA406" s="17"/>
      <c r="CB406" s="17"/>
      <c r="CC406" s="17"/>
      <c r="CD406" s="17"/>
      <c r="CE406" s="17"/>
    </row>
    <row r="407" spans="1:83" x14ac:dyDescent="0.25">
      <c r="A407" s="31" t="s">
        <v>175</v>
      </c>
      <c r="B407" s="30" t="s">
        <v>382</v>
      </c>
      <c r="C407" s="30" t="s">
        <v>210</v>
      </c>
      <c r="D407" s="35"/>
      <c r="E407" s="35"/>
      <c r="F407" s="35"/>
      <c r="G407" s="35"/>
      <c r="H407" s="35"/>
      <c r="I407" s="35"/>
      <c r="J407" s="35"/>
      <c r="K407" s="35"/>
      <c r="BW407" s="17"/>
      <c r="BX407" s="17" t="str">
        <v>REF SUNFLOWER OIL 1/2 LTR BOX (FREE)</v>
      </c>
      <c r="BY407" s="17" t="str">
        <v>SF 500 ML</v>
      </c>
      <c r="BZ407" s="17"/>
      <c r="CA407" s="17"/>
      <c r="CB407" s="17"/>
      <c r="CC407" s="17"/>
      <c r="CD407" s="17"/>
      <c r="CE407" s="17"/>
    </row>
    <row r="408" spans="1:83" x14ac:dyDescent="0.25">
      <c r="A408" s="31" t="s">
        <v>177</v>
      </c>
      <c r="B408" s="30" t="s">
        <v>382</v>
      </c>
      <c r="C408" s="30" t="s">
        <v>210</v>
      </c>
      <c r="D408" s="35"/>
      <c r="E408" s="35"/>
      <c r="F408" s="35"/>
      <c r="G408" s="35"/>
      <c r="H408" s="35"/>
      <c r="I408" s="35"/>
      <c r="J408" s="35"/>
      <c r="K408" s="35"/>
      <c r="BW408" s="17"/>
      <c r="BX408" s="17" t="str">
        <v>REF SUNFLOWER OIL 1/2 LTR BOX (RRB OFFER)</v>
      </c>
      <c r="BY408" s="17" t="str">
        <v>SF 500 ML</v>
      </c>
      <c r="BZ408" s="17"/>
      <c r="CA408" s="17"/>
      <c r="CB408" s="17"/>
      <c r="CC408" s="17"/>
      <c r="CD408" s="17"/>
      <c r="CE408" s="17"/>
    </row>
    <row r="409" spans="1:83" x14ac:dyDescent="0.25">
      <c r="A409" s="31" t="s">
        <v>542</v>
      </c>
      <c r="B409" s="30" t="s">
        <v>382</v>
      </c>
      <c r="C409" s="30" t="s">
        <v>210</v>
      </c>
      <c r="D409" s="35"/>
      <c r="E409" s="35"/>
      <c r="F409" s="35"/>
      <c r="G409" s="35"/>
      <c r="H409" s="35"/>
      <c r="I409" s="35"/>
      <c r="J409" s="35"/>
      <c r="K409" s="35"/>
      <c r="BW409" s="17"/>
      <c r="BX409" s="17" t="str">
        <v>REF SUNFLOWER OIL 1/2 LTR Pouch</v>
      </c>
      <c r="BY409" s="17" t="str">
        <v>SF 500 ML</v>
      </c>
      <c r="BZ409" s="17"/>
      <c r="CA409" s="17"/>
      <c r="CB409" s="17"/>
      <c r="CC409" s="17"/>
      <c r="CD409" s="17"/>
      <c r="CE409" s="17"/>
    </row>
    <row r="410" spans="1:83" x14ac:dyDescent="0.25">
      <c r="A410" s="31" t="s">
        <v>331</v>
      </c>
      <c r="B410" s="30" t="s">
        <v>382</v>
      </c>
      <c r="C410" s="30" t="s">
        <v>210</v>
      </c>
      <c r="D410" s="35"/>
      <c r="E410" s="35"/>
      <c r="F410" s="35"/>
      <c r="G410" s="35"/>
      <c r="H410" s="35"/>
      <c r="I410" s="35"/>
      <c r="J410" s="35"/>
      <c r="K410" s="35"/>
      <c r="BW410" s="17"/>
      <c r="BX410" s="17" t="str">
        <v>REF SUNFLOWER OIL 1/2 LTR POUCH (FREE)</v>
      </c>
      <c r="BY410" s="17" t="str">
        <v>SF 500 ML</v>
      </c>
      <c r="BZ410" s="17"/>
      <c r="CA410" s="17"/>
      <c r="CB410" s="17"/>
      <c r="CC410" s="17"/>
      <c r="CD410" s="17"/>
      <c r="CE410" s="17"/>
    </row>
    <row r="411" spans="1:83" x14ac:dyDescent="0.25">
      <c r="A411" s="31" t="s">
        <v>178</v>
      </c>
      <c r="B411" s="30" t="s">
        <v>382</v>
      </c>
      <c r="C411" s="30" t="s">
        <v>210</v>
      </c>
      <c r="D411" s="35"/>
      <c r="E411" s="35"/>
      <c r="F411" s="35"/>
      <c r="G411" s="35"/>
      <c r="H411" s="35"/>
      <c r="I411" s="35"/>
      <c r="J411" s="35"/>
      <c r="K411" s="35"/>
      <c r="BW411" s="17"/>
      <c r="BX411" s="17" t="str">
        <v>REF SUNFLOWER OIL 1/2 LTR Pouch (OLD)</v>
      </c>
      <c r="BY411" s="17" t="str">
        <v>SF 500 ML</v>
      </c>
      <c r="BZ411" s="17"/>
      <c r="CA411" s="17"/>
      <c r="CB411" s="17"/>
      <c r="CC411" s="17"/>
      <c r="CD411" s="17"/>
      <c r="CE411" s="17"/>
    </row>
    <row r="412" spans="1:83" x14ac:dyDescent="0.25">
      <c r="A412" s="31" t="s">
        <v>216</v>
      </c>
      <c r="B412" s="30" t="s">
        <v>381</v>
      </c>
      <c r="C412" s="30" t="s">
        <v>210</v>
      </c>
      <c r="D412" s="35"/>
      <c r="E412" s="35"/>
      <c r="F412" s="35"/>
      <c r="G412" s="35"/>
      <c r="H412" s="35"/>
      <c r="I412" s="35"/>
      <c r="J412" s="35"/>
      <c r="K412" s="35"/>
      <c r="BW412" s="17"/>
      <c r="BX412" s="17" t="str">
        <v>REF SUNFLOWER OIL 1/2LTR BOX</v>
      </c>
      <c r="BY412" s="17" t="str">
        <v>SF 500 ML</v>
      </c>
      <c r="BZ412" s="17"/>
      <c r="CA412" s="17"/>
      <c r="CB412" s="17"/>
      <c r="CC412" s="17"/>
      <c r="CD412" s="17"/>
      <c r="CE412" s="17"/>
    </row>
    <row r="413" spans="1:83" x14ac:dyDescent="0.25">
      <c r="A413" s="31" t="s">
        <v>151</v>
      </c>
      <c r="B413" s="30" t="s">
        <v>381</v>
      </c>
      <c r="C413" s="30" t="s">
        <v>210</v>
      </c>
      <c r="D413" s="35"/>
      <c r="E413" s="35"/>
      <c r="F413" s="35"/>
      <c r="G413" s="35"/>
      <c r="H413" s="35"/>
      <c r="I413" s="35"/>
      <c r="J413" s="35"/>
      <c r="K413" s="35"/>
      <c r="BW413" s="17"/>
      <c r="BX413" s="17" t="str">
        <v>REF SUNFLOWER OIL 1/2 LTR  PET BOX</v>
      </c>
      <c r="BY413" s="17" t="str">
        <v>SF 500 ML PET</v>
      </c>
      <c r="BZ413" s="17"/>
      <c r="CA413" s="17"/>
      <c r="CB413" s="17"/>
      <c r="CC413" s="17"/>
      <c r="CD413" s="17"/>
      <c r="CE413" s="17"/>
    </row>
    <row r="414" spans="1:83" x14ac:dyDescent="0.25">
      <c r="A414" s="31" t="s">
        <v>232</v>
      </c>
      <c r="B414" s="30" t="s">
        <v>381</v>
      </c>
      <c r="C414" s="30" t="s">
        <v>210</v>
      </c>
      <c r="D414" s="35"/>
      <c r="E414" s="35"/>
      <c r="F414" s="35"/>
      <c r="G414" s="35"/>
      <c r="H414" s="35"/>
      <c r="I414" s="35"/>
      <c r="J414" s="35"/>
      <c r="K414" s="35"/>
      <c r="BW414" s="17"/>
      <c r="BX414" s="17" t="str">
        <v>REF SUNFLOWER OIL 1/2 LTR  PET BOX (COCONUT OFFER)</v>
      </c>
      <c r="BY414" s="17" t="str">
        <v>SF 500 ML PET</v>
      </c>
      <c r="BZ414" s="17"/>
      <c r="CA414" s="17"/>
      <c r="CB414" s="17"/>
      <c r="CC414" s="17"/>
      <c r="CD414" s="17"/>
      <c r="CE414" s="17"/>
    </row>
    <row r="415" spans="1:83" x14ac:dyDescent="0.25">
      <c r="A415" s="30" t="s">
        <v>523</v>
      </c>
      <c r="B415" s="30" t="s">
        <v>381</v>
      </c>
      <c r="C415" s="30" t="s">
        <v>210</v>
      </c>
      <c r="D415" s="35"/>
      <c r="E415" s="35"/>
      <c r="F415" s="35"/>
      <c r="G415" s="35"/>
      <c r="H415" s="35"/>
      <c r="I415" s="35"/>
      <c r="J415" s="35"/>
      <c r="K415" s="35"/>
      <c r="BW415" s="17"/>
      <c r="BX415" s="17" t="str">
        <v>REF SUNFLOWER OIL 1/2 LTR  PET BOX (RRB OFFER)</v>
      </c>
      <c r="BY415" s="17" t="str">
        <v>SF 500 ML PET</v>
      </c>
      <c r="BZ415" s="17"/>
      <c r="CA415" s="17"/>
      <c r="CB415" s="17"/>
      <c r="CC415" s="17"/>
      <c r="CD415" s="17"/>
      <c r="CE415" s="17"/>
    </row>
    <row r="416" spans="1:83" x14ac:dyDescent="0.25">
      <c r="A416" s="31" t="s">
        <v>318</v>
      </c>
      <c r="B416" s="30" t="s">
        <v>381</v>
      </c>
      <c r="C416" s="30" t="s">
        <v>210</v>
      </c>
      <c r="D416" s="35"/>
      <c r="E416" s="35"/>
      <c r="F416" s="35"/>
      <c r="G416" s="35"/>
      <c r="H416" s="35"/>
      <c r="I416" s="35"/>
      <c r="J416" s="35"/>
      <c r="K416" s="35"/>
      <c r="BW416" s="17"/>
      <c r="BX416" s="17" t="str">
        <v>REF SUNFLOWER OIL 1/2 LTR PET</v>
      </c>
      <c r="BY416" s="17" t="str">
        <v>SF 500 ML PET</v>
      </c>
      <c r="BZ416" s="17"/>
      <c r="CA416" s="17"/>
      <c r="CB416" s="17"/>
      <c r="CC416" s="17"/>
      <c r="CD416" s="17"/>
      <c r="CE416" s="17"/>
    </row>
    <row r="417" spans="1:83" x14ac:dyDescent="0.25">
      <c r="A417" s="31" t="s">
        <v>332</v>
      </c>
      <c r="B417" s="30" t="s">
        <v>381</v>
      </c>
      <c r="C417" s="30" t="s">
        <v>210</v>
      </c>
      <c r="D417" s="35"/>
      <c r="E417" s="35"/>
      <c r="F417" s="35"/>
      <c r="G417" s="35"/>
      <c r="H417" s="35"/>
      <c r="I417" s="35"/>
      <c r="J417" s="35"/>
      <c r="K417" s="35"/>
      <c r="BW417" s="17"/>
      <c r="BX417" s="17" t="str">
        <v>REF SUNFLOWER OIL 1 LTR x 5 POUCH (COMBO OFFER)</v>
      </c>
      <c r="BY417" s="17" t="str">
        <v>SF COMBO</v>
      </c>
      <c r="BZ417" s="17"/>
      <c r="CA417" s="17"/>
      <c r="CB417" s="17"/>
      <c r="CC417" s="17"/>
      <c r="CD417" s="17"/>
      <c r="CE417" s="17"/>
    </row>
    <row r="418" spans="1:83" x14ac:dyDescent="0.25">
      <c r="A418" s="31" t="s">
        <v>179</v>
      </c>
      <c r="B418" s="30" t="s">
        <v>381</v>
      </c>
      <c r="C418" s="30" t="s">
        <v>210</v>
      </c>
      <c r="D418" s="35"/>
      <c r="E418" s="35"/>
      <c r="F418" s="35"/>
      <c r="G418" s="35"/>
      <c r="H418" s="35"/>
      <c r="I418" s="35"/>
      <c r="J418" s="35"/>
      <c r="K418" s="35"/>
      <c r="BW418" s="17"/>
      <c r="BX418" s="17" t="str">
        <v>REF SUNFLOWER OIL 5 LTR COMBO PACK (20 LTR)</v>
      </c>
      <c r="BY418" s="17" t="str">
        <v>SF COMBO</v>
      </c>
      <c r="BZ418" s="17"/>
      <c r="CA418" s="17"/>
      <c r="CB418" s="17"/>
      <c r="CC418" s="17"/>
      <c r="CD418" s="17"/>
      <c r="CE418" s="17"/>
    </row>
    <row r="419" spans="1:83" x14ac:dyDescent="0.25">
      <c r="A419" s="31" t="s">
        <v>189</v>
      </c>
      <c r="B419" s="30" t="s">
        <v>381</v>
      </c>
      <c r="C419" s="30" t="s">
        <v>210</v>
      </c>
      <c r="D419" s="35"/>
      <c r="E419" s="35"/>
      <c r="F419" s="35"/>
      <c r="G419" s="35"/>
      <c r="H419" s="35"/>
      <c r="I419" s="35"/>
      <c r="J419" s="35"/>
      <c r="K419" s="35"/>
      <c r="BW419" s="17"/>
      <c r="BX419" s="17" t="str">
        <v>REF SUNFLOWER OIL Rs 10 PACK</v>
      </c>
      <c r="BY419" s="17" t="str">
        <v>SF RS.10 LUP</v>
      </c>
      <c r="BZ419" s="17"/>
      <c r="CA419" s="17"/>
      <c r="CB419" s="17"/>
      <c r="CC419" s="17"/>
      <c r="CD419" s="17"/>
      <c r="CE419" s="17"/>
    </row>
    <row r="420" spans="1:83" x14ac:dyDescent="0.25">
      <c r="A420" s="31" t="s">
        <v>180</v>
      </c>
      <c r="B420" s="30" t="s">
        <v>381</v>
      </c>
      <c r="C420" s="30" t="s">
        <v>210</v>
      </c>
      <c r="D420" s="35"/>
      <c r="E420" s="35"/>
      <c r="F420" s="35"/>
      <c r="G420" s="35"/>
      <c r="H420" s="35"/>
      <c r="I420" s="35"/>
      <c r="J420" s="35"/>
      <c r="K420" s="35"/>
      <c r="BW420" s="17"/>
      <c r="BX420" s="17" t="str">
        <v>REF SUNFLOWER OIL RS 10PACK BOX</v>
      </c>
      <c r="BY420" s="17" t="str">
        <v>SF RS.10 LUP</v>
      </c>
      <c r="BZ420" s="17"/>
      <c r="CA420" s="17"/>
      <c r="CB420" s="17"/>
      <c r="CC420" s="17"/>
      <c r="CD420" s="17"/>
      <c r="CE420" s="17"/>
    </row>
    <row r="421" spans="1:83" x14ac:dyDescent="0.25">
      <c r="A421" s="31" t="s">
        <v>181</v>
      </c>
      <c r="B421" s="30" t="s">
        <v>381</v>
      </c>
      <c r="C421" s="30" t="s">
        <v>210</v>
      </c>
      <c r="D421" s="35"/>
      <c r="E421" s="35"/>
      <c r="F421" s="35"/>
      <c r="G421" s="35"/>
      <c r="H421" s="35"/>
      <c r="I421" s="35"/>
      <c r="J421" s="35"/>
      <c r="K421" s="35"/>
      <c r="BW421" s="17"/>
      <c r="BX421" s="17" t="str">
        <v>REF SUNFLOWER OIL Rs.10 PACK</v>
      </c>
      <c r="BY421" s="17" t="str">
        <v>SF RS.10 LUP</v>
      </c>
      <c r="BZ421" s="17"/>
      <c r="CA421" s="17"/>
      <c r="CB421" s="17"/>
      <c r="CC421" s="17"/>
      <c r="CD421" s="17"/>
      <c r="CE421" s="17"/>
    </row>
    <row r="422" spans="1:83" x14ac:dyDescent="0.25">
      <c r="A422" s="31" t="s">
        <v>182</v>
      </c>
      <c r="B422" s="30" t="s">
        <v>381</v>
      </c>
      <c r="C422" s="30" t="s">
        <v>210</v>
      </c>
      <c r="D422" s="35"/>
      <c r="E422" s="35"/>
      <c r="F422" s="35"/>
      <c r="G422" s="35"/>
      <c r="H422" s="35"/>
      <c r="I422" s="35"/>
      <c r="J422" s="35"/>
      <c r="K422" s="35"/>
      <c r="BW422" s="17"/>
      <c r="BX422" s="17" t="str">
        <v>REF SUNFLOWER OIL RS.10 PACK BOX</v>
      </c>
      <c r="BY422" s="17" t="str">
        <v>SF RS.10 LUP</v>
      </c>
      <c r="BZ422" s="17"/>
      <c r="CA422" s="17"/>
      <c r="CB422" s="17"/>
      <c r="CC422" s="17"/>
      <c r="CD422" s="17"/>
      <c r="CE422" s="17"/>
    </row>
    <row r="423" spans="1:83" x14ac:dyDescent="0.25">
      <c r="A423" s="31" t="s">
        <v>183</v>
      </c>
      <c r="B423" s="30" t="s">
        <v>381</v>
      </c>
      <c r="C423" s="30" t="s">
        <v>210</v>
      </c>
      <c r="D423" s="35"/>
      <c r="E423" s="35"/>
      <c r="F423" s="35"/>
      <c r="G423" s="35"/>
      <c r="H423" s="35"/>
      <c r="I423" s="35"/>
      <c r="J423" s="35"/>
      <c r="K423" s="35"/>
      <c r="BW423" s="17"/>
      <c r="BX423" s="17" t="str">
        <v>REF SUNFLOWER OIL RS.10 PACK BOX (03.05.2023)</v>
      </c>
      <c r="BY423" s="17" t="str">
        <v>SF RS.10 LUP</v>
      </c>
      <c r="BZ423" s="17"/>
      <c r="CA423" s="17"/>
      <c r="CB423" s="17"/>
      <c r="CC423" s="17"/>
      <c r="CD423" s="17"/>
      <c r="CE423" s="17"/>
    </row>
    <row r="424" spans="1:83" x14ac:dyDescent="0.25">
      <c r="A424" s="31" t="s">
        <v>185</v>
      </c>
      <c r="B424" s="30" t="s">
        <v>381</v>
      </c>
      <c r="C424" s="30" t="s">
        <v>210</v>
      </c>
      <c r="D424" s="35"/>
      <c r="E424" s="35"/>
      <c r="F424" s="35"/>
      <c r="G424" s="35"/>
      <c r="H424" s="35"/>
      <c r="I424" s="35"/>
      <c r="J424" s="35"/>
      <c r="K424" s="35"/>
      <c r="BW424" s="17"/>
      <c r="BX424" s="17" t="str">
        <v>REF SUNFLOWER OIL RS.10 PACK BOX (NEW 01.02.24)</v>
      </c>
      <c r="BY424" s="17" t="str">
        <v>SF RS.10 LUP</v>
      </c>
      <c r="BZ424" s="17"/>
      <c r="CA424" s="17"/>
      <c r="CB424" s="17"/>
      <c r="CC424" s="17"/>
      <c r="CD424" s="17"/>
      <c r="CE424" s="17"/>
    </row>
    <row r="425" spans="1:83" x14ac:dyDescent="0.25">
      <c r="A425" s="31" t="s">
        <v>436</v>
      </c>
      <c r="B425" s="30" t="s">
        <v>381</v>
      </c>
      <c r="C425" s="30" t="s">
        <v>210</v>
      </c>
      <c r="D425" s="35"/>
      <c r="E425" s="35"/>
      <c r="F425" s="35"/>
      <c r="G425" s="35"/>
      <c r="H425" s="35"/>
      <c r="I425" s="35"/>
      <c r="J425" s="35"/>
      <c r="K425" s="35"/>
      <c r="BW425" s="17"/>
      <c r="BX425" s="17" t="str">
        <v>REF SUNFLOWER OIL RS.10 PACK BOX (NEW)</v>
      </c>
      <c r="BY425" s="17" t="str">
        <v>SF RS.10 LUP</v>
      </c>
      <c r="BZ425" s="17"/>
      <c r="CA425" s="17"/>
      <c r="CB425" s="17"/>
      <c r="CC425" s="17"/>
      <c r="CD425" s="17"/>
      <c r="CE425" s="17"/>
    </row>
    <row r="426" spans="1:83" x14ac:dyDescent="0.25">
      <c r="A426" s="31" t="s">
        <v>186</v>
      </c>
      <c r="B426" s="30" t="s">
        <v>381</v>
      </c>
      <c r="C426" s="30" t="s">
        <v>210</v>
      </c>
      <c r="D426" s="35"/>
      <c r="E426" s="35"/>
      <c r="F426" s="35"/>
      <c r="G426" s="35"/>
      <c r="H426" s="35"/>
      <c r="I426" s="35"/>
      <c r="J426" s="35"/>
      <c r="K426" s="35"/>
      <c r="BW426" s="17"/>
      <c r="BX426" s="17" t="str">
        <v>REF SUNFLOWER OIL RS.10 PACK BOX (OLD 01.02.24)</v>
      </c>
      <c r="BY426" s="17" t="str">
        <v>SF RS.10 LUP</v>
      </c>
      <c r="BZ426" s="17"/>
      <c r="CA426" s="17"/>
      <c r="CB426" s="17"/>
      <c r="CC426" s="17"/>
      <c r="CD426" s="17"/>
      <c r="CE426" s="17"/>
    </row>
    <row r="427" spans="1:83" x14ac:dyDescent="0.25">
      <c r="A427" s="31" t="s">
        <v>187</v>
      </c>
      <c r="B427" s="30" t="s">
        <v>381</v>
      </c>
      <c r="C427" s="30" t="s">
        <v>210</v>
      </c>
      <c r="D427" s="35"/>
      <c r="E427" s="35"/>
      <c r="F427" s="35"/>
      <c r="G427" s="35"/>
      <c r="H427" s="35"/>
      <c r="I427" s="35"/>
      <c r="J427" s="35"/>
      <c r="K427" s="35"/>
      <c r="BW427" s="17"/>
      <c r="BX427" s="17" t="str">
        <v>REF SUNFLOWER OIL RS.10 PACK BOX (OLD)</v>
      </c>
      <c r="BY427" s="17" t="str">
        <v>SF RS.10 LUP</v>
      </c>
      <c r="BZ427" s="17"/>
      <c r="CA427" s="17"/>
      <c r="CB427" s="17"/>
      <c r="CC427" s="17"/>
      <c r="CD427" s="17"/>
      <c r="CE427" s="17"/>
    </row>
    <row r="428" spans="1:83" x14ac:dyDescent="0.25">
      <c r="A428" s="31" t="s">
        <v>188</v>
      </c>
      <c r="B428" s="30" t="s">
        <v>381</v>
      </c>
      <c r="C428" s="30" t="s">
        <v>210</v>
      </c>
      <c r="D428" s="35"/>
      <c r="E428" s="35"/>
      <c r="F428" s="35"/>
      <c r="G428" s="35"/>
      <c r="H428" s="35"/>
      <c r="I428" s="35"/>
      <c r="J428" s="35"/>
      <c r="K428" s="35"/>
      <c r="BW428" s="17"/>
      <c r="BX428" s="17" t="str">
        <v>REF SUNFLOWER OIL Rs.10 PACK JAR BOX</v>
      </c>
      <c r="BY428" s="17" t="str">
        <v>SF RS.10 LUP</v>
      </c>
      <c r="BZ428" s="17"/>
      <c r="CA428" s="17"/>
      <c r="CB428" s="17"/>
      <c r="CC428" s="17"/>
      <c r="CD428" s="17"/>
      <c r="CE428" s="17"/>
    </row>
    <row r="429" spans="1:83" x14ac:dyDescent="0.25">
      <c r="A429" s="31" t="s">
        <v>150</v>
      </c>
      <c r="B429" s="30" t="s">
        <v>381</v>
      </c>
      <c r="C429" s="30" t="s">
        <v>210</v>
      </c>
      <c r="D429" s="35"/>
      <c r="E429" s="35"/>
      <c r="F429" s="35"/>
      <c r="G429" s="35"/>
      <c r="H429" s="35"/>
      <c r="I429" s="35"/>
      <c r="J429" s="35"/>
      <c r="K429" s="35"/>
      <c r="BW429" s="17"/>
      <c r="BX429" s="17" t="str">
        <v>REF SUNFLOWER OIL Rs.10 PACK JAR BOX (24 AUG)</v>
      </c>
      <c r="BY429" s="17" t="str">
        <v>SF RS.10 LUP</v>
      </c>
      <c r="BZ429" s="17"/>
      <c r="CA429" s="17"/>
      <c r="CB429" s="17"/>
      <c r="CC429" s="17"/>
      <c r="CD429" s="17"/>
      <c r="CE429" s="17"/>
    </row>
    <row r="430" spans="1:83" x14ac:dyDescent="0.25">
      <c r="A430" s="31" t="s">
        <v>193</v>
      </c>
      <c r="B430" s="30" t="s">
        <v>381</v>
      </c>
      <c r="C430" s="30" t="s">
        <v>210</v>
      </c>
      <c r="D430" s="35"/>
      <c r="E430" s="35"/>
      <c r="F430" s="35"/>
      <c r="G430" s="35"/>
      <c r="H430" s="35"/>
      <c r="I430" s="35"/>
      <c r="J430" s="35"/>
      <c r="K430" s="35"/>
      <c r="BW430" s="17"/>
      <c r="BX430" s="17" t="str">
        <v>REF SUNFLOWER OIL Rs.10 PACK JAR BOX (NEW)</v>
      </c>
      <c r="BY430" s="17" t="str">
        <v>SF RS.10 LUP</v>
      </c>
      <c r="BZ430" s="17"/>
      <c r="CA430" s="17"/>
      <c r="CB430" s="17"/>
      <c r="CC430" s="17"/>
      <c r="CD430" s="17"/>
      <c r="CE430" s="17"/>
    </row>
    <row r="431" spans="1:83" x14ac:dyDescent="0.25">
      <c r="A431" s="31" t="s">
        <v>319</v>
      </c>
      <c r="B431" s="30" t="s">
        <v>381</v>
      </c>
      <c r="C431" s="30" t="s">
        <v>210</v>
      </c>
      <c r="D431" s="35"/>
      <c r="E431" s="35"/>
      <c r="F431" s="35"/>
      <c r="G431" s="35"/>
      <c r="H431" s="35"/>
      <c r="I431" s="35"/>
      <c r="J431" s="35"/>
      <c r="K431" s="35"/>
      <c r="BW431" s="17"/>
      <c r="BX431" s="17" t="str">
        <v>REF SUNFLOWER OIL RS.15 PACK BOX (08-AUG-22)</v>
      </c>
      <c r="BY431" s="17" t="str">
        <v>SF RS.10 LUP</v>
      </c>
      <c r="BZ431" s="17"/>
      <c r="CA431" s="17"/>
      <c r="CB431" s="17"/>
      <c r="CC431" s="17"/>
      <c r="CD431" s="17"/>
      <c r="CE431" s="17"/>
    </row>
    <row r="432" spans="1:83" x14ac:dyDescent="0.25">
      <c r="A432" s="31" t="s">
        <v>191</v>
      </c>
      <c r="B432" s="30" t="s">
        <v>381</v>
      </c>
      <c r="C432" s="30" t="s">
        <v>210</v>
      </c>
      <c r="D432" s="35"/>
      <c r="E432" s="35"/>
      <c r="F432" s="35"/>
      <c r="G432" s="35"/>
      <c r="H432" s="35"/>
      <c r="I432" s="35"/>
      <c r="J432" s="35"/>
      <c r="K432" s="35"/>
      <c r="BW432" s="17"/>
      <c r="BX432" s="17" t="str">
        <v>REF SUNFLOWER OIL Rs 20 PACK</v>
      </c>
      <c r="BY432" s="17" t="str">
        <v>SF RS.20 LUP</v>
      </c>
      <c r="BZ432" s="17"/>
      <c r="CA432" s="17"/>
      <c r="CB432" s="17"/>
      <c r="CC432" s="17"/>
      <c r="CD432" s="17"/>
      <c r="CE432" s="17"/>
    </row>
    <row r="433" spans="1:83" x14ac:dyDescent="0.25">
      <c r="A433" s="31" t="s">
        <v>192</v>
      </c>
      <c r="B433" s="30" t="s">
        <v>381</v>
      </c>
      <c r="C433" s="30" t="s">
        <v>210</v>
      </c>
      <c r="D433" s="35"/>
      <c r="E433" s="35"/>
      <c r="F433" s="35"/>
      <c r="G433" s="35"/>
      <c r="H433" s="35"/>
      <c r="I433" s="35"/>
      <c r="J433" s="35"/>
      <c r="K433" s="35"/>
      <c r="BW433" s="17"/>
      <c r="BX433" s="17" t="str">
        <v>REF SUNFLOWER OIL RS.20 PACK BOX (03.05.2023)</v>
      </c>
      <c r="BY433" s="17" t="str">
        <v>SF RS.20 LUP</v>
      </c>
      <c r="BZ433" s="17"/>
      <c r="CA433" s="17"/>
      <c r="CB433" s="17"/>
      <c r="CC433" s="17"/>
      <c r="CD433" s="17"/>
      <c r="CE433" s="17"/>
    </row>
    <row r="434" spans="1:83" x14ac:dyDescent="0.25">
      <c r="A434" s="31" t="s">
        <v>194</v>
      </c>
      <c r="B434" s="30" t="s">
        <v>381</v>
      </c>
      <c r="C434" s="30" t="s">
        <v>210</v>
      </c>
      <c r="D434" s="35"/>
      <c r="E434" s="35"/>
      <c r="F434" s="35"/>
      <c r="G434" s="35"/>
      <c r="H434" s="35"/>
      <c r="I434" s="35"/>
      <c r="J434" s="35"/>
      <c r="K434" s="35"/>
      <c r="BW434" s="17"/>
      <c r="BX434" s="17" t="str">
        <v>REF SUNFLOWER OIL RS.20 PACK BOX (NEW 01.02.24)</v>
      </c>
      <c r="BY434" s="17" t="str">
        <v>SF RS.20 LUP</v>
      </c>
      <c r="BZ434" s="17"/>
      <c r="CA434" s="17"/>
      <c r="CB434" s="17"/>
      <c r="CC434" s="17"/>
      <c r="CD434" s="17"/>
      <c r="CE434" s="17"/>
    </row>
    <row r="435" spans="1:83" x14ac:dyDescent="0.25">
      <c r="A435" s="31" t="s">
        <v>233</v>
      </c>
      <c r="B435" s="30" t="s">
        <v>381</v>
      </c>
      <c r="C435" s="30" t="s">
        <v>210</v>
      </c>
      <c r="D435" s="35"/>
      <c r="E435" s="35"/>
      <c r="F435" s="35"/>
      <c r="G435" s="35"/>
      <c r="H435" s="35"/>
      <c r="I435" s="35"/>
      <c r="J435" s="35"/>
      <c r="K435" s="35"/>
      <c r="BW435" s="17"/>
      <c r="BX435" s="17" t="str">
        <v>REF SUNFLOWER OIL RS.20 PACK BOX (NEW)</v>
      </c>
      <c r="BY435" s="17" t="str">
        <v>SF RS.20 LUP</v>
      </c>
      <c r="BZ435" s="17"/>
      <c r="CA435" s="17"/>
      <c r="CB435" s="17"/>
      <c r="CC435" s="17"/>
      <c r="CD435" s="17"/>
      <c r="CE435" s="17"/>
    </row>
    <row r="436" spans="1:83" x14ac:dyDescent="0.25">
      <c r="A436" s="31" t="s">
        <v>230</v>
      </c>
      <c r="B436" s="30" t="s">
        <v>381</v>
      </c>
      <c r="C436" s="30" t="s">
        <v>210</v>
      </c>
      <c r="D436" s="35"/>
      <c r="E436" s="35"/>
      <c r="F436" s="35"/>
      <c r="G436" s="35"/>
      <c r="H436" s="35"/>
      <c r="I436" s="35"/>
      <c r="J436" s="35"/>
      <c r="K436" s="35"/>
      <c r="BW436" s="17"/>
      <c r="BX436" s="17" t="str">
        <v>REF SUNFLOWER OIL RS.20 PACK BOX (OLD 01.02.24)</v>
      </c>
      <c r="BY436" s="17" t="str">
        <v>SF RS.20 LUP</v>
      </c>
      <c r="BZ436" s="17"/>
      <c r="CA436" s="17"/>
      <c r="CB436" s="17"/>
      <c r="CC436" s="17"/>
      <c r="CD436" s="17"/>
      <c r="CE436" s="17"/>
    </row>
    <row r="437" spans="1:83" x14ac:dyDescent="0.25">
      <c r="A437" s="31" t="s">
        <v>315</v>
      </c>
      <c r="B437" s="30" t="s">
        <v>388</v>
      </c>
      <c r="C437" s="30" t="s">
        <v>210</v>
      </c>
      <c r="D437" s="35"/>
      <c r="E437" s="35"/>
      <c r="F437" s="35"/>
      <c r="G437" s="35"/>
      <c r="H437" s="35"/>
      <c r="I437" s="35"/>
      <c r="J437" s="35"/>
      <c r="K437" s="35"/>
      <c r="BW437" s="17"/>
      <c r="BX437" s="17" t="str">
        <v>REF SUNFLOWER OIL RS.20 PACK BOX (OLD)</v>
      </c>
      <c r="BY437" s="17" t="str">
        <v>SF RS.20 LUP</v>
      </c>
      <c r="BZ437" s="17"/>
      <c r="CA437" s="17"/>
      <c r="CB437" s="17"/>
      <c r="CC437" s="17"/>
      <c r="CD437" s="17"/>
      <c r="CE437" s="17"/>
    </row>
    <row r="438" spans="1:83" x14ac:dyDescent="0.25">
      <c r="A438" s="31" t="s">
        <v>153</v>
      </c>
      <c r="B438" s="30" t="s">
        <v>388</v>
      </c>
      <c r="C438" s="30" t="s">
        <v>210</v>
      </c>
      <c r="D438" s="35"/>
      <c r="E438" s="35"/>
      <c r="F438" s="35"/>
      <c r="G438" s="35"/>
      <c r="H438" s="35"/>
      <c r="I438" s="35"/>
      <c r="J438" s="35"/>
      <c r="K438" s="35"/>
      <c r="BW438" s="17"/>
      <c r="BX438" s="17" t="str">
        <v>REF SUNFLOWER OIL RS.20 POUCH</v>
      </c>
      <c r="BY438" s="17" t="str">
        <v>SF RS.20 LUP</v>
      </c>
      <c r="BZ438" s="17"/>
      <c r="CA438" s="17"/>
      <c r="CB438" s="17"/>
      <c r="CC438" s="17"/>
      <c r="CD438" s="17"/>
      <c r="CE438" s="17"/>
    </row>
    <row r="439" spans="1:83" x14ac:dyDescent="0.25">
      <c r="A439" s="31" t="s">
        <v>154</v>
      </c>
      <c r="B439" s="30" t="s">
        <v>388</v>
      </c>
      <c r="C439" s="30" t="s">
        <v>210</v>
      </c>
      <c r="D439" s="35"/>
      <c r="E439" s="35"/>
      <c r="F439" s="35"/>
      <c r="G439" s="35"/>
      <c r="H439" s="35"/>
      <c r="I439" s="35"/>
      <c r="J439" s="35"/>
      <c r="K439" s="35"/>
      <c r="BW439" s="17"/>
      <c r="BX439" s="17" t="str">
        <v>REFSUNFLOWER OIL Rs20 PACK BOX</v>
      </c>
      <c r="BY439" s="17" t="str">
        <v>SF RS.20 LUP</v>
      </c>
      <c r="BZ439" s="17"/>
      <c r="CA439" s="17"/>
      <c r="CB439" s="17"/>
      <c r="CC439" s="17"/>
      <c r="CD439" s="17"/>
      <c r="CE439" s="17"/>
    </row>
    <row r="440" spans="1:83" x14ac:dyDescent="0.25">
      <c r="A440" s="31" t="s">
        <v>323</v>
      </c>
      <c r="B440" s="30" t="s">
        <v>388</v>
      </c>
      <c r="C440" s="30" t="s">
        <v>210</v>
      </c>
      <c r="D440" s="35"/>
      <c r="E440" s="35"/>
      <c r="F440" s="35"/>
      <c r="G440" s="35"/>
      <c r="H440" s="35"/>
      <c r="I440" s="35"/>
      <c r="J440" s="35"/>
      <c r="K440" s="35"/>
      <c r="BW440" s="17"/>
      <c r="BX440" s="17" t="str">
        <v>REF SUNFLOWER OIL RS.85 POUCH BOX</v>
      </c>
      <c r="BY440" s="17" t="str">
        <v>SF RS.85 LUP</v>
      </c>
      <c r="BZ440" s="17"/>
      <c r="CA440" s="17"/>
      <c r="CB440" s="17"/>
      <c r="CC440" s="17"/>
      <c r="CD440" s="17"/>
      <c r="CE440" s="17"/>
    </row>
    <row r="441" spans="1:83" x14ac:dyDescent="0.25">
      <c r="A441" s="31" t="s">
        <v>155</v>
      </c>
      <c r="B441" s="30" t="s">
        <v>388</v>
      </c>
      <c r="C441" s="30" t="s">
        <v>210</v>
      </c>
      <c r="D441" s="35"/>
      <c r="E441" s="35"/>
      <c r="F441" s="35"/>
      <c r="G441" s="35"/>
      <c r="H441" s="35"/>
      <c r="I441" s="35"/>
      <c r="J441" s="35"/>
      <c r="K441" s="35"/>
      <c r="BW441" s="17"/>
      <c r="BX441" s="17" t="str">
        <v>Total</v>
      </c>
      <c r="BY441" s="17" t="str">
        <v>Total</v>
      </c>
      <c r="BZ441" s="17"/>
      <c r="CA441" s="17"/>
      <c r="CB441" s="17"/>
      <c r="CC441" s="17"/>
      <c r="CD441" s="17"/>
      <c r="CE441" s="17"/>
    </row>
    <row r="442" spans="1:83" x14ac:dyDescent="0.25">
      <c r="A442" s="31" t="s">
        <v>158</v>
      </c>
      <c r="B442" s="30" t="s">
        <v>388</v>
      </c>
      <c r="C442" s="30" t="s">
        <v>210</v>
      </c>
      <c r="D442" s="35"/>
      <c r="E442" s="35"/>
      <c r="F442" s="35"/>
      <c r="G442" s="35"/>
      <c r="H442" s="35"/>
      <c r="I442" s="35"/>
      <c r="J442" s="35"/>
      <c r="K442" s="35"/>
      <c r="BW442" s="17"/>
      <c r="BX442" s="17" t="str">
        <v>GROUNDNUT RAW OIL 5 LTR CAN BOX (KADAI OFFER)</v>
      </c>
      <c r="BY442" s="17" t="str">
        <v>GN 5 L</v>
      </c>
      <c r="BZ442" s="17"/>
      <c r="CA442" s="17"/>
      <c r="CB442" s="17"/>
      <c r="CC442" s="17"/>
      <c r="CD442" s="17"/>
      <c r="CE442" s="17"/>
    </row>
    <row r="443" spans="1:83" x14ac:dyDescent="0.25">
      <c r="A443" s="31" t="s">
        <v>159</v>
      </c>
      <c r="B443" s="30" t="s">
        <v>388</v>
      </c>
      <c r="C443" s="30" t="s">
        <v>210</v>
      </c>
      <c r="D443" s="35"/>
      <c r="E443" s="35"/>
      <c r="F443" s="35"/>
      <c r="G443" s="35"/>
      <c r="H443" s="35"/>
      <c r="I443" s="35"/>
      <c r="J443" s="35"/>
      <c r="K443" s="35"/>
      <c r="BW443" s="17"/>
      <c r="BX443" s="17" t="str">
        <v>REF RICE BRAN OIL 1/2 LTR PET BOX</v>
      </c>
      <c r="BY443" s="17" t="str">
        <v>RB 500 ML</v>
      </c>
      <c r="BZ443" s="17"/>
      <c r="CA443" s="17"/>
      <c r="CB443" s="17"/>
      <c r="CC443" s="17"/>
      <c r="CD443" s="17"/>
      <c r="CE443" s="17"/>
    </row>
    <row r="444" spans="1:83" x14ac:dyDescent="0.25">
      <c r="A444" s="31" t="s">
        <v>441</v>
      </c>
      <c r="B444" s="30" t="s">
        <v>388</v>
      </c>
      <c r="C444" s="30" t="s">
        <v>210</v>
      </c>
      <c r="D444" s="35"/>
      <c r="E444" s="35"/>
      <c r="F444" s="35"/>
      <c r="G444" s="35"/>
      <c r="H444" s="35"/>
      <c r="I444" s="35"/>
      <c r="J444" s="35"/>
      <c r="K444" s="35"/>
      <c r="BW444" s="17"/>
      <c r="BX444" s="17" t="str">
        <v>DAILY REFINED WHEAT FLOUR (MAIDA) - 30 Kg BAG</v>
      </c>
      <c r="BY444" s="17" t="str">
        <v>DAILY MAIDA 1KG</v>
      </c>
      <c r="BZ444" s="17"/>
      <c r="CA444" s="17"/>
      <c r="CB444" s="17"/>
      <c r="CC444" s="17"/>
      <c r="CD444" s="17"/>
      <c r="CE444" s="17"/>
    </row>
    <row r="445" spans="1:83" x14ac:dyDescent="0.25">
      <c r="A445" s="31" t="s">
        <v>152</v>
      </c>
      <c r="B445" s="30" t="s">
        <v>388</v>
      </c>
      <c r="C445" s="30" t="s">
        <v>210</v>
      </c>
      <c r="D445" s="35"/>
      <c r="E445" s="35"/>
      <c r="F445" s="35"/>
      <c r="G445" s="35"/>
      <c r="H445" s="35"/>
      <c r="I445" s="35"/>
      <c r="J445" s="35"/>
      <c r="K445" s="35"/>
      <c r="BW445" s="17"/>
      <c r="BX445" s="17" t="str">
        <v>DAILY VERMICELLI (SEMIYA) 180gm PKT-3.6 Kg BAG</v>
      </c>
      <c r="BY445" s="17" t="str">
        <v>DAILY SEMIYA 180GM</v>
      </c>
      <c r="BZ445" s="17"/>
      <c r="CA445" s="17"/>
      <c r="CB445" s="17"/>
      <c r="CC445" s="17"/>
      <c r="CD445" s="17"/>
      <c r="CE445" s="17"/>
    </row>
    <row r="446" spans="1:83" x14ac:dyDescent="0.25">
      <c r="A446" s="31" t="s">
        <v>156</v>
      </c>
      <c r="B446" s="30" t="s">
        <v>467</v>
      </c>
      <c r="C446" s="30" t="s">
        <v>210</v>
      </c>
      <c r="D446" s="35"/>
      <c r="E446" s="35"/>
      <c r="F446" s="35"/>
      <c r="G446" s="35"/>
      <c r="H446" s="35"/>
      <c r="I446" s="35"/>
      <c r="J446" s="35"/>
      <c r="K446" s="35"/>
      <c r="BW446" s="17"/>
      <c r="BX446" s="17" t="str">
        <v>GROUNDNUT RAW OIL 1 LTR BOX ( GU-CO Offer)</v>
      </c>
      <c r="BY446" s="17" t="str">
        <v>GN 1 L</v>
      </c>
      <c r="BZ446" s="17"/>
      <c r="CA446" s="17"/>
      <c r="CB446" s="17"/>
      <c r="CC446" s="17"/>
      <c r="CD446" s="17"/>
      <c r="CE446" s="17"/>
    </row>
    <row r="447" spans="1:83" x14ac:dyDescent="0.25">
      <c r="A447" s="31" t="s">
        <v>157</v>
      </c>
      <c r="B447" s="30" t="s">
        <v>467</v>
      </c>
      <c r="C447" s="30" t="s">
        <v>210</v>
      </c>
      <c r="D447" s="35"/>
      <c r="E447" s="35"/>
      <c r="F447" s="35"/>
      <c r="G447" s="35"/>
      <c r="H447" s="35"/>
      <c r="I447" s="35"/>
      <c r="J447" s="35"/>
      <c r="K447" s="35"/>
      <c r="BW447" s="17"/>
      <c r="BX447" s="17" t="str">
        <v>GROUNDNUT RAW OIL 1 LTR PET BOX ( GU-CO Offer)</v>
      </c>
      <c r="BY447" s="17" t="str">
        <v>GN 1 L PET</v>
      </c>
      <c r="BZ447" s="17"/>
      <c r="CA447" s="17"/>
      <c r="CB447" s="17"/>
      <c r="CC447" s="17"/>
      <c r="CD447" s="17"/>
      <c r="CE447" s="17"/>
    </row>
    <row r="448" spans="1:83" x14ac:dyDescent="0.25">
      <c r="A448" s="31" t="s">
        <v>324</v>
      </c>
      <c r="B448" s="30" t="s">
        <v>467</v>
      </c>
      <c r="C448" s="30" t="s">
        <v>210</v>
      </c>
      <c r="D448" s="35"/>
      <c r="E448" s="35"/>
      <c r="F448" s="35"/>
      <c r="G448" s="35"/>
      <c r="H448" s="35"/>
      <c r="I448" s="35"/>
      <c r="J448" s="35"/>
      <c r="K448" s="35"/>
      <c r="BW448" s="17"/>
      <c r="BX448" s="17" t="str">
        <v>GROUNDNUT RAW OIL 1/2 LTR BOX ( GU-CO Offer)</v>
      </c>
      <c r="BY448" s="17" t="str">
        <v>GN 500 ML</v>
      </c>
      <c r="BZ448" s="17"/>
      <c r="CA448" s="17"/>
      <c r="CB448" s="17"/>
      <c r="CC448" s="17"/>
      <c r="CD448" s="17"/>
      <c r="CE448" s="17"/>
    </row>
    <row r="449" spans="1:83" x14ac:dyDescent="0.25">
      <c r="A449" s="31" t="s">
        <v>600</v>
      </c>
      <c r="B449" s="30" t="s">
        <v>467</v>
      </c>
      <c r="C449" s="30" t="s">
        <v>210</v>
      </c>
      <c r="D449" s="35"/>
      <c r="E449" s="35"/>
      <c r="F449" s="35"/>
      <c r="G449" s="35"/>
      <c r="H449" s="35"/>
      <c r="I449" s="35"/>
      <c r="J449" s="35"/>
      <c r="K449" s="35"/>
      <c r="BW449" s="17"/>
      <c r="BX449" s="17" t="str">
        <v>GROUNDNUT RAW OIL 1/2 LTR PET BOX( GU-CO Offer)</v>
      </c>
      <c r="BY449" s="17" t="str">
        <v>GN 500 ML PET</v>
      </c>
      <c r="BZ449" s="17"/>
      <c r="CA449" s="17"/>
      <c r="CB449" s="17"/>
      <c r="CC449" s="17"/>
      <c r="CD449" s="17"/>
      <c r="CE449" s="17"/>
    </row>
    <row r="450" spans="1:83" x14ac:dyDescent="0.25">
      <c r="A450" s="31" t="s">
        <v>170</v>
      </c>
      <c r="B450" s="30" t="s">
        <v>386</v>
      </c>
      <c r="C450" s="30" t="s">
        <v>210</v>
      </c>
      <c r="D450" s="35"/>
      <c r="E450" s="35"/>
      <c r="F450" s="35"/>
      <c r="G450" s="35"/>
      <c r="H450" s="35"/>
      <c r="I450" s="35"/>
      <c r="J450" s="35"/>
      <c r="K450" s="35"/>
      <c r="BW450" s="17"/>
      <c r="BX450" s="17" t="str">
        <v>SUNRAJA GULAS (JAGGERY POWDER) 1 KG POUCH BOX-OFFER</v>
      </c>
      <c r="BY450" s="17" t="str">
        <v>GULAS 1 K</v>
      </c>
      <c r="BZ450" s="17"/>
      <c r="CA450" s="17"/>
      <c r="CB450" s="17"/>
      <c r="CC450" s="17"/>
      <c r="CD450" s="17"/>
      <c r="CE450" s="17"/>
    </row>
    <row r="451" spans="1:83" x14ac:dyDescent="0.25">
      <c r="A451" s="31" t="s">
        <v>190</v>
      </c>
      <c r="B451" s="30" t="s">
        <v>386</v>
      </c>
      <c r="C451" s="30" t="s">
        <v>210</v>
      </c>
      <c r="D451" s="35"/>
      <c r="E451" s="35"/>
      <c r="F451" s="35"/>
      <c r="G451" s="35"/>
      <c r="H451" s="35"/>
      <c r="I451" s="35"/>
      <c r="J451" s="35"/>
      <c r="K451" s="35"/>
      <c r="BW451" s="17"/>
      <c r="BX451" s="17" t="str">
        <v>COCONUT OIL Rs 10 PACK BOX (08.01.25)</v>
      </c>
      <c r="BY451" s="17" t="str">
        <v>COC RS.10 LUP</v>
      </c>
      <c r="BZ451" s="17"/>
      <c r="CA451" s="17"/>
      <c r="CB451" s="17"/>
      <c r="CC451" s="17"/>
      <c r="CD451" s="17"/>
      <c r="CE451" s="17"/>
    </row>
    <row r="452" spans="1:83" x14ac:dyDescent="0.25">
      <c r="A452" s="31" t="s">
        <v>536</v>
      </c>
      <c r="B452" s="30" t="s">
        <v>421</v>
      </c>
      <c r="C452" s="30" t="s">
        <v>210</v>
      </c>
      <c r="D452" s="35"/>
      <c r="E452" s="35"/>
      <c r="F452" s="35"/>
      <c r="G452" s="35"/>
      <c r="H452" s="35"/>
      <c r="I452" s="35"/>
      <c r="J452" s="35"/>
      <c r="K452" s="35"/>
      <c r="BW452" s="17"/>
      <c r="BX452" s="17" t="str">
        <v>COCONUT OIL Rs 20 PACK BOX (08.01.25)</v>
      </c>
      <c r="BY452" s="17" t="str">
        <v>COC RS.20 LUP</v>
      </c>
      <c r="BZ452" s="17"/>
      <c r="CA452" s="17"/>
      <c r="CB452" s="17"/>
      <c r="CC452" s="17"/>
      <c r="CD452" s="17"/>
      <c r="CE452" s="17"/>
    </row>
    <row r="453" spans="1:83" x14ac:dyDescent="0.25">
      <c r="A453" s="31" t="s">
        <v>452</v>
      </c>
      <c r="B453" s="30" t="s">
        <v>421</v>
      </c>
      <c r="C453" s="30" t="s">
        <v>210</v>
      </c>
      <c r="D453" s="35"/>
      <c r="E453" s="35"/>
      <c r="F453" s="35"/>
      <c r="G453" s="35"/>
      <c r="H453" s="35"/>
      <c r="I453" s="35"/>
      <c r="J453" s="35"/>
      <c r="K453" s="35"/>
      <c r="BW453" s="17"/>
      <c r="BX453" s="17" t="str">
        <v>GROUNDNUT RAW OIL RS.10PACK BOX (08.01.25)</v>
      </c>
      <c r="BY453" s="17" t="str">
        <v>GN RS.10 LUP</v>
      </c>
      <c r="BZ453" s="17"/>
      <c r="CA453" s="17"/>
      <c r="CB453" s="17"/>
      <c r="CC453" s="17"/>
      <c r="CD453" s="17"/>
      <c r="CE453" s="17"/>
    </row>
    <row r="454" spans="1:83" x14ac:dyDescent="0.25">
      <c r="A454" s="31" t="s">
        <v>533</v>
      </c>
      <c r="B454" s="30" t="s">
        <v>421</v>
      </c>
      <c r="C454" s="30" t="s">
        <v>210</v>
      </c>
      <c r="D454" s="35"/>
      <c r="E454" s="35"/>
      <c r="F454" s="35"/>
      <c r="G454" s="35"/>
      <c r="H454" s="35"/>
      <c r="I454" s="35"/>
      <c r="J454" s="35"/>
      <c r="K454" s="35"/>
      <c r="BW454" s="17"/>
      <c r="BX454" s="17" t="str">
        <v>REF SUNFLOWER OIL RS.10 PACK BOX (NEW 08.01.25)</v>
      </c>
      <c r="BY454" s="17" t="str">
        <v>SF RS.10 LUP</v>
      </c>
      <c r="BZ454" s="17"/>
      <c r="CA454" s="17"/>
      <c r="CB454" s="17"/>
      <c r="CC454" s="17"/>
      <c r="CD454" s="17"/>
      <c r="CE454" s="17"/>
    </row>
    <row r="455" spans="1:83" x14ac:dyDescent="0.25">
      <c r="A455" s="31" t="s">
        <v>320</v>
      </c>
      <c r="B455" s="30" t="s">
        <v>421</v>
      </c>
      <c r="C455" s="30" t="s">
        <v>210</v>
      </c>
      <c r="D455" s="35"/>
      <c r="E455" s="35"/>
      <c r="F455" s="35"/>
      <c r="G455" s="35"/>
      <c r="H455" s="35"/>
      <c r="I455" s="35"/>
      <c r="J455" s="35"/>
      <c r="K455" s="35"/>
      <c r="BW455" s="17"/>
      <c r="BX455" s="17" t="str">
        <v>REF SUNFLOWER OIL RS.10 PACK BOX (OLD 08.01.25)</v>
      </c>
      <c r="BY455" s="17" t="str">
        <v>SF RS.10 LUP</v>
      </c>
      <c r="BZ455" s="17"/>
      <c r="CA455" s="17"/>
      <c r="CB455" s="17"/>
      <c r="CC455" s="17"/>
      <c r="CD455" s="17"/>
      <c r="CE455" s="17"/>
    </row>
    <row r="456" spans="1:83" x14ac:dyDescent="0.25">
      <c r="A456" s="31" t="s">
        <v>310</v>
      </c>
      <c r="B456" s="30" t="s">
        <v>421</v>
      </c>
      <c r="C456" s="30" t="s">
        <v>210</v>
      </c>
      <c r="D456" s="35"/>
      <c r="E456" s="35"/>
      <c r="F456" s="35"/>
      <c r="G456" s="35"/>
      <c r="H456" s="35"/>
      <c r="I456" s="35"/>
      <c r="J456" s="35"/>
      <c r="K456" s="35"/>
      <c r="BW456" s="17"/>
      <c r="BX456" s="17" t="str">
        <v>REF SUNFLOWER OIL RS.20 PACK BOX (NEW 08.01.25)</v>
      </c>
      <c r="BY456" s="17" t="str">
        <v>SF RS.20 LUP</v>
      </c>
      <c r="BZ456" s="17"/>
      <c r="CA456" s="17"/>
      <c r="CB456" s="17"/>
      <c r="CC456" s="17"/>
      <c r="CD456" s="17"/>
      <c r="CE456" s="17"/>
    </row>
    <row r="457" spans="1:83" x14ac:dyDescent="0.25">
      <c r="A457" s="31" t="s">
        <v>494</v>
      </c>
      <c r="B457" s="30" t="s">
        <v>421</v>
      </c>
      <c r="C457" s="30" t="s">
        <v>210</v>
      </c>
      <c r="D457" s="35"/>
      <c r="E457" s="35"/>
      <c r="F457" s="35"/>
      <c r="G457" s="35"/>
      <c r="H457" s="35"/>
      <c r="I457" s="35"/>
      <c r="J457" s="35"/>
      <c r="K457" s="35"/>
      <c r="BW457" s="17"/>
      <c r="BX457" s="17" t="str">
        <v>REF SUNFLOWER OIL RS.20 PACK BOX (OLD 08.01.25)</v>
      </c>
      <c r="BY457" s="17" t="str">
        <v>SF RS.20 LUP</v>
      </c>
      <c r="BZ457" s="17"/>
      <c r="CA457" s="17"/>
      <c r="CB457" s="17"/>
      <c r="CC457" s="17"/>
      <c r="CD457" s="17"/>
      <c r="CE457" s="17"/>
    </row>
    <row r="458" spans="1:83" x14ac:dyDescent="0.25">
      <c r="A458" s="31" t="s">
        <v>195</v>
      </c>
      <c r="B458" s="30" t="s">
        <v>421</v>
      </c>
      <c r="C458" s="30" t="s">
        <v>210</v>
      </c>
      <c r="D458" s="35"/>
      <c r="E458" s="35"/>
      <c r="F458" s="35"/>
      <c r="G458" s="35"/>
      <c r="H458" s="35"/>
      <c r="I458" s="35"/>
      <c r="J458" s="35"/>
      <c r="K458" s="35"/>
      <c r="BW458" s="17"/>
      <c r="BX458" s="17" t="str">
        <v>GROUNDNUT RAW OIL RS.20 PACK BOX (08.01.25)</v>
      </c>
      <c r="BY458" s="17" t="str">
        <v>GN RS.20 LUP</v>
      </c>
      <c r="BZ458" s="17"/>
      <c r="CA458" s="17"/>
      <c r="CB458" s="17"/>
      <c r="CC458" s="17"/>
      <c r="CD458" s="17"/>
      <c r="CE458" s="17"/>
    </row>
    <row r="459" spans="1:83" x14ac:dyDescent="0.25">
      <c r="A459" s="31" t="s">
        <v>479</v>
      </c>
      <c r="B459" s="30" t="s">
        <v>421</v>
      </c>
      <c r="C459" s="30" t="s">
        <v>210</v>
      </c>
      <c r="D459" s="35"/>
      <c r="E459" s="35"/>
      <c r="F459" s="35"/>
      <c r="G459" s="35"/>
      <c r="H459" s="35"/>
      <c r="I459" s="35"/>
      <c r="J459" s="35"/>
      <c r="K459" s="35"/>
      <c r="BW459" s="17"/>
      <c r="BX459" s="17" t="str">
        <v>NAKSHATRA POOJA OIL  Rs.10 PACK BOX (08.01.25)</v>
      </c>
      <c r="BY459" s="17" t="str">
        <v>LAMP RS.20 LUP</v>
      </c>
      <c r="BZ459" s="17"/>
      <c r="CA459" s="17"/>
      <c r="CB459" s="17"/>
      <c r="CC459" s="17"/>
      <c r="CD459" s="17"/>
      <c r="CE459" s="17"/>
    </row>
    <row r="460" spans="1:83" x14ac:dyDescent="0.25">
      <c r="A460" s="31" t="s">
        <v>196</v>
      </c>
      <c r="B460" s="30" t="s">
        <v>421</v>
      </c>
      <c r="C460" s="30" t="s">
        <v>210</v>
      </c>
      <c r="D460" s="35"/>
      <c r="E460" s="35"/>
      <c r="F460" s="35"/>
      <c r="G460" s="35"/>
      <c r="H460" s="35"/>
      <c r="I460" s="35"/>
      <c r="J460" s="35"/>
      <c r="K460" s="35"/>
      <c r="BW460" s="17"/>
      <c r="BX460" s="17" t="str">
        <v>NAKSHATRA POOJA OIL  Rs.20 PACK BOX (08.01.25)</v>
      </c>
      <c r="BY460" s="17" t="str">
        <v>LAMP RS.20 LUP</v>
      </c>
      <c r="BZ460" s="17"/>
      <c r="CA460" s="17"/>
      <c r="CB460" s="17"/>
      <c r="CC460" s="17"/>
      <c r="CD460" s="17"/>
      <c r="CE460" s="17"/>
    </row>
    <row r="461" spans="1:83" x14ac:dyDescent="0.25">
      <c r="A461" s="31" t="s">
        <v>333</v>
      </c>
      <c r="B461" s="30" t="s">
        <v>421</v>
      </c>
      <c r="C461" s="30" t="s">
        <v>210</v>
      </c>
      <c r="D461" s="35"/>
      <c r="E461" s="35"/>
      <c r="F461" s="35"/>
      <c r="G461" s="35"/>
      <c r="H461" s="35"/>
      <c r="I461" s="35"/>
      <c r="J461" s="35"/>
      <c r="K461" s="35"/>
      <c r="BW461" s="17"/>
      <c r="BX461" s="17" t="str">
        <v>REF RICE BRAN OIL RS.10 PACK BOX (08.01.25)</v>
      </c>
      <c r="BY461" s="17" t="str">
        <v>RB RS.10 LUP</v>
      </c>
      <c r="BZ461" s="17"/>
      <c r="CA461" s="17"/>
      <c r="CB461" s="17"/>
      <c r="CC461" s="17"/>
      <c r="CD461" s="17"/>
      <c r="CE461" s="17"/>
    </row>
    <row r="462" spans="1:83" x14ac:dyDescent="0.25">
      <c r="A462" s="31" t="s">
        <v>197</v>
      </c>
      <c r="B462" s="30" t="s">
        <v>421</v>
      </c>
      <c r="C462" s="30" t="s">
        <v>210</v>
      </c>
      <c r="D462" s="35"/>
      <c r="E462" s="35"/>
      <c r="F462" s="35"/>
      <c r="G462" s="35"/>
      <c r="H462" s="35"/>
      <c r="I462" s="35"/>
      <c r="J462" s="35"/>
      <c r="K462" s="35"/>
      <c r="BW462" s="17"/>
      <c r="BX462" s="17" t="str">
        <v>GINGELLY OIL RS.15 PACK BOX (08.01.25)</v>
      </c>
      <c r="BY462" s="17" t="str">
        <v>GING RS.15 LUP</v>
      </c>
      <c r="BZ462" s="17"/>
      <c r="CA462" s="17"/>
      <c r="CB462" s="17"/>
      <c r="CC462" s="17"/>
      <c r="CD462" s="17"/>
      <c r="CE462" s="17"/>
    </row>
    <row r="463" spans="1:83" x14ac:dyDescent="0.25">
      <c r="A463" s="31" t="s">
        <v>198</v>
      </c>
      <c r="B463" s="30" t="s">
        <v>421</v>
      </c>
      <c r="C463" s="30" t="s">
        <v>210</v>
      </c>
      <c r="D463" s="35"/>
      <c r="E463" s="35"/>
      <c r="F463" s="35"/>
      <c r="G463" s="35"/>
      <c r="H463" s="35"/>
      <c r="I463" s="35"/>
      <c r="J463" s="35"/>
      <c r="K463" s="35"/>
      <c r="BW463" s="17"/>
      <c r="BX463" s="17" t="str">
        <v>GINGELLY OIL RS.40 PACK BOX (08.01.25)</v>
      </c>
      <c r="BY463" s="17" t="str">
        <v>GING RS.40 LUP</v>
      </c>
      <c r="BZ463" s="17"/>
      <c r="CA463" s="17"/>
      <c r="CB463" s="17"/>
      <c r="CC463" s="17"/>
      <c r="CD463" s="17"/>
      <c r="CE463" s="17"/>
    </row>
    <row r="464" spans="1:83" x14ac:dyDescent="0.25">
      <c r="A464" s="30" t="s">
        <v>520</v>
      </c>
      <c r="B464" s="30" t="s">
        <v>421</v>
      </c>
      <c r="C464" s="30" t="s">
        <v>210</v>
      </c>
      <c r="D464" s="35"/>
      <c r="E464" s="35"/>
      <c r="F464" s="35"/>
      <c r="G464" s="35"/>
      <c r="H464" s="35"/>
      <c r="I464" s="35"/>
      <c r="J464" s="35"/>
      <c r="K464" s="35"/>
      <c r="BW464" s="17"/>
      <c r="BX464" s="17" t="str">
        <v>DAILY BADAM DRINK MIX  200gm POUCH (FREE)</v>
      </c>
      <c r="BY464" s="17" t="str">
        <v>DAILY BADAM 200 G FREE</v>
      </c>
      <c r="BZ464" s="17"/>
      <c r="CA464" s="17"/>
      <c r="CB464" s="17"/>
      <c r="CC464" s="17"/>
      <c r="CD464" s="17"/>
      <c r="CE464" s="17"/>
    </row>
    <row r="465" spans="1:83" x14ac:dyDescent="0.25">
      <c r="A465" s="31" t="s">
        <v>588</v>
      </c>
      <c r="B465" s="30" t="s">
        <v>422</v>
      </c>
      <c r="C465" s="30" t="s">
        <v>210</v>
      </c>
      <c r="D465" s="35"/>
      <c r="E465" s="35"/>
      <c r="F465" s="35"/>
      <c r="G465" s="35"/>
      <c r="H465" s="35"/>
      <c r="I465" s="35"/>
      <c r="J465" s="35"/>
      <c r="K465" s="35"/>
      <c r="BW465" s="17"/>
      <c r="BX465" s="17" t="str">
        <v>DAILY BADAM DRINK MIX 200gm POUCH BOX</v>
      </c>
      <c r="BY465" s="17" t="str">
        <v>DAILY BADAM 200 G</v>
      </c>
      <c r="BZ465" s="17"/>
      <c r="CA465" s="17"/>
      <c r="CB465" s="17"/>
      <c r="CC465" s="17"/>
      <c r="CD465" s="17"/>
      <c r="CE465" s="17"/>
    </row>
    <row r="466" spans="1:83" x14ac:dyDescent="0.25">
      <c r="A466" s="31" t="s">
        <v>311</v>
      </c>
      <c r="B466" s="30" t="s">
        <v>422</v>
      </c>
      <c r="C466" s="30" t="s">
        <v>210</v>
      </c>
      <c r="D466" s="35"/>
      <c r="E466" s="35"/>
      <c r="F466" s="35"/>
      <c r="G466" s="35"/>
      <c r="H466" s="35"/>
      <c r="I466" s="35"/>
      <c r="J466" s="35"/>
      <c r="K466" s="35"/>
      <c r="BW466" s="17"/>
      <c r="BX466" s="17" t="str">
        <v>DAILY BADAM MIX Rs 10 POUCH BOX</v>
      </c>
      <c r="BY466" s="17" t="str">
        <v>DAILY BADAM RS.10 LUP</v>
      </c>
      <c r="BZ466" s="17"/>
      <c r="CA466" s="17"/>
      <c r="CB466" s="17"/>
      <c r="CC466" s="17"/>
      <c r="CD466" s="17"/>
      <c r="CE466" s="17"/>
    </row>
    <row r="467" spans="1:83" x14ac:dyDescent="0.25">
      <c r="A467" s="31" t="s">
        <v>528</v>
      </c>
      <c r="B467" s="30" t="s">
        <v>422</v>
      </c>
      <c r="C467" s="30" t="s">
        <v>210</v>
      </c>
      <c r="D467" s="35"/>
      <c r="E467" s="35"/>
      <c r="F467" s="35"/>
      <c r="G467" s="35"/>
      <c r="H467" s="35"/>
      <c r="I467" s="35"/>
      <c r="J467" s="35"/>
      <c r="K467" s="35"/>
      <c r="BW467" s="17"/>
      <c r="BX467" s="17" t="str">
        <v>SUNRAJA GULAS PALM JAGGERY POWDER 170g JAR</v>
      </c>
      <c r="BY467" s="17" t="str">
        <v>PALM JAGGERY</v>
      </c>
      <c r="BZ467" s="17"/>
      <c r="CA467" s="17"/>
      <c r="CB467" s="17"/>
      <c r="CC467" s="17"/>
      <c r="CD467" s="17"/>
      <c r="CE467" s="17"/>
    </row>
    <row r="468" spans="1:83" x14ac:dyDescent="0.25">
      <c r="A468" s="31" t="s">
        <v>199</v>
      </c>
      <c r="B468" s="30" t="s">
        <v>422</v>
      </c>
      <c r="C468" s="30" t="s">
        <v>210</v>
      </c>
      <c r="D468" s="35"/>
      <c r="E468" s="35"/>
      <c r="F468" s="35"/>
      <c r="G468" s="35"/>
      <c r="H468" s="35"/>
      <c r="I468" s="35"/>
      <c r="J468" s="35"/>
      <c r="K468" s="35"/>
      <c r="BW468" s="17"/>
      <c r="BX468" s="17" t="str">
        <v>DAILY CHAKKI FRESH ATTA 1 KG POUCH - 30Kg BAG</v>
      </c>
      <c r="BY468" s="17" t="str">
        <v>DAILY CHAKKI ATTA 1 KG</v>
      </c>
      <c r="BZ468" s="17"/>
      <c r="CA468" s="17"/>
      <c r="CB468" s="17"/>
      <c r="CC468" s="17"/>
      <c r="CD468" s="17"/>
      <c r="CE468" s="17"/>
    </row>
    <row r="469" spans="1:83" x14ac:dyDescent="0.25">
      <c r="A469" s="31" t="s">
        <v>480</v>
      </c>
      <c r="B469" s="30" t="s">
        <v>422</v>
      </c>
      <c r="C469" s="30" t="s">
        <v>210</v>
      </c>
      <c r="D469" s="35"/>
      <c r="E469" s="35"/>
      <c r="F469" s="35"/>
      <c r="G469" s="35"/>
      <c r="H469" s="35"/>
      <c r="I469" s="35"/>
      <c r="J469" s="35"/>
      <c r="K469" s="35"/>
      <c r="BW469" s="17"/>
      <c r="BX469" s="17" t="str">
        <v>DAILY BADAM DRINK MIX 1 KG PET</v>
      </c>
      <c r="BY469" s="17" t="str">
        <v>DAILY BADAM 1 KG</v>
      </c>
      <c r="BZ469" s="17"/>
      <c r="CA469" s="17"/>
      <c r="CB469" s="17"/>
      <c r="CC469" s="17"/>
      <c r="CD469" s="17"/>
      <c r="CE469" s="17"/>
    </row>
    <row r="470" spans="1:83" x14ac:dyDescent="0.25">
      <c r="A470" s="31" t="s">
        <v>200</v>
      </c>
      <c r="B470" s="30" t="s">
        <v>422</v>
      </c>
      <c r="C470" s="30" t="s">
        <v>210</v>
      </c>
      <c r="D470" s="35"/>
      <c r="E470" s="35"/>
      <c r="F470" s="35"/>
      <c r="G470" s="35"/>
      <c r="H470" s="35"/>
      <c r="I470" s="35"/>
      <c r="J470" s="35"/>
      <c r="K470" s="35"/>
      <c r="BW470" s="17"/>
      <c r="BX470" s="17" t="str">
        <v>COCONUT OIL Rs 10 PACK BOX (21.03.25)</v>
      </c>
      <c r="BY470" s="17" t="str">
        <v>COC RS.10 LUP</v>
      </c>
      <c r="BZ470" s="17"/>
      <c r="CA470" s="17"/>
      <c r="CB470" s="17"/>
      <c r="CC470" s="17"/>
      <c r="CD470" s="17"/>
      <c r="CE470" s="17"/>
    </row>
    <row r="471" spans="1:83" x14ac:dyDescent="0.25">
      <c r="A471" s="31" t="s">
        <v>579</v>
      </c>
      <c r="B471" s="30" t="s">
        <v>422</v>
      </c>
      <c r="C471" s="30" t="s">
        <v>210</v>
      </c>
      <c r="D471" s="35"/>
      <c r="E471" s="35"/>
      <c r="F471" s="35"/>
      <c r="G471" s="35"/>
      <c r="H471" s="35"/>
      <c r="I471" s="35"/>
      <c r="J471" s="35"/>
      <c r="K471" s="35"/>
      <c r="BW471" s="17"/>
      <c r="BX471" s="17" t="str">
        <v>COCONUT OIL Rs 20 PACK BOX (21.03.25)</v>
      </c>
      <c r="BY471" s="17" t="str">
        <v>COC RS.20 LUP</v>
      </c>
      <c r="BZ471" s="17"/>
      <c r="CA471" s="17"/>
      <c r="CB471" s="17"/>
      <c r="CC471" s="17"/>
      <c r="CD471" s="17"/>
      <c r="CE471" s="17"/>
    </row>
    <row r="472" spans="1:83" x14ac:dyDescent="0.25">
      <c r="A472" s="31" t="s">
        <v>321</v>
      </c>
      <c r="B472" s="30" t="s">
        <v>422</v>
      </c>
      <c r="C472" s="30" t="s">
        <v>210</v>
      </c>
      <c r="D472" s="35"/>
      <c r="E472" s="35"/>
      <c r="F472" s="35"/>
      <c r="G472" s="35"/>
      <c r="H472" s="35"/>
      <c r="I472" s="35"/>
      <c r="J472" s="35"/>
      <c r="K472" s="35"/>
      <c r="BW472" s="17"/>
      <c r="BX472" s="17"/>
      <c r="BY472" s="17"/>
      <c r="BZ472" s="17"/>
      <c r="CA472" s="17"/>
      <c r="CB472" s="17"/>
      <c r="CC472" s="17"/>
      <c r="CD472" s="17"/>
      <c r="CE472" s="17"/>
    </row>
    <row r="473" spans="1:83" x14ac:dyDescent="0.25">
      <c r="A473" s="31" t="s">
        <v>201</v>
      </c>
      <c r="B473" s="30" t="s">
        <v>423</v>
      </c>
      <c r="C473" s="30" t="s">
        <v>210</v>
      </c>
      <c r="D473" s="35"/>
      <c r="E473" s="35"/>
      <c r="F473" s="35"/>
      <c r="G473" s="35"/>
      <c r="H473" s="35"/>
      <c r="I473" s="35"/>
      <c r="J473" s="35"/>
      <c r="K473" s="35"/>
      <c r="BW473" s="17"/>
      <c r="BX473" s="17"/>
      <c r="BY473" s="17"/>
      <c r="BZ473" s="17"/>
      <c r="CA473" s="17"/>
      <c r="CB473" s="17"/>
      <c r="CC473" s="17"/>
      <c r="CD473" s="17"/>
      <c r="CE473" s="17"/>
    </row>
    <row r="474" spans="1:83" x14ac:dyDescent="0.25">
      <c r="A474" s="31" t="s">
        <v>209</v>
      </c>
      <c r="B474" s="30" t="s">
        <v>209</v>
      </c>
      <c r="C474" s="30" t="s">
        <v>210</v>
      </c>
      <c r="D474" s="35"/>
      <c r="E474" s="35"/>
      <c r="F474" s="35"/>
      <c r="G474" s="35"/>
      <c r="H474" s="35"/>
      <c r="I474" s="35"/>
      <c r="J474" s="35"/>
      <c r="K474" s="35"/>
      <c r="BW474" s="17"/>
      <c r="BX474" s="17"/>
      <c r="BY474" s="17"/>
      <c r="BZ474" s="17"/>
      <c r="CA474" s="17"/>
      <c r="CB474" s="17"/>
      <c r="CC474" s="17"/>
      <c r="CD474" s="17"/>
      <c r="CE474" s="17"/>
    </row>
    <row r="475" spans="1:83" x14ac:dyDescent="0.25">
      <c r="A475" s="31" t="s">
        <v>674</v>
      </c>
      <c r="B475" s="30" t="s">
        <v>370</v>
      </c>
      <c r="C475" s="30" t="s">
        <v>210</v>
      </c>
      <c r="D475" s="35"/>
      <c r="E475" s="35"/>
      <c r="F475" s="35"/>
      <c r="G475" s="35"/>
      <c r="H475" s="35"/>
      <c r="I475" s="35"/>
      <c r="J475" s="35"/>
      <c r="K475" s="35"/>
      <c r="BW475" s="17"/>
      <c r="BX475" s="17"/>
      <c r="BY475" s="17"/>
      <c r="BZ475" s="17"/>
      <c r="CA475" s="17"/>
      <c r="CB475" s="17"/>
      <c r="CC475" s="17"/>
      <c r="CD475" s="17"/>
      <c r="CE475" s="17"/>
    </row>
    <row r="476" spans="1:83" x14ac:dyDescent="0.25">
      <c r="A476" s="31" t="s">
        <v>675</v>
      </c>
      <c r="B476" s="30" t="s">
        <v>380</v>
      </c>
      <c r="C476" s="30" t="s">
        <v>210</v>
      </c>
      <c r="D476" s="35"/>
      <c r="E476" s="35"/>
      <c r="F476" s="35"/>
      <c r="G476" s="35"/>
      <c r="H476" s="35"/>
      <c r="I476" s="35"/>
      <c r="J476" s="35"/>
      <c r="K476" s="35"/>
      <c r="BW476" s="17"/>
      <c r="BX476" s="17"/>
      <c r="BY476" s="17"/>
      <c r="BZ476" s="17"/>
      <c r="CA476" s="17"/>
      <c r="CB476" s="17"/>
      <c r="CC476" s="17"/>
      <c r="CD476" s="17"/>
      <c r="CE476" s="17"/>
    </row>
    <row r="477" spans="1:83" x14ac:dyDescent="0.25">
      <c r="A477" s="31" t="s">
        <v>677</v>
      </c>
      <c r="B477" s="30" t="s">
        <v>678</v>
      </c>
      <c r="C477" s="30" t="s">
        <v>210</v>
      </c>
      <c r="D477" s="35"/>
      <c r="E477" s="35"/>
      <c r="F477" s="35"/>
      <c r="G477" s="35"/>
      <c r="H477" s="35"/>
      <c r="I477" s="35"/>
      <c r="J477" s="35"/>
      <c r="K477" s="35"/>
      <c r="BW477" s="17"/>
      <c r="BX477" s="17"/>
      <c r="BY477" s="17"/>
      <c r="BZ477" s="17"/>
      <c r="CA477" s="17"/>
      <c r="CB477" s="17"/>
      <c r="CC477" s="17"/>
      <c r="CD477" s="17"/>
      <c r="CE477" s="17"/>
    </row>
    <row r="478" spans="1:83" x14ac:dyDescent="0.25">
      <c r="A478" s="31" t="s">
        <v>676</v>
      </c>
      <c r="B478" s="30" t="s">
        <v>679</v>
      </c>
      <c r="C478" s="30" t="s">
        <v>210</v>
      </c>
      <c r="D478" s="35"/>
      <c r="E478" s="35"/>
      <c r="F478" s="35"/>
      <c r="G478" s="35"/>
      <c r="H478" s="35"/>
      <c r="I478" s="35"/>
      <c r="J478" s="35"/>
      <c r="K478" s="35"/>
      <c r="BW478" s="17"/>
      <c r="BX478" s="17"/>
      <c r="BY478" s="17"/>
      <c r="BZ478" s="17"/>
      <c r="CA478" s="17"/>
      <c r="CB478" s="17"/>
      <c r="CC478" s="17"/>
      <c r="CD478" s="17"/>
      <c r="CE478" s="17"/>
    </row>
    <row r="479" spans="1:83" x14ac:dyDescent="0.25">
      <c r="A479" s="31" t="s">
        <v>720</v>
      </c>
      <c r="B479" s="30" t="s">
        <v>724</v>
      </c>
      <c r="C479" s="30" t="s">
        <v>211</v>
      </c>
      <c r="D479" s="35">
        <v>1</v>
      </c>
      <c r="E479" s="35"/>
      <c r="F479" s="35"/>
      <c r="G479" s="35"/>
      <c r="H479" s="35"/>
      <c r="I479" s="35"/>
      <c r="J479" s="35"/>
      <c r="K479" s="35"/>
      <c r="BW479" s="17"/>
      <c r="BX479" s="17"/>
      <c r="BY479" s="17"/>
      <c r="BZ479" s="17"/>
      <c r="CA479" s="17"/>
      <c r="CB479" s="17"/>
      <c r="CC479" s="17"/>
      <c r="CD479" s="17"/>
      <c r="CE479" s="17"/>
    </row>
    <row r="480" spans="1:83" x14ac:dyDescent="0.25">
      <c r="A480" s="31" t="s">
        <v>721</v>
      </c>
      <c r="B480" s="30" t="s">
        <v>725</v>
      </c>
      <c r="C480" s="30" t="s">
        <v>211</v>
      </c>
      <c r="D480" s="35"/>
      <c r="E480" s="35"/>
      <c r="F480" s="35"/>
      <c r="G480" s="35"/>
      <c r="H480" s="35"/>
      <c r="I480" s="35"/>
      <c r="J480" s="35"/>
      <c r="K480" s="35"/>
      <c r="BW480" s="17"/>
      <c r="BX480" s="17"/>
      <c r="BY480" s="17"/>
      <c r="BZ480" s="17"/>
      <c r="CA480" s="17"/>
      <c r="CB480" s="17"/>
      <c r="CC480" s="17"/>
      <c r="CD480" s="17"/>
      <c r="CE480" s="17"/>
    </row>
    <row r="481" spans="1:83" x14ac:dyDescent="0.25">
      <c r="A481" s="31" t="s">
        <v>696</v>
      </c>
      <c r="B481" s="30" t="s">
        <v>367</v>
      </c>
      <c r="C481" s="30" t="s">
        <v>210</v>
      </c>
      <c r="D481" s="35"/>
      <c r="E481" s="35"/>
      <c r="F481" s="35"/>
      <c r="G481" s="35"/>
      <c r="H481" s="35"/>
      <c r="I481" s="35"/>
      <c r="J481" s="35"/>
      <c r="K481" s="35"/>
      <c r="BW481" s="17"/>
      <c r="BX481" s="17"/>
      <c r="BY481" s="17"/>
      <c r="BZ481" s="17"/>
      <c r="CA481" s="17"/>
      <c r="CB481" s="17"/>
      <c r="CC481" s="17"/>
      <c r="CD481" s="17"/>
      <c r="CE481" s="17"/>
    </row>
    <row r="482" spans="1:83" x14ac:dyDescent="0.25">
      <c r="A482" s="31" t="s">
        <v>699</v>
      </c>
      <c r="B482" s="30" t="s">
        <v>457</v>
      </c>
      <c r="C482" s="30" t="s">
        <v>210</v>
      </c>
      <c r="D482" s="35"/>
      <c r="E482" s="35"/>
      <c r="F482" s="35"/>
      <c r="G482" s="35"/>
      <c r="H482" s="35"/>
      <c r="I482" s="35"/>
      <c r="J482" s="35"/>
      <c r="K482" s="35"/>
      <c r="BW482" s="17"/>
      <c r="BX482" s="17"/>
      <c r="BY482" s="17"/>
      <c r="BZ482" s="17"/>
      <c r="CA482" s="17"/>
      <c r="CB482" s="17"/>
      <c r="CC482" s="17"/>
      <c r="CD482" s="17"/>
      <c r="CE482" s="17"/>
    </row>
    <row r="483" spans="1:83" x14ac:dyDescent="0.25">
      <c r="A483" s="31" t="s">
        <v>697</v>
      </c>
      <c r="B483" s="30" t="s">
        <v>368</v>
      </c>
      <c r="C483" s="30" t="s">
        <v>210</v>
      </c>
      <c r="D483" s="35"/>
      <c r="E483" s="35"/>
      <c r="F483" s="35"/>
      <c r="G483" s="35"/>
      <c r="H483" s="35"/>
      <c r="I483" s="35"/>
      <c r="J483" s="35"/>
      <c r="K483" s="35"/>
      <c r="BW483" s="17"/>
      <c r="BX483" s="17"/>
      <c r="BY483" s="17"/>
      <c r="BZ483" s="17"/>
      <c r="CA483" s="17"/>
      <c r="CB483" s="17"/>
      <c r="CC483" s="17"/>
      <c r="CD483" s="17"/>
      <c r="CE483" s="17"/>
    </row>
    <row r="484" spans="1:83" x14ac:dyDescent="0.25">
      <c r="A484" s="31" t="s">
        <v>698</v>
      </c>
      <c r="B484" s="30" t="s">
        <v>458</v>
      </c>
      <c r="C484" s="30" t="s">
        <v>210</v>
      </c>
      <c r="D484" s="35"/>
      <c r="E484" s="35"/>
      <c r="F484" s="35"/>
      <c r="G484" s="35"/>
      <c r="H484" s="35"/>
      <c r="I484" s="35"/>
      <c r="J484" s="35"/>
      <c r="K484" s="35"/>
      <c r="BW484" s="17"/>
      <c r="BX484" s="17"/>
      <c r="BY484" s="17"/>
      <c r="BZ484" s="17"/>
      <c r="CA484" s="17"/>
      <c r="CB484" s="17"/>
      <c r="CC484" s="17"/>
      <c r="CD484" s="17"/>
      <c r="CE484" s="17"/>
    </row>
    <row r="485" spans="1:83" x14ac:dyDescent="0.25">
      <c r="A485" s="31" t="s">
        <v>700</v>
      </c>
      <c r="B485" s="30" t="s">
        <v>701</v>
      </c>
      <c r="C485" s="30" t="s">
        <v>211</v>
      </c>
      <c r="D485" s="35"/>
      <c r="E485" s="35"/>
      <c r="F485" s="35"/>
      <c r="G485" s="35"/>
      <c r="H485" s="35"/>
      <c r="I485" s="35"/>
      <c r="J485" s="35"/>
      <c r="K485" s="35"/>
      <c r="BW485" s="17"/>
      <c r="BX485" s="17"/>
      <c r="BY485" s="17"/>
      <c r="BZ485" s="17"/>
      <c r="CA485" s="17"/>
      <c r="CB485" s="17"/>
      <c r="CC485" s="17"/>
      <c r="CD485" s="17"/>
      <c r="CE485" s="17"/>
    </row>
    <row r="486" spans="1:83" x14ac:dyDescent="0.25">
      <c r="A486" s="31" t="s">
        <v>722</v>
      </c>
      <c r="B486" s="30" t="s">
        <v>726</v>
      </c>
      <c r="C486" s="30" t="s">
        <v>211</v>
      </c>
      <c r="D486" s="35"/>
      <c r="E486" s="35"/>
      <c r="F486" s="35"/>
      <c r="G486" s="35"/>
      <c r="H486" s="35"/>
      <c r="I486" s="35"/>
      <c r="J486" s="35"/>
      <c r="K486" s="35"/>
      <c r="BW486" s="17"/>
      <c r="BX486" s="17"/>
      <c r="BY486" s="17"/>
      <c r="BZ486" s="17"/>
      <c r="CA486" s="17"/>
      <c r="CB486" s="17"/>
      <c r="CC486" s="17"/>
      <c r="CD486" s="17"/>
      <c r="CE486" s="17"/>
    </row>
    <row r="487" spans="1:83" x14ac:dyDescent="0.25">
      <c r="A487" s="31" t="s">
        <v>702</v>
      </c>
      <c r="B487" s="30" t="s">
        <v>622</v>
      </c>
      <c r="C487" s="30" t="s">
        <v>210</v>
      </c>
      <c r="D487" s="35"/>
      <c r="E487" s="35"/>
      <c r="F487" s="35"/>
      <c r="G487" s="35"/>
      <c r="H487" s="35"/>
      <c r="I487" s="35"/>
      <c r="J487" s="35"/>
      <c r="K487" s="35"/>
      <c r="BW487" s="17"/>
      <c r="BX487" s="17"/>
      <c r="BY487" s="17"/>
      <c r="BZ487" s="17"/>
      <c r="CA487" s="17"/>
      <c r="CB487" s="17"/>
      <c r="CC487" s="17"/>
      <c r="CD487" s="17"/>
      <c r="CE487" s="17"/>
    </row>
    <row r="488" spans="1:83" x14ac:dyDescent="0.25">
      <c r="A488" s="31" t="s">
        <v>703</v>
      </c>
      <c r="B488" s="30" t="s">
        <v>704</v>
      </c>
      <c r="C488" s="30" t="s">
        <v>211</v>
      </c>
      <c r="D488" s="35"/>
      <c r="E488" s="35"/>
      <c r="F488" s="35"/>
      <c r="G488" s="35"/>
      <c r="H488" s="35"/>
      <c r="I488" s="35"/>
      <c r="J488" s="35"/>
      <c r="K488" s="35"/>
      <c r="BW488" s="17"/>
      <c r="BX488" s="17"/>
      <c r="BY488" s="17"/>
      <c r="BZ488" s="17"/>
      <c r="CA488" s="17"/>
      <c r="CB488" s="17"/>
      <c r="CC488" s="17"/>
      <c r="CD488" s="17"/>
      <c r="CE488" s="17"/>
    </row>
    <row r="489" spans="1:83" x14ac:dyDescent="0.25">
      <c r="A489" s="31" t="s">
        <v>711</v>
      </c>
      <c r="B489" s="30" t="s">
        <v>405</v>
      </c>
      <c r="C489" s="30" t="s">
        <v>210</v>
      </c>
      <c r="D489" s="35"/>
      <c r="E489" s="35"/>
      <c r="F489" s="35"/>
      <c r="G489" s="35"/>
      <c r="H489" s="35"/>
      <c r="I489" s="35"/>
      <c r="J489" s="35"/>
      <c r="K489" s="35"/>
      <c r="BW489" s="17"/>
      <c r="BX489" s="17"/>
      <c r="BY489" s="17"/>
      <c r="BZ489" s="17"/>
      <c r="CA489" s="17"/>
      <c r="CB489" s="17"/>
      <c r="CC489" s="17"/>
      <c r="CD489" s="17"/>
      <c r="CE489" s="17"/>
    </row>
    <row r="490" spans="1:83" x14ac:dyDescent="0.25">
      <c r="A490" s="31" t="s">
        <v>712</v>
      </c>
      <c r="B490" s="30" t="s">
        <v>406</v>
      </c>
      <c r="C490" s="30" t="s">
        <v>210</v>
      </c>
      <c r="D490" s="35"/>
      <c r="E490" s="35"/>
      <c r="F490" s="35"/>
      <c r="G490" s="35"/>
      <c r="H490" s="35"/>
      <c r="I490" s="35"/>
      <c r="J490" s="35"/>
      <c r="K490" s="35"/>
      <c r="BW490" s="17"/>
      <c r="BX490" s="17"/>
      <c r="BY490" s="17"/>
      <c r="BZ490" s="17"/>
      <c r="CA490" s="17"/>
      <c r="CB490" s="17"/>
      <c r="CC490" s="17"/>
      <c r="CD490" s="17"/>
      <c r="CE490" s="17"/>
    </row>
    <row r="491" spans="1:83" x14ac:dyDescent="0.25">
      <c r="A491" s="31" t="s">
        <v>706</v>
      </c>
      <c r="B491" s="30" t="s">
        <v>410</v>
      </c>
      <c r="C491" s="30" t="s">
        <v>210</v>
      </c>
      <c r="D491" s="35"/>
      <c r="E491" s="35"/>
      <c r="F491" s="35"/>
      <c r="G491" s="35"/>
      <c r="H491" s="35"/>
      <c r="I491" s="35"/>
      <c r="J491" s="35"/>
      <c r="K491" s="35"/>
      <c r="BW491" s="17"/>
      <c r="BX491" s="17"/>
      <c r="BY491" s="17"/>
      <c r="BZ491" s="17"/>
      <c r="CA491" s="17"/>
      <c r="CB491" s="17"/>
      <c r="CC491" s="17"/>
      <c r="CD491" s="17"/>
      <c r="CE491" s="17"/>
    </row>
    <row r="492" spans="1:83" x14ac:dyDescent="0.25">
      <c r="A492" s="31" t="s">
        <v>708</v>
      </c>
      <c r="B492" s="30" t="s">
        <v>421</v>
      </c>
      <c r="C492" s="30" t="s">
        <v>210</v>
      </c>
      <c r="D492" s="35"/>
      <c r="E492" s="35"/>
      <c r="F492" s="35"/>
      <c r="G492" s="35"/>
      <c r="H492" s="35"/>
      <c r="I492" s="35"/>
      <c r="J492" s="35"/>
      <c r="K492" s="35"/>
      <c r="BW492" s="17"/>
      <c r="BX492" s="17"/>
      <c r="BY492" s="17"/>
      <c r="BZ492" s="17"/>
      <c r="CA492" s="17"/>
      <c r="CB492" s="17"/>
      <c r="CC492" s="17"/>
      <c r="CD492" s="17"/>
      <c r="CE492" s="17"/>
    </row>
    <row r="493" spans="1:83" x14ac:dyDescent="0.25">
      <c r="A493" s="31" t="s">
        <v>710</v>
      </c>
      <c r="B493" s="30" t="s">
        <v>421</v>
      </c>
      <c r="C493" s="30" t="s">
        <v>210</v>
      </c>
      <c r="D493" s="35"/>
      <c r="E493" s="35"/>
      <c r="F493" s="35"/>
      <c r="G493" s="35"/>
      <c r="H493" s="35"/>
      <c r="I493" s="35"/>
      <c r="J493" s="35"/>
      <c r="K493" s="35"/>
      <c r="BW493" s="17"/>
      <c r="BX493" s="17"/>
      <c r="BY493" s="17"/>
      <c r="BZ493" s="17"/>
      <c r="CA493" s="17"/>
      <c r="CB493" s="17"/>
      <c r="CC493" s="17"/>
      <c r="CD493" s="17"/>
      <c r="CE493" s="17"/>
    </row>
    <row r="494" spans="1:83" x14ac:dyDescent="0.25">
      <c r="A494" s="31" t="s">
        <v>709</v>
      </c>
      <c r="B494" s="30" t="s">
        <v>422</v>
      </c>
      <c r="C494" s="30" t="s">
        <v>210</v>
      </c>
      <c r="D494" s="35"/>
      <c r="E494" s="35"/>
      <c r="F494" s="35"/>
      <c r="G494" s="35"/>
      <c r="H494" s="35"/>
      <c r="I494" s="35"/>
      <c r="J494" s="35"/>
      <c r="K494" s="35"/>
      <c r="BW494" s="17"/>
      <c r="BX494" s="17"/>
      <c r="BY494" s="17"/>
      <c r="BZ494" s="17"/>
      <c r="CA494" s="17"/>
      <c r="CB494" s="17"/>
      <c r="CC494" s="17"/>
      <c r="CD494" s="17"/>
      <c r="CE494" s="17"/>
    </row>
    <row r="495" spans="1:83" x14ac:dyDescent="0.25">
      <c r="A495" s="31" t="s">
        <v>707</v>
      </c>
      <c r="B495" s="30" t="s">
        <v>422</v>
      </c>
      <c r="C495" s="30" t="s">
        <v>210</v>
      </c>
      <c r="D495" s="35"/>
      <c r="E495" s="35"/>
      <c r="F495" s="35"/>
      <c r="G495" s="35"/>
      <c r="H495" s="35"/>
      <c r="I495" s="35"/>
      <c r="J495" s="35"/>
      <c r="K495" s="35"/>
      <c r="BW495" s="17"/>
      <c r="BX495" s="17"/>
      <c r="BY495" s="17"/>
      <c r="BZ495" s="17"/>
      <c r="CA495" s="17"/>
      <c r="CB495" s="17"/>
      <c r="CC495" s="17"/>
      <c r="CD495" s="17"/>
      <c r="CE495" s="17"/>
    </row>
    <row r="496" spans="1:83" x14ac:dyDescent="0.25">
      <c r="A496" s="31" t="s">
        <v>715</v>
      </c>
      <c r="B496" s="30" t="s">
        <v>411</v>
      </c>
      <c r="C496" s="30" t="s">
        <v>210</v>
      </c>
      <c r="D496" s="35"/>
      <c r="E496" s="35"/>
      <c r="F496" s="35"/>
      <c r="G496" s="35"/>
      <c r="H496" s="35"/>
      <c r="I496" s="35"/>
      <c r="J496" s="35"/>
      <c r="K496" s="35"/>
      <c r="BW496" s="17"/>
      <c r="BX496" s="17"/>
      <c r="BY496" s="17"/>
      <c r="BZ496" s="17"/>
      <c r="CA496" s="17"/>
      <c r="CB496" s="17"/>
      <c r="CC496" s="17"/>
      <c r="CD496" s="17"/>
      <c r="CE496" s="17"/>
    </row>
    <row r="497" spans="1:83" x14ac:dyDescent="0.25">
      <c r="A497" s="31" t="s">
        <v>714</v>
      </c>
      <c r="B497" s="30" t="s">
        <v>416</v>
      </c>
      <c r="C497" s="30" t="s">
        <v>210</v>
      </c>
      <c r="D497" s="35"/>
      <c r="E497" s="35"/>
      <c r="F497" s="35"/>
      <c r="G497" s="35"/>
      <c r="H497" s="35"/>
      <c r="I497" s="35"/>
      <c r="J497" s="35"/>
      <c r="K497" s="35"/>
      <c r="BW497" s="17"/>
      <c r="BX497" s="17"/>
      <c r="BY497" s="17"/>
      <c r="BZ497" s="17"/>
      <c r="CA497" s="17"/>
      <c r="CB497" s="17"/>
      <c r="CC497" s="17"/>
      <c r="CD497" s="17"/>
      <c r="CE497" s="17"/>
    </row>
    <row r="498" spans="1:83" x14ac:dyDescent="0.25">
      <c r="A498" s="31" t="s">
        <v>713</v>
      </c>
      <c r="B498" s="30" t="s">
        <v>416</v>
      </c>
      <c r="C498" s="30" t="s">
        <v>210</v>
      </c>
      <c r="D498" s="35"/>
      <c r="E498" s="35"/>
      <c r="F498" s="35"/>
      <c r="G498" s="35"/>
      <c r="H498" s="35"/>
      <c r="I498" s="35"/>
      <c r="J498" s="35"/>
      <c r="K498" s="35"/>
      <c r="BW498" s="17"/>
      <c r="BX498" s="17"/>
      <c r="BY498" s="17"/>
      <c r="BZ498" s="17"/>
      <c r="CA498" s="17"/>
      <c r="CB498" s="17"/>
      <c r="CC498" s="17"/>
      <c r="CD498" s="17"/>
      <c r="CE498" s="17"/>
    </row>
    <row r="499" spans="1:83" x14ac:dyDescent="0.25">
      <c r="A499" s="31" t="s">
        <v>716</v>
      </c>
      <c r="B499" s="30" t="s">
        <v>419</v>
      </c>
      <c r="C499" s="30" t="s">
        <v>210</v>
      </c>
      <c r="D499" s="35"/>
      <c r="E499" s="35"/>
      <c r="F499" s="35"/>
      <c r="G499" s="35"/>
      <c r="H499" s="35"/>
      <c r="I499" s="35"/>
      <c r="J499" s="35"/>
      <c r="K499" s="35"/>
      <c r="BW499" s="17"/>
      <c r="BX499" s="17"/>
      <c r="BY499" s="17"/>
      <c r="BZ499" s="17"/>
      <c r="CA499" s="17"/>
      <c r="CB499" s="17"/>
      <c r="CC499" s="17"/>
      <c r="CD499" s="17"/>
      <c r="CE499" s="17"/>
    </row>
    <row r="500" spans="1:83" x14ac:dyDescent="0.25">
      <c r="A500" s="31" t="s">
        <v>717</v>
      </c>
      <c r="B500" s="30" t="s">
        <v>407</v>
      </c>
      <c r="C500" s="30" t="s">
        <v>210</v>
      </c>
      <c r="D500" s="35"/>
      <c r="E500" s="35"/>
      <c r="F500" s="35"/>
      <c r="G500" s="35"/>
      <c r="H500" s="35"/>
      <c r="I500" s="35"/>
      <c r="J500" s="35"/>
      <c r="K500" s="35"/>
      <c r="BW500" s="17"/>
      <c r="BX500" s="17"/>
      <c r="BY500" s="17"/>
      <c r="BZ500" s="17"/>
      <c r="CA500" s="17"/>
      <c r="CB500" s="17"/>
      <c r="CC500" s="17"/>
      <c r="CD500" s="17"/>
      <c r="CE500" s="17"/>
    </row>
    <row r="501" spans="1:83" x14ac:dyDescent="0.25">
      <c r="A501" s="31" t="s">
        <v>718</v>
      </c>
      <c r="B501" s="30" t="s">
        <v>409</v>
      </c>
      <c r="C501" s="30" t="s">
        <v>210</v>
      </c>
      <c r="D501" s="35"/>
      <c r="E501" s="35"/>
      <c r="F501" s="35"/>
      <c r="G501" s="35"/>
      <c r="H501" s="35"/>
      <c r="I501" s="35"/>
      <c r="J501" s="35"/>
      <c r="K501" s="35"/>
      <c r="BW501" s="17"/>
      <c r="BX501" s="17"/>
      <c r="BY501" s="17"/>
      <c r="BZ501" s="17"/>
      <c r="CA501" s="17"/>
      <c r="CB501" s="17"/>
      <c r="CC501" s="17"/>
      <c r="CD501" s="17"/>
      <c r="CE501" s="17"/>
    </row>
    <row r="502" spans="1:83" x14ac:dyDescent="0.25">
      <c r="A502" s="31" t="s">
        <v>729</v>
      </c>
      <c r="B502" s="30" t="s">
        <v>664</v>
      </c>
      <c r="C502" s="30" t="s">
        <v>210</v>
      </c>
      <c r="D502" s="35"/>
      <c r="E502" s="35"/>
      <c r="F502" s="35"/>
      <c r="G502" s="35"/>
      <c r="H502" s="35"/>
      <c r="I502" s="35"/>
      <c r="J502" s="35"/>
      <c r="K502" s="35"/>
      <c r="BW502" s="17"/>
      <c r="BX502" s="17"/>
      <c r="BY502" s="17"/>
      <c r="BZ502" s="17"/>
      <c r="CA502" s="17"/>
      <c r="CB502" s="17"/>
      <c r="CC502" s="17"/>
      <c r="CD502" s="17"/>
      <c r="CE502" s="17"/>
    </row>
    <row r="503" spans="1:83" x14ac:dyDescent="0.25">
      <c r="A503" s="31" t="s">
        <v>728</v>
      </c>
      <c r="B503" s="30" t="s">
        <v>663</v>
      </c>
      <c r="C503" s="30" t="s">
        <v>210</v>
      </c>
      <c r="D503" s="35"/>
      <c r="E503" s="35"/>
      <c r="F503" s="35"/>
      <c r="G503" s="35"/>
      <c r="H503" s="35"/>
      <c r="I503" s="35"/>
      <c r="J503" s="35"/>
      <c r="K503" s="35"/>
      <c r="BW503" s="17"/>
      <c r="BX503" s="17"/>
      <c r="BY503" s="17"/>
      <c r="BZ503" s="17"/>
      <c r="CA503" s="17"/>
      <c r="CB503" s="17"/>
      <c r="CC503" s="17"/>
      <c r="CD503" s="17"/>
      <c r="CE503" s="17"/>
    </row>
    <row r="504" spans="1:83" x14ac:dyDescent="0.25">
      <c r="A504" s="31" t="s">
        <v>732</v>
      </c>
      <c r="B504" s="30" t="s">
        <v>665</v>
      </c>
      <c r="C504" s="30" t="s">
        <v>210</v>
      </c>
      <c r="D504" s="35"/>
      <c r="E504" s="35"/>
      <c r="F504" s="35"/>
      <c r="G504" s="35"/>
      <c r="H504" s="35"/>
      <c r="I504" s="35"/>
      <c r="J504" s="35"/>
      <c r="K504" s="35"/>
      <c r="BW504" s="17"/>
      <c r="BX504" s="17"/>
      <c r="BY504" s="17"/>
      <c r="BZ504" s="17"/>
      <c r="CA504" s="17"/>
      <c r="CB504" s="17"/>
      <c r="CC504" s="17"/>
      <c r="CD504" s="17"/>
      <c r="CE504" s="17"/>
    </row>
    <row r="505" spans="1:83" x14ac:dyDescent="0.25">
      <c r="A505" s="31" t="s">
        <v>733</v>
      </c>
      <c r="B505" s="30" t="s">
        <v>734</v>
      </c>
      <c r="C505" s="30" t="s">
        <v>211</v>
      </c>
      <c r="D505" s="35"/>
      <c r="E505" s="35"/>
      <c r="F505" s="35"/>
      <c r="G505" s="35"/>
      <c r="H505" s="35"/>
      <c r="I505" s="35"/>
      <c r="J505" s="35"/>
      <c r="K505" s="35"/>
      <c r="BW505" s="17"/>
      <c r="BX505" s="17"/>
      <c r="BY505" s="17"/>
      <c r="BZ505" s="17"/>
      <c r="CA505" s="17"/>
      <c r="CB505" s="17"/>
      <c r="CC505" s="17"/>
      <c r="CD505" s="17"/>
      <c r="CE505" s="17"/>
    </row>
    <row r="506" spans="1:83" x14ac:dyDescent="0.25">
      <c r="A506" s="31" t="s">
        <v>735</v>
      </c>
      <c r="B506" s="30" t="s">
        <v>513</v>
      </c>
      <c r="C506" s="30" t="s">
        <v>210</v>
      </c>
      <c r="D506" s="35"/>
      <c r="E506" s="35"/>
      <c r="F506" s="35"/>
      <c r="G506" s="35"/>
      <c r="H506" s="35"/>
      <c r="I506" s="35"/>
      <c r="J506" s="35"/>
      <c r="K506" s="35"/>
      <c r="BW506" s="17"/>
      <c r="BX506" s="17"/>
      <c r="BY506" s="17"/>
      <c r="BZ506" s="17"/>
      <c r="CA506" s="17"/>
      <c r="CB506" s="17"/>
      <c r="CC506" s="17"/>
      <c r="CD506" s="17"/>
      <c r="CE506" s="17"/>
    </row>
    <row r="507" spans="1:83" x14ac:dyDescent="0.25">
      <c r="A507" s="31" t="s">
        <v>740</v>
      </c>
      <c r="B507" s="30" t="s">
        <v>743</v>
      </c>
      <c r="C507" s="30" t="s">
        <v>211</v>
      </c>
      <c r="D507" s="35"/>
      <c r="E507" s="35"/>
      <c r="F507" s="35"/>
      <c r="G507" s="35"/>
      <c r="H507" s="35"/>
      <c r="I507" s="35"/>
      <c r="J507" s="35"/>
      <c r="K507" s="35"/>
      <c r="BW507" s="17"/>
      <c r="BX507" s="17"/>
      <c r="BY507" s="17"/>
      <c r="BZ507" s="17"/>
      <c r="CA507" s="17"/>
      <c r="CB507" s="17"/>
      <c r="CC507" s="17"/>
      <c r="CD507" s="17"/>
      <c r="CE507" s="17"/>
    </row>
    <row r="508" spans="1:83" x14ac:dyDescent="0.25">
      <c r="A508" s="31" t="s">
        <v>738</v>
      </c>
      <c r="B508" s="30" t="s">
        <v>744</v>
      </c>
      <c r="C508" s="30" t="s">
        <v>211</v>
      </c>
      <c r="D508" s="35"/>
      <c r="E508" s="35"/>
      <c r="F508" s="35"/>
      <c r="G508" s="35"/>
      <c r="H508" s="35"/>
      <c r="I508" s="35"/>
      <c r="J508" s="35"/>
      <c r="K508" s="35"/>
      <c r="BW508" s="17"/>
      <c r="BX508" s="17"/>
      <c r="BY508" s="17"/>
      <c r="BZ508" s="17"/>
      <c r="CA508" s="17"/>
      <c r="CB508" s="17"/>
      <c r="CC508" s="17"/>
      <c r="CD508" s="17"/>
      <c r="CE508" s="17"/>
    </row>
    <row r="509" spans="1:83" x14ac:dyDescent="0.25">
      <c r="A509" s="31" t="s">
        <v>737</v>
      </c>
      <c r="B509" s="30" t="s">
        <v>746</v>
      </c>
      <c r="C509" s="30" t="s">
        <v>211</v>
      </c>
      <c r="D509" s="35"/>
      <c r="E509" s="35"/>
      <c r="F509" s="35"/>
      <c r="G509" s="35"/>
      <c r="H509" s="35"/>
      <c r="I509" s="35"/>
      <c r="J509" s="35"/>
      <c r="K509" s="35"/>
      <c r="BW509" s="17"/>
      <c r="BX509" s="17"/>
      <c r="BY509" s="17"/>
      <c r="BZ509" s="17"/>
      <c r="CA509" s="17"/>
      <c r="CB509" s="17"/>
      <c r="CC509" s="17"/>
      <c r="CD509" s="17"/>
      <c r="CE509" s="17"/>
    </row>
    <row r="510" spans="1:83" x14ac:dyDescent="0.25">
      <c r="A510" s="31" t="s">
        <v>739</v>
      </c>
      <c r="B510" s="30" t="s">
        <v>747</v>
      </c>
      <c r="C510" s="30" t="s">
        <v>211</v>
      </c>
      <c r="D510" s="35"/>
      <c r="E510" s="35"/>
      <c r="F510" s="35"/>
      <c r="G510" s="35"/>
      <c r="H510" s="35"/>
      <c r="I510" s="35"/>
      <c r="J510" s="35"/>
      <c r="K510" s="35"/>
      <c r="BW510" s="17"/>
      <c r="BX510" s="17"/>
      <c r="BY510" s="17"/>
      <c r="BZ510" s="17"/>
      <c r="CA510" s="17"/>
      <c r="CB510" s="17"/>
      <c r="CC510" s="17"/>
      <c r="CD510" s="17"/>
      <c r="CE510" s="17"/>
    </row>
    <row r="511" spans="1:83" x14ac:dyDescent="0.25">
      <c r="A511" s="31" t="s">
        <v>736</v>
      </c>
      <c r="B511" s="30" t="s">
        <v>745</v>
      </c>
      <c r="C511" s="30" t="s">
        <v>211</v>
      </c>
      <c r="D511" s="35"/>
      <c r="E511" s="35"/>
      <c r="F511" s="35"/>
      <c r="G511" s="35"/>
      <c r="H511" s="35"/>
      <c r="I511" s="35"/>
      <c r="J511" s="35"/>
      <c r="K511" s="35"/>
      <c r="BW511" s="17"/>
      <c r="BX511" s="17"/>
      <c r="BY511" s="17"/>
      <c r="BZ511" s="17"/>
      <c r="CA511" s="17"/>
      <c r="CB511" s="17"/>
      <c r="CC511" s="17"/>
      <c r="CD511" s="17"/>
      <c r="CE511" s="17"/>
    </row>
    <row r="512" spans="1:83" x14ac:dyDescent="0.25">
      <c r="A512" s="31" t="s">
        <v>741</v>
      </c>
      <c r="B512" s="30" t="s">
        <v>748</v>
      </c>
      <c r="C512" s="30" t="s">
        <v>211</v>
      </c>
      <c r="D512" s="35"/>
      <c r="E512" s="35"/>
      <c r="F512" s="35"/>
      <c r="G512" s="35"/>
      <c r="H512" s="35"/>
      <c r="I512" s="35"/>
      <c r="J512" s="35"/>
      <c r="K512" s="35"/>
      <c r="BW512" s="17"/>
      <c r="BX512" s="17"/>
      <c r="BY512" s="17"/>
      <c r="BZ512" s="17"/>
      <c r="CA512" s="17"/>
      <c r="CB512" s="17"/>
      <c r="CC512" s="17"/>
      <c r="CD512" s="17"/>
      <c r="CE512" s="17"/>
    </row>
    <row r="513" spans="1:83" x14ac:dyDescent="0.25">
      <c r="A513" s="31" t="s">
        <v>742</v>
      </c>
      <c r="B513" s="30" t="s">
        <v>749</v>
      </c>
      <c r="C513" s="30" t="s">
        <v>211</v>
      </c>
      <c r="D513" s="35"/>
      <c r="E513" s="35"/>
      <c r="F513" s="35"/>
      <c r="G513" s="35"/>
      <c r="H513" s="35"/>
      <c r="I513" s="35"/>
      <c r="J513" s="35"/>
      <c r="K513" s="35"/>
      <c r="BW513" s="17"/>
      <c r="BX513" s="17"/>
      <c r="BY513" s="17"/>
      <c r="BZ513" s="17"/>
      <c r="CA513" s="17"/>
      <c r="CB513" s="17"/>
      <c r="CC513" s="17"/>
      <c r="CD513" s="17"/>
      <c r="CE513" s="17"/>
    </row>
    <row r="514" spans="1:83" x14ac:dyDescent="0.25">
      <c r="A514" s="31" t="s">
        <v>750</v>
      </c>
      <c r="B514" s="30" t="s">
        <v>657</v>
      </c>
      <c r="C514" s="30" t="s">
        <v>210</v>
      </c>
      <c r="D514" s="35"/>
      <c r="E514" s="35"/>
      <c r="F514" s="35"/>
      <c r="G514" s="35"/>
      <c r="H514" s="35"/>
      <c r="I514" s="35"/>
      <c r="J514" s="35"/>
      <c r="K514" s="35"/>
      <c r="BW514" s="17"/>
      <c r="BX514" s="17"/>
      <c r="BY514" s="17"/>
      <c r="BZ514" s="17"/>
      <c r="CA514" s="17"/>
      <c r="CB514" s="17"/>
      <c r="CC514" s="17"/>
      <c r="CD514" s="17"/>
      <c r="CE514" s="17"/>
    </row>
    <row r="515" spans="1:83" x14ac:dyDescent="0.25">
      <c r="A515" s="31" t="s">
        <v>751</v>
      </c>
      <c r="B515" s="30" t="s">
        <v>752</v>
      </c>
      <c r="C515" s="30" t="s">
        <v>211</v>
      </c>
      <c r="D515" s="35"/>
      <c r="E515" s="35"/>
      <c r="F515" s="35"/>
      <c r="G515" s="35"/>
      <c r="H515" s="35"/>
      <c r="I515" s="35"/>
      <c r="J515" s="35"/>
      <c r="K515" s="35"/>
      <c r="BW515" s="17"/>
      <c r="BX515" s="17"/>
      <c r="BY515" s="17"/>
      <c r="BZ515" s="17"/>
      <c r="CA515" s="17"/>
      <c r="CB515" s="17"/>
      <c r="CC515" s="17"/>
      <c r="CD515" s="17"/>
      <c r="CE515" s="17"/>
    </row>
    <row r="516" spans="1:83" x14ac:dyDescent="0.25">
      <c r="A516" s="31" t="s">
        <v>753</v>
      </c>
      <c r="B516" s="30" t="s">
        <v>754</v>
      </c>
      <c r="C516" s="30" t="s">
        <v>210</v>
      </c>
      <c r="D516" s="35"/>
      <c r="E516" s="35"/>
      <c r="F516" s="35"/>
      <c r="G516" s="35"/>
      <c r="H516" s="35"/>
      <c r="I516" s="35"/>
      <c r="J516" s="35"/>
      <c r="K516" s="35"/>
      <c r="BW516" s="17"/>
      <c r="BX516" s="17"/>
      <c r="BY516" s="17"/>
      <c r="BZ516" s="17"/>
      <c r="CA516" s="17"/>
      <c r="CB516" s="17"/>
      <c r="CC516" s="17"/>
      <c r="CD516" s="17"/>
      <c r="CE516" s="17"/>
    </row>
    <row r="517" spans="1:83" x14ac:dyDescent="0.25">
      <c r="A517" s="31" t="s">
        <v>756</v>
      </c>
      <c r="B517" s="30" t="s">
        <v>405</v>
      </c>
      <c r="C517" s="30" t="s">
        <v>210</v>
      </c>
      <c r="D517" s="35"/>
      <c r="E517" s="35"/>
      <c r="F517" s="35"/>
      <c r="G517" s="35"/>
      <c r="H517" s="35"/>
      <c r="I517" s="35"/>
      <c r="J517" s="35"/>
      <c r="K517" s="35"/>
      <c r="BW517" s="17"/>
      <c r="BX517" s="17"/>
      <c r="BY517" s="17"/>
      <c r="BZ517" s="17"/>
      <c r="CA517" s="17"/>
      <c r="CB517" s="17"/>
      <c r="CC517" s="17"/>
      <c r="CD517" s="17"/>
      <c r="CE517" s="17"/>
    </row>
    <row r="518" spans="1:83" x14ac:dyDescent="0.25">
      <c r="A518" s="31" t="s">
        <v>755</v>
      </c>
      <c r="B518" s="30" t="s">
        <v>406</v>
      </c>
      <c r="C518" s="30" t="s">
        <v>210</v>
      </c>
      <c r="D518" s="35"/>
      <c r="E518" s="35"/>
      <c r="F518" s="35"/>
      <c r="G518" s="35"/>
      <c r="H518" s="35"/>
      <c r="I518" s="35"/>
      <c r="J518" s="35"/>
      <c r="K518" s="35"/>
      <c r="BW518" s="17"/>
      <c r="BX518" s="17"/>
      <c r="BY518" s="17"/>
      <c r="BZ518" s="17"/>
      <c r="CA518" s="17"/>
      <c r="CB518" s="17"/>
      <c r="CC518" s="17"/>
      <c r="CD518" s="17"/>
      <c r="CE518" s="17"/>
    </row>
    <row r="519" spans="1:83" x14ac:dyDescent="0.25">
      <c r="A519" s="31"/>
      <c r="B519" s="30"/>
      <c r="C519" s="30"/>
      <c r="D519" s="35"/>
      <c r="E519" s="35"/>
      <c r="F519" s="35"/>
      <c r="G519" s="35"/>
      <c r="H519" s="35"/>
      <c r="I519" s="35"/>
      <c r="J519" s="35"/>
      <c r="K519" s="35"/>
      <c r="BW519" s="17"/>
      <c r="BX519" s="17"/>
      <c r="BY519" s="17"/>
      <c r="BZ519" s="17"/>
      <c r="CA519" s="17"/>
      <c r="CB519" s="17"/>
      <c r="CC519" s="17"/>
      <c r="CD519" s="17"/>
      <c r="CE519" s="17"/>
    </row>
    <row r="520" spans="1:83" x14ac:dyDescent="0.25">
      <c r="A520" s="31"/>
      <c r="B520" s="30"/>
      <c r="C520" s="30"/>
      <c r="D520" s="35"/>
      <c r="E520" s="35"/>
      <c r="F520" s="35"/>
      <c r="G520" s="35"/>
      <c r="H520" s="35"/>
      <c r="I520" s="35"/>
      <c r="J520" s="35"/>
      <c r="K520" s="35"/>
      <c r="BW520" s="17"/>
      <c r="BX520" s="17"/>
      <c r="BY520" s="17"/>
      <c r="BZ520" s="17"/>
      <c r="CA520" s="17"/>
      <c r="CB520" s="17"/>
      <c r="CC520" s="17"/>
      <c r="CD520" s="17"/>
      <c r="CE520" s="17"/>
    </row>
    <row r="521" spans="1:83" x14ac:dyDescent="0.25">
      <c r="A521" s="31"/>
      <c r="B521" s="30"/>
      <c r="C521" s="30"/>
      <c r="D521" s="35"/>
      <c r="E521" s="35"/>
      <c r="F521" s="35"/>
      <c r="G521" s="35"/>
      <c r="H521" s="35"/>
      <c r="I521" s="35"/>
      <c r="J521" s="35"/>
      <c r="K521" s="35"/>
      <c r="BW521" s="17"/>
      <c r="BX521" s="17"/>
      <c r="BY521" s="17"/>
      <c r="BZ521" s="17"/>
      <c r="CA521" s="17"/>
      <c r="CB521" s="17"/>
      <c r="CC521" s="17"/>
      <c r="CD521" s="17"/>
      <c r="CE521" s="17"/>
    </row>
    <row r="522" spans="1:83" x14ac:dyDescent="0.25">
      <c r="A522" s="31"/>
      <c r="B522" s="30"/>
      <c r="C522" s="30"/>
      <c r="D522" s="35"/>
      <c r="E522" s="35"/>
      <c r="F522" s="35"/>
      <c r="G522" s="35"/>
      <c r="H522" s="35"/>
      <c r="I522" s="35"/>
      <c r="J522" s="35"/>
      <c r="K522" s="35"/>
      <c r="BW522" s="17"/>
      <c r="BX522" s="17"/>
      <c r="BY522" s="17"/>
      <c r="BZ522" s="17"/>
      <c r="CA522" s="17"/>
      <c r="CB522" s="17"/>
      <c r="CC522" s="17"/>
      <c r="CD522" s="17"/>
      <c r="CE522" s="17"/>
    </row>
    <row r="523" spans="1:83" x14ac:dyDescent="0.25">
      <c r="A523" s="31"/>
      <c r="B523" s="30"/>
      <c r="C523" s="30"/>
      <c r="D523" s="35"/>
      <c r="E523" s="35"/>
      <c r="F523" s="35"/>
      <c r="G523" s="35"/>
      <c r="H523" s="35"/>
      <c r="I523" s="35"/>
      <c r="J523" s="35"/>
      <c r="K523" s="35"/>
      <c r="BW523" s="17"/>
      <c r="BX523" s="17"/>
      <c r="BY523" s="17"/>
      <c r="BZ523" s="17"/>
      <c r="CA523" s="17"/>
      <c r="CB523" s="17"/>
      <c r="CC523" s="17"/>
      <c r="CD523" s="17"/>
      <c r="CE523" s="17"/>
    </row>
    <row r="524" spans="1:83" x14ac:dyDescent="0.25">
      <c r="A524" s="31"/>
      <c r="B524" s="30"/>
      <c r="C524" s="30"/>
      <c r="D524" s="35"/>
      <c r="E524" s="35"/>
      <c r="F524" s="35"/>
      <c r="G524" s="35"/>
      <c r="H524" s="35"/>
      <c r="I524" s="35"/>
      <c r="J524" s="35"/>
      <c r="K524" s="35"/>
      <c r="BW524" s="17"/>
      <c r="BX524" s="17"/>
      <c r="BY524" s="17"/>
      <c r="BZ524" s="17"/>
      <c r="CA524" s="17"/>
      <c r="CB524" s="17"/>
      <c r="CC524" s="17"/>
      <c r="CD524" s="17"/>
      <c r="CE524" s="17"/>
    </row>
    <row r="525" spans="1:83" x14ac:dyDescent="0.25">
      <c r="A525" s="31"/>
      <c r="B525" s="30"/>
      <c r="C525" s="30"/>
      <c r="D525" s="35"/>
      <c r="E525" s="35"/>
      <c r="F525" s="35"/>
      <c r="G525" s="35"/>
      <c r="H525" s="35"/>
      <c r="I525" s="35"/>
      <c r="J525" s="35"/>
      <c r="K525" s="35"/>
      <c r="BW525" s="17"/>
      <c r="BX525" s="17"/>
      <c r="BY525" s="17"/>
      <c r="BZ525" s="17"/>
      <c r="CA525" s="17"/>
      <c r="CB525" s="17"/>
      <c r="CC525" s="17"/>
      <c r="CD525" s="17"/>
      <c r="CE525" s="17"/>
    </row>
    <row r="526" spans="1:83" x14ac:dyDescent="0.25">
      <c r="A526" s="31"/>
      <c r="B526" s="30"/>
      <c r="C526" s="30"/>
      <c r="D526" s="35"/>
      <c r="E526" s="35"/>
      <c r="F526" s="35"/>
      <c r="G526" s="35"/>
      <c r="H526" s="35"/>
      <c r="I526" s="35"/>
      <c r="J526" s="35"/>
      <c r="K526" s="35"/>
      <c r="BW526" s="17"/>
      <c r="BX526" s="17"/>
      <c r="BY526" s="17"/>
      <c r="BZ526" s="17"/>
      <c r="CA526" s="17"/>
      <c r="CB526" s="17"/>
      <c r="CC526" s="17"/>
      <c r="CD526" s="17"/>
      <c r="CE526" s="17"/>
    </row>
    <row r="527" spans="1:83" x14ac:dyDescent="0.25">
      <c r="A527" s="31"/>
      <c r="B527" s="30"/>
      <c r="C527" s="30"/>
      <c r="D527" s="35"/>
      <c r="E527" s="35"/>
      <c r="F527" s="35"/>
      <c r="G527" s="35"/>
      <c r="H527" s="35"/>
      <c r="I527" s="35"/>
      <c r="J527" s="35"/>
      <c r="K527" s="35"/>
      <c r="BW527" s="17"/>
      <c r="BX527" s="17"/>
      <c r="BY527" s="17"/>
      <c r="BZ527" s="17"/>
      <c r="CA527" s="17"/>
      <c r="CB527" s="17"/>
      <c r="CC527" s="17"/>
      <c r="CD527" s="17"/>
      <c r="CE527" s="17"/>
    </row>
    <row r="528" spans="1:83" x14ac:dyDescent="0.25">
      <c r="A528" s="31"/>
      <c r="B528" s="30"/>
      <c r="C528" s="30"/>
      <c r="D528" s="35"/>
      <c r="E528" s="35"/>
      <c r="F528" s="35"/>
      <c r="G528" s="35"/>
      <c r="H528" s="35"/>
      <c r="I528" s="35"/>
      <c r="J528" s="35"/>
      <c r="K528" s="35"/>
      <c r="BW528" s="17"/>
      <c r="BX528" s="17"/>
      <c r="BY528" s="17"/>
      <c r="BZ528" s="17"/>
      <c r="CA528" s="17"/>
      <c r="CB528" s="17"/>
      <c r="CC528" s="17"/>
      <c r="CD528" s="17"/>
      <c r="CE528" s="17"/>
    </row>
    <row r="529" spans="1:83" x14ac:dyDescent="0.25">
      <c r="A529" s="31"/>
      <c r="B529" s="30"/>
      <c r="C529" s="30"/>
      <c r="D529" s="35"/>
      <c r="E529" s="35"/>
      <c r="F529" s="35"/>
      <c r="G529" s="35"/>
      <c r="H529" s="35"/>
      <c r="I529" s="35"/>
      <c r="J529" s="35"/>
      <c r="K529" s="35"/>
      <c r="BW529" s="17"/>
      <c r="BX529" s="17"/>
      <c r="BY529" s="17"/>
      <c r="BZ529" s="17"/>
      <c r="CA529" s="17"/>
      <c r="CB529" s="17"/>
      <c r="CC529" s="17"/>
      <c r="CD529" s="17"/>
      <c r="CE529" s="17"/>
    </row>
    <row r="530" spans="1:83" x14ac:dyDescent="0.25">
      <c r="A530" s="31"/>
      <c r="B530" s="30"/>
      <c r="C530" s="30"/>
      <c r="D530" s="35"/>
      <c r="E530" s="35"/>
      <c r="F530" s="35"/>
      <c r="G530" s="35"/>
      <c r="H530" s="35"/>
      <c r="I530" s="35"/>
      <c r="J530" s="35"/>
      <c r="K530" s="35"/>
      <c r="BW530" s="17"/>
      <c r="BX530" s="17"/>
      <c r="BY530" s="17"/>
      <c r="BZ530" s="17"/>
      <c r="CA530" s="17"/>
      <c r="CB530" s="17"/>
      <c r="CC530" s="17"/>
      <c r="CD530" s="17"/>
      <c r="CE530" s="17"/>
    </row>
    <row r="531" spans="1:83" x14ac:dyDescent="0.25">
      <c r="A531" s="31"/>
      <c r="B531" s="30"/>
      <c r="C531" s="30"/>
      <c r="D531" s="35"/>
      <c r="E531" s="35"/>
      <c r="F531" s="35"/>
      <c r="G531" s="35"/>
      <c r="H531" s="35"/>
      <c r="I531" s="35"/>
      <c r="J531" s="35"/>
      <c r="K531" s="35"/>
      <c r="BW531" s="17"/>
      <c r="BX531" s="17"/>
      <c r="BY531" s="17"/>
      <c r="BZ531" s="17"/>
      <c r="CA531" s="17"/>
      <c r="CB531" s="17"/>
      <c r="CC531" s="17"/>
      <c r="CD531" s="17"/>
      <c r="CE531" s="17"/>
    </row>
    <row r="532" spans="1:83" x14ac:dyDescent="0.25">
      <c r="A532" s="31"/>
      <c r="B532" s="30"/>
      <c r="C532" s="30"/>
      <c r="D532" s="35"/>
      <c r="E532" s="35"/>
      <c r="F532" s="35"/>
      <c r="G532" s="35"/>
      <c r="H532" s="35"/>
      <c r="I532" s="35"/>
      <c r="J532" s="35"/>
      <c r="K532" s="35"/>
      <c r="BW532" s="17"/>
      <c r="BX532" s="17"/>
      <c r="BY532" s="17"/>
      <c r="BZ532" s="17"/>
      <c r="CA532" s="17"/>
      <c r="CB532" s="17"/>
      <c r="CC532" s="17"/>
      <c r="CD532" s="17"/>
      <c r="CE532" s="17"/>
    </row>
    <row r="533" spans="1:83" x14ac:dyDescent="0.25">
      <c r="A533" s="31"/>
      <c r="B533" s="30"/>
      <c r="C533" s="30"/>
      <c r="D533" s="35"/>
      <c r="E533" s="35"/>
      <c r="F533" s="35"/>
      <c r="G533" s="35"/>
      <c r="H533" s="35"/>
      <c r="I533" s="35"/>
      <c r="J533" s="35"/>
      <c r="K533" s="35"/>
      <c r="BW533" s="17"/>
      <c r="BX533" s="17"/>
      <c r="BY533" s="17"/>
      <c r="BZ533" s="17"/>
      <c r="CA533" s="17"/>
      <c r="CB533" s="17"/>
      <c r="CC533" s="17"/>
      <c r="CD533" s="17"/>
      <c r="CE533" s="17"/>
    </row>
    <row r="534" spans="1:83" x14ac:dyDescent="0.25">
      <c r="A534" s="31"/>
      <c r="B534" s="30"/>
      <c r="C534" s="30"/>
      <c r="D534" s="35"/>
      <c r="E534" s="35"/>
      <c r="F534" s="35"/>
      <c r="G534" s="35"/>
      <c r="H534" s="35"/>
      <c r="I534" s="35"/>
      <c r="J534" s="35"/>
      <c r="K534" s="35"/>
      <c r="BW534" s="17"/>
      <c r="BX534" s="17"/>
      <c r="BY534" s="17"/>
      <c r="BZ534" s="17"/>
      <c r="CA534" s="17"/>
      <c r="CB534" s="17"/>
      <c r="CC534" s="17"/>
      <c r="CD534" s="17"/>
      <c r="CE534" s="17"/>
    </row>
    <row r="535" spans="1:83" x14ac:dyDescent="0.25">
      <c r="A535" s="31"/>
      <c r="B535" s="30"/>
      <c r="C535" s="30"/>
      <c r="D535" s="35"/>
      <c r="E535" s="35"/>
      <c r="F535" s="35"/>
      <c r="G535" s="35"/>
      <c r="H535" s="35"/>
      <c r="I535" s="35"/>
      <c r="J535" s="35"/>
      <c r="K535" s="35"/>
      <c r="BW535" s="17"/>
      <c r="BX535" s="17"/>
      <c r="BY535" s="17"/>
      <c r="BZ535" s="17"/>
      <c r="CA535" s="17"/>
      <c r="CB535" s="17"/>
      <c r="CC535" s="17"/>
      <c r="CD535" s="17"/>
      <c r="CE535" s="17"/>
    </row>
    <row r="536" spans="1:83" x14ac:dyDescent="0.25">
      <c r="A536" s="31"/>
      <c r="B536" s="30"/>
      <c r="C536" s="30"/>
      <c r="D536" s="35"/>
      <c r="E536" s="35"/>
      <c r="F536" s="35"/>
      <c r="G536" s="35"/>
      <c r="H536" s="35"/>
      <c r="I536" s="35"/>
      <c r="J536" s="35"/>
      <c r="K536" s="35"/>
      <c r="BW536" s="17"/>
      <c r="BX536" s="17"/>
      <c r="BY536" s="17"/>
      <c r="BZ536" s="17"/>
      <c r="CA536" s="17"/>
      <c r="CB536" s="17"/>
      <c r="CC536" s="17"/>
      <c r="CD536" s="17"/>
      <c r="CE536" s="17"/>
    </row>
    <row r="537" spans="1:83" x14ac:dyDescent="0.25">
      <c r="A537" s="31"/>
      <c r="B537" s="30"/>
      <c r="C537" s="30"/>
      <c r="D537" s="35"/>
      <c r="E537" s="35"/>
      <c r="F537" s="35"/>
      <c r="G537" s="35"/>
      <c r="H537" s="35"/>
      <c r="I537" s="35"/>
      <c r="J537" s="35"/>
      <c r="K537" s="35"/>
      <c r="BW537" s="17"/>
      <c r="BX537" s="17"/>
      <c r="BY537" s="17"/>
      <c r="BZ537" s="17"/>
      <c r="CA537" s="17"/>
      <c r="CB537" s="17"/>
      <c r="CC537" s="17"/>
      <c r="CD537" s="17"/>
      <c r="CE537" s="17"/>
    </row>
    <row r="538" spans="1:83" x14ac:dyDescent="0.25">
      <c r="A538" s="31"/>
      <c r="B538" s="30"/>
      <c r="C538" s="30"/>
      <c r="D538" s="35"/>
      <c r="E538" s="35"/>
      <c r="F538" s="35"/>
      <c r="G538" s="35"/>
      <c r="H538" s="35"/>
      <c r="I538" s="35"/>
      <c r="J538" s="35"/>
      <c r="K538" s="35"/>
      <c r="BW538" s="17"/>
      <c r="BX538" s="17"/>
      <c r="BY538" s="17"/>
      <c r="BZ538" s="17"/>
      <c r="CA538" s="17"/>
      <c r="CB538" s="17"/>
      <c r="CC538" s="17"/>
      <c r="CD538" s="17"/>
      <c r="CE538" s="17"/>
    </row>
    <row r="539" spans="1:83" x14ac:dyDescent="0.25">
      <c r="A539" s="31"/>
      <c r="B539" s="30"/>
      <c r="C539" s="30"/>
      <c r="D539" s="35"/>
      <c r="E539" s="35"/>
      <c r="F539" s="35"/>
      <c r="G539" s="35"/>
      <c r="H539" s="35"/>
      <c r="I539" s="35"/>
      <c r="J539" s="35"/>
      <c r="K539" s="35"/>
      <c r="BW539" s="17"/>
      <c r="BX539" s="17"/>
      <c r="BY539" s="17"/>
      <c r="BZ539" s="17"/>
      <c r="CA539" s="17"/>
      <c r="CB539" s="17"/>
      <c r="CC539" s="17"/>
      <c r="CD539" s="17"/>
      <c r="CE539" s="17"/>
    </row>
    <row r="540" spans="1:83" x14ac:dyDescent="0.25">
      <c r="A540" s="31"/>
      <c r="B540" s="30"/>
      <c r="C540" s="30"/>
      <c r="D540" s="35"/>
      <c r="E540" s="35"/>
      <c r="F540" s="35"/>
      <c r="G540" s="35"/>
      <c r="H540" s="35"/>
      <c r="I540" s="35"/>
      <c r="J540" s="35"/>
      <c r="K540" s="35"/>
      <c r="BW540" s="17"/>
      <c r="BX540" s="17"/>
      <c r="BY540" s="17"/>
      <c r="BZ540" s="17"/>
      <c r="CA540" s="17"/>
      <c r="CB540" s="17"/>
      <c r="CC540" s="17"/>
      <c r="CD540" s="17"/>
      <c r="CE540" s="17"/>
    </row>
    <row r="541" spans="1:83" x14ac:dyDescent="0.25">
      <c r="A541" s="31"/>
      <c r="B541" s="30"/>
      <c r="C541" s="30"/>
      <c r="D541" s="35"/>
      <c r="E541" s="35"/>
      <c r="F541" s="35"/>
      <c r="G541" s="35"/>
      <c r="H541" s="35"/>
      <c r="I541" s="35"/>
      <c r="J541" s="35"/>
      <c r="K541" s="35"/>
      <c r="BW541" s="17"/>
      <c r="BX541" s="17"/>
      <c r="BY541" s="17"/>
      <c r="BZ541" s="17"/>
      <c r="CA541" s="17"/>
      <c r="CB541" s="17"/>
      <c r="CC541" s="17"/>
      <c r="CD541" s="17"/>
      <c r="CE541" s="17"/>
    </row>
    <row r="542" spans="1:83" x14ac:dyDescent="0.25">
      <c r="A542" s="31"/>
      <c r="B542" s="30"/>
      <c r="C542" s="30"/>
      <c r="D542" s="35"/>
      <c r="E542" s="35"/>
      <c r="F542" s="35"/>
      <c r="G542" s="35"/>
      <c r="H542" s="35"/>
      <c r="I542" s="35"/>
      <c r="J542" s="35"/>
      <c r="K542" s="35"/>
      <c r="BW542" s="17"/>
      <c r="BX542" s="17"/>
      <c r="BY542" s="17"/>
      <c r="BZ542" s="17"/>
      <c r="CA542" s="17"/>
      <c r="CB542" s="17"/>
      <c r="CC542" s="17"/>
      <c r="CD542" s="17"/>
      <c r="CE542" s="17"/>
    </row>
    <row r="543" spans="1:83" x14ac:dyDescent="0.25">
      <c r="A543" s="31"/>
      <c r="B543" s="30"/>
      <c r="C543" s="30"/>
      <c r="D543" s="35"/>
      <c r="E543" s="35"/>
      <c r="F543" s="35"/>
      <c r="G543" s="35"/>
      <c r="H543" s="35"/>
      <c r="I543" s="35"/>
      <c r="J543" s="35"/>
      <c r="K543" s="35"/>
      <c r="BW543" s="17"/>
      <c r="BX543" s="17"/>
      <c r="BY543" s="17"/>
      <c r="BZ543" s="17"/>
      <c r="CA543" s="17"/>
      <c r="CB543" s="17"/>
      <c r="CC543" s="17"/>
      <c r="CD543" s="17"/>
      <c r="CE543" s="17"/>
    </row>
    <row r="544" spans="1:83" x14ac:dyDescent="0.25">
      <c r="A544" s="31"/>
      <c r="B544" s="30"/>
      <c r="C544" s="30"/>
      <c r="D544" s="35"/>
      <c r="E544" s="35"/>
      <c r="F544" s="35"/>
      <c r="G544" s="35"/>
      <c r="H544" s="35"/>
      <c r="I544" s="35"/>
      <c r="J544" s="35"/>
      <c r="K544" s="35"/>
      <c r="BW544" s="17"/>
      <c r="BX544" s="17"/>
      <c r="BY544" s="17"/>
      <c r="BZ544" s="17"/>
      <c r="CA544" s="17"/>
      <c r="CB544" s="17"/>
      <c r="CC544" s="17"/>
      <c r="CD544" s="17"/>
      <c r="CE544" s="17"/>
    </row>
    <row r="545" spans="1:83" x14ac:dyDescent="0.25">
      <c r="A545" s="31"/>
      <c r="B545" s="30"/>
      <c r="C545" s="30"/>
      <c r="D545" s="35"/>
      <c r="E545" s="35"/>
      <c r="F545" s="35"/>
      <c r="G545" s="35"/>
      <c r="H545" s="35"/>
      <c r="I545" s="35"/>
      <c r="J545" s="35"/>
      <c r="K545" s="35"/>
      <c r="BW545" s="17"/>
      <c r="BX545" s="17"/>
      <c r="BY545" s="17"/>
      <c r="BZ545" s="17"/>
      <c r="CA545" s="17"/>
      <c r="CB545" s="17"/>
      <c r="CC545" s="17"/>
      <c r="CD545" s="17"/>
      <c r="CE545" s="17"/>
    </row>
    <row r="546" spans="1:83" x14ac:dyDescent="0.25">
      <c r="A546" s="31"/>
      <c r="B546" s="30"/>
      <c r="C546" s="30"/>
      <c r="D546" s="35"/>
      <c r="E546" s="35"/>
      <c r="F546" s="35"/>
      <c r="G546" s="35"/>
      <c r="H546" s="35"/>
      <c r="I546" s="35"/>
      <c r="J546" s="35"/>
      <c r="K546" s="35"/>
      <c r="BW546" s="17"/>
      <c r="BX546" s="17"/>
      <c r="BY546" s="17"/>
      <c r="BZ546" s="17"/>
      <c r="CA546" s="17"/>
      <c r="CB546" s="17"/>
      <c r="CC546" s="17"/>
      <c r="CD546" s="17"/>
      <c r="CE546" s="17"/>
    </row>
    <row r="547" spans="1:83" x14ac:dyDescent="0.25">
      <c r="A547" s="31"/>
      <c r="B547" s="30"/>
      <c r="C547" s="30"/>
      <c r="D547" s="35"/>
      <c r="E547" s="35"/>
      <c r="F547" s="35"/>
      <c r="G547" s="35"/>
      <c r="H547" s="35"/>
      <c r="I547" s="35"/>
      <c r="J547" s="35"/>
      <c r="K547" s="35"/>
      <c r="BW547" s="17"/>
      <c r="BX547" s="17"/>
      <c r="BY547" s="17"/>
      <c r="BZ547" s="17"/>
      <c r="CA547" s="17"/>
      <c r="CB547" s="17"/>
      <c r="CC547" s="17"/>
      <c r="CD547" s="17"/>
      <c r="CE547" s="17"/>
    </row>
    <row r="548" spans="1:83" x14ac:dyDescent="0.25">
      <c r="A548" s="31"/>
      <c r="B548" s="30"/>
      <c r="C548" s="30"/>
      <c r="D548" s="35"/>
      <c r="E548" s="35"/>
      <c r="F548" s="35"/>
      <c r="G548" s="35"/>
      <c r="H548" s="35"/>
      <c r="I548" s="35"/>
      <c r="J548" s="35"/>
      <c r="K548" s="35"/>
      <c r="BW548" s="17"/>
      <c r="BX548" s="17"/>
      <c r="BY548" s="17"/>
      <c r="BZ548" s="17"/>
      <c r="CA548" s="17"/>
      <c r="CB548" s="17"/>
      <c r="CC548" s="17"/>
      <c r="CD548" s="17"/>
      <c r="CE548" s="17"/>
    </row>
    <row r="549" spans="1:83" x14ac:dyDescent="0.25">
      <c r="A549" s="31"/>
      <c r="B549" s="30"/>
      <c r="C549" s="30"/>
      <c r="D549" s="35"/>
      <c r="E549" s="35"/>
      <c r="F549" s="35"/>
      <c r="G549" s="35"/>
      <c r="H549" s="35"/>
      <c r="I549" s="35"/>
      <c r="J549" s="35"/>
      <c r="K549" s="35"/>
      <c r="BW549" s="17"/>
      <c r="BX549" s="17"/>
      <c r="BY549" s="17"/>
      <c r="BZ549" s="17"/>
      <c r="CA549" s="17"/>
      <c r="CB549" s="17"/>
      <c r="CC549" s="17"/>
      <c r="CD549" s="17"/>
      <c r="CE549" s="17"/>
    </row>
    <row r="550" spans="1:83" x14ac:dyDescent="0.25">
      <c r="A550" s="31"/>
      <c r="B550" s="30"/>
      <c r="C550" s="30"/>
      <c r="D550" s="35"/>
      <c r="E550" s="35"/>
      <c r="F550" s="35"/>
      <c r="G550" s="35"/>
      <c r="H550" s="35"/>
      <c r="I550" s="35"/>
      <c r="J550" s="35"/>
      <c r="K550" s="35"/>
      <c r="BW550" s="17"/>
      <c r="BX550" s="17"/>
      <c r="BY550" s="17"/>
      <c r="BZ550" s="17"/>
      <c r="CA550" s="17"/>
      <c r="CB550" s="17"/>
      <c r="CC550" s="17"/>
      <c r="CD550" s="17"/>
      <c r="CE550" s="17"/>
    </row>
    <row r="551" spans="1:83" x14ac:dyDescent="0.25">
      <c r="A551" s="31"/>
      <c r="B551" s="30"/>
      <c r="C551" s="30"/>
      <c r="D551" s="35"/>
      <c r="E551" s="35"/>
      <c r="F551" s="35"/>
      <c r="G551" s="35"/>
      <c r="H551" s="35"/>
      <c r="I551" s="35"/>
      <c r="J551" s="35"/>
      <c r="K551" s="35"/>
      <c r="BW551" s="17"/>
      <c r="BX551" s="17"/>
      <c r="BY551" s="17"/>
      <c r="BZ551" s="17"/>
      <c r="CA551" s="17"/>
      <c r="CB551" s="17"/>
      <c r="CC551" s="17"/>
      <c r="CD551" s="17"/>
      <c r="CE551" s="17"/>
    </row>
    <row r="552" spans="1:83" x14ac:dyDescent="0.25">
      <c r="A552" s="31"/>
      <c r="B552" s="30"/>
      <c r="C552" s="30"/>
      <c r="D552" s="35"/>
      <c r="E552" s="35"/>
      <c r="F552" s="35"/>
      <c r="G552" s="35"/>
      <c r="H552" s="35"/>
      <c r="I552" s="35"/>
      <c r="J552" s="35"/>
      <c r="K552" s="35"/>
      <c r="BW552" s="17"/>
      <c r="BX552" s="17"/>
      <c r="BY552" s="17"/>
      <c r="BZ552" s="17"/>
      <c r="CA552" s="17"/>
      <c r="CB552" s="17"/>
      <c r="CC552" s="17"/>
      <c r="CD552" s="17"/>
      <c r="CE552" s="17"/>
    </row>
    <row r="553" spans="1:83" x14ac:dyDescent="0.25">
      <c r="A553" s="31"/>
      <c r="B553" s="30"/>
      <c r="C553" s="30"/>
      <c r="D553" s="35"/>
      <c r="E553" s="35"/>
      <c r="F553" s="35"/>
      <c r="G553" s="35"/>
      <c r="H553" s="35"/>
      <c r="I553" s="35"/>
      <c r="J553" s="35"/>
      <c r="K553" s="35"/>
      <c r="BW553" s="17"/>
      <c r="BX553" s="17"/>
      <c r="BY553" s="17"/>
      <c r="BZ553" s="17"/>
      <c r="CA553" s="17"/>
      <c r="CB553" s="17"/>
      <c r="CC553" s="17"/>
      <c r="CD553" s="17"/>
      <c r="CE553" s="17"/>
    </row>
    <row r="554" spans="1:83" x14ac:dyDescent="0.25">
      <c r="A554" s="31"/>
      <c r="B554" s="30"/>
      <c r="C554" s="30"/>
      <c r="D554" s="35"/>
      <c r="E554" s="35"/>
      <c r="F554" s="35"/>
      <c r="G554" s="35"/>
      <c r="H554" s="35"/>
      <c r="I554" s="35"/>
      <c r="J554" s="35"/>
      <c r="K554" s="35"/>
      <c r="BW554" s="17"/>
      <c r="BX554" s="17"/>
      <c r="BY554" s="17"/>
      <c r="BZ554" s="17"/>
      <c r="CA554" s="17"/>
      <c r="CB554" s="17"/>
      <c r="CC554" s="17"/>
      <c r="CD554" s="17"/>
      <c r="CE554" s="17"/>
    </row>
    <row r="555" spans="1:83" x14ac:dyDescent="0.25">
      <c r="A555" s="31"/>
      <c r="B555" s="30"/>
      <c r="C555" s="30"/>
      <c r="D555" s="35"/>
      <c r="E555" s="35"/>
      <c r="F555" s="35"/>
      <c r="G555" s="35"/>
      <c r="H555" s="35"/>
      <c r="I555" s="35"/>
      <c r="J555" s="35"/>
      <c r="K555" s="35"/>
      <c r="BW555" s="17"/>
      <c r="BX555" s="17"/>
      <c r="BY555" s="17"/>
      <c r="BZ555" s="17"/>
      <c r="CA555" s="17"/>
      <c r="CB555" s="17"/>
      <c r="CC555" s="17"/>
      <c r="CD555" s="17"/>
      <c r="CE555" s="17"/>
    </row>
    <row r="556" spans="1:83" x14ac:dyDescent="0.25">
      <c r="A556" s="31"/>
      <c r="B556" s="30"/>
      <c r="C556" s="30"/>
      <c r="D556" s="35"/>
      <c r="E556" s="35"/>
      <c r="F556" s="35"/>
      <c r="G556" s="35"/>
      <c r="H556" s="35"/>
      <c r="I556" s="35"/>
      <c r="J556" s="35"/>
      <c r="K556" s="35"/>
      <c r="BW556" s="17"/>
      <c r="BX556" s="17"/>
      <c r="BY556" s="17"/>
      <c r="BZ556" s="17"/>
      <c r="CA556" s="17"/>
      <c r="CB556" s="17"/>
      <c r="CC556" s="17"/>
      <c r="CD556" s="17"/>
      <c r="CE556" s="17"/>
    </row>
    <row r="557" spans="1:83" x14ac:dyDescent="0.25">
      <c r="A557" s="31"/>
      <c r="B557" s="30"/>
      <c r="C557" s="30"/>
      <c r="D557" s="35"/>
      <c r="E557" s="35"/>
      <c r="F557" s="35"/>
      <c r="G557" s="35"/>
      <c r="H557" s="35"/>
      <c r="I557" s="35"/>
      <c r="J557" s="35"/>
      <c r="K557" s="35"/>
      <c r="BW557" s="17"/>
      <c r="BX557" s="17"/>
      <c r="BY557" s="17"/>
      <c r="BZ557" s="17"/>
      <c r="CA557" s="17"/>
      <c r="CB557" s="17"/>
      <c r="CC557" s="17"/>
      <c r="CD557" s="17"/>
      <c r="CE557" s="17"/>
    </row>
    <row r="558" spans="1:83" x14ac:dyDescent="0.25">
      <c r="A558" s="31"/>
      <c r="B558" s="30"/>
      <c r="C558" s="30"/>
      <c r="D558" s="35"/>
      <c r="E558" s="35"/>
      <c r="F558" s="35"/>
      <c r="G558" s="35"/>
      <c r="H558" s="35"/>
      <c r="I558" s="35"/>
      <c r="J558" s="35"/>
      <c r="K558" s="35"/>
      <c r="BW558" s="17"/>
      <c r="BX558" s="17"/>
      <c r="BY558" s="17"/>
      <c r="BZ558" s="17"/>
      <c r="CA558" s="17"/>
      <c r="CB558" s="17"/>
      <c r="CC558" s="17"/>
      <c r="CD558" s="17"/>
      <c r="CE558" s="17"/>
    </row>
    <row r="559" spans="1:83" x14ac:dyDescent="0.25">
      <c r="A559" s="31"/>
      <c r="B559" s="30"/>
      <c r="C559" s="30"/>
      <c r="D559" s="35"/>
      <c r="E559" s="35"/>
      <c r="F559" s="35"/>
      <c r="G559" s="35"/>
      <c r="H559" s="35"/>
      <c r="I559" s="35"/>
      <c r="J559" s="35"/>
      <c r="K559" s="35"/>
      <c r="BW559" s="17"/>
      <c r="BX559" s="17"/>
      <c r="BY559" s="17"/>
      <c r="BZ559" s="17"/>
      <c r="CA559" s="17"/>
      <c r="CB559" s="17"/>
      <c r="CC559" s="17"/>
      <c r="CD559" s="17"/>
      <c r="CE559" s="17"/>
    </row>
    <row r="560" spans="1:83" x14ac:dyDescent="0.25">
      <c r="A560" s="31"/>
      <c r="B560" s="30"/>
      <c r="C560" s="30"/>
      <c r="D560" s="35"/>
      <c r="E560" s="35"/>
      <c r="F560" s="35"/>
      <c r="G560" s="35"/>
      <c r="H560" s="35"/>
      <c r="I560" s="35"/>
      <c r="J560" s="35"/>
      <c r="K560" s="35"/>
      <c r="BW560" s="17"/>
      <c r="BX560" s="17"/>
      <c r="BY560" s="17"/>
      <c r="BZ560" s="17"/>
      <c r="CA560" s="17"/>
      <c r="CB560" s="17"/>
      <c r="CC560" s="17"/>
      <c r="CD560" s="17"/>
      <c r="CE560" s="17"/>
    </row>
    <row r="561" spans="1:83" x14ac:dyDescent="0.25">
      <c r="A561" s="31"/>
      <c r="B561" s="30"/>
      <c r="C561" s="30"/>
      <c r="D561" s="35"/>
      <c r="E561" s="35"/>
      <c r="F561" s="35"/>
      <c r="G561" s="35"/>
      <c r="H561" s="35"/>
      <c r="I561" s="35"/>
      <c r="J561" s="35"/>
      <c r="K561" s="35"/>
      <c r="BW561" s="17"/>
      <c r="BX561" s="17"/>
      <c r="BY561" s="17"/>
      <c r="BZ561" s="17"/>
      <c r="CA561" s="17"/>
      <c r="CB561" s="17"/>
      <c r="CC561" s="17"/>
      <c r="CD561" s="17"/>
      <c r="CE561" s="17"/>
    </row>
    <row r="562" spans="1:83" x14ac:dyDescent="0.25">
      <c r="A562" s="31"/>
      <c r="B562" s="30"/>
      <c r="C562" s="30"/>
      <c r="D562" s="35"/>
      <c r="E562" s="35"/>
      <c r="F562" s="35"/>
      <c r="G562" s="35"/>
      <c r="H562" s="35"/>
      <c r="I562" s="35"/>
      <c r="J562" s="35"/>
      <c r="K562" s="35"/>
      <c r="BW562" s="17"/>
      <c r="BX562" s="17"/>
      <c r="BY562" s="17"/>
      <c r="BZ562" s="17"/>
      <c r="CA562" s="17"/>
      <c r="CB562" s="17"/>
      <c r="CC562" s="17"/>
      <c r="CD562" s="17"/>
      <c r="CE562" s="17"/>
    </row>
    <row r="563" spans="1:83" x14ac:dyDescent="0.25">
      <c r="A563" s="31"/>
      <c r="B563" s="30"/>
      <c r="C563" s="30"/>
      <c r="D563" s="35"/>
      <c r="E563" s="35"/>
      <c r="F563" s="35"/>
      <c r="G563" s="35"/>
      <c r="H563" s="35"/>
      <c r="I563" s="35"/>
      <c r="J563" s="35"/>
      <c r="K563" s="35"/>
      <c r="BW563" s="17"/>
      <c r="BX563" s="17"/>
      <c r="BY563" s="17"/>
      <c r="BZ563" s="17"/>
      <c r="CA563" s="17"/>
      <c r="CB563" s="17"/>
      <c r="CC563" s="17"/>
      <c r="CD563" s="17"/>
      <c r="CE563" s="17"/>
    </row>
    <row r="564" spans="1:83" x14ac:dyDescent="0.25">
      <c r="A564" s="31"/>
      <c r="B564" s="30"/>
      <c r="C564" s="30"/>
      <c r="D564" s="35"/>
      <c r="E564" s="35"/>
      <c r="F564" s="35"/>
      <c r="G564" s="35"/>
      <c r="H564" s="35"/>
      <c r="I564" s="35"/>
      <c r="J564" s="35"/>
      <c r="K564" s="35"/>
      <c r="BW564" s="17"/>
      <c r="BX564" s="17"/>
      <c r="BY564" s="17"/>
      <c r="BZ564" s="17"/>
      <c r="CA564" s="17"/>
      <c r="CB564" s="17"/>
      <c r="CC564" s="17"/>
      <c r="CD564" s="17"/>
      <c r="CE564" s="17"/>
    </row>
    <row r="565" spans="1:83" x14ac:dyDescent="0.25">
      <c r="A565" s="31"/>
      <c r="B565" s="30"/>
      <c r="C565" s="30"/>
      <c r="D565" s="35"/>
      <c r="E565" s="35"/>
      <c r="F565" s="35"/>
      <c r="G565" s="35"/>
      <c r="H565" s="35"/>
      <c r="I565" s="35"/>
      <c r="J565" s="35"/>
      <c r="K565" s="35"/>
      <c r="BW565" s="17"/>
      <c r="BX565" s="17"/>
      <c r="BY565" s="17"/>
      <c r="BZ565" s="17"/>
      <c r="CA565" s="17"/>
      <c r="CB565" s="17"/>
      <c r="CC565" s="17"/>
      <c r="CD565" s="17"/>
      <c r="CE565" s="17"/>
    </row>
    <row r="566" spans="1:83" x14ac:dyDescent="0.25">
      <c r="A566" s="31"/>
      <c r="B566" s="30"/>
      <c r="C566" s="30"/>
      <c r="D566" s="35"/>
      <c r="E566" s="35"/>
      <c r="F566" s="35"/>
      <c r="G566" s="35"/>
      <c r="H566" s="35"/>
      <c r="I566" s="35"/>
      <c r="J566" s="35"/>
      <c r="K566" s="35"/>
      <c r="BW566" s="17"/>
      <c r="BX566" s="17"/>
      <c r="BY566" s="17"/>
      <c r="BZ566" s="17"/>
      <c r="CA566" s="17"/>
      <c r="CB566" s="17"/>
      <c r="CC566" s="17"/>
      <c r="CD566" s="17"/>
      <c r="CE566" s="17"/>
    </row>
    <row r="567" spans="1:83" x14ac:dyDescent="0.25">
      <c r="A567" s="31"/>
      <c r="B567" s="30"/>
      <c r="C567" s="30"/>
      <c r="D567" s="35"/>
      <c r="E567" s="35"/>
      <c r="F567" s="35"/>
      <c r="G567" s="35"/>
      <c r="H567" s="35"/>
      <c r="I567" s="35"/>
      <c r="J567" s="35"/>
      <c r="K567" s="35"/>
      <c r="BW567" s="17"/>
      <c r="BX567" s="17"/>
      <c r="BY567" s="17"/>
      <c r="BZ567" s="17"/>
      <c r="CA567" s="17"/>
      <c r="CB567" s="17"/>
      <c r="CC567" s="17"/>
      <c r="CD567" s="17"/>
      <c r="CE567" s="17"/>
    </row>
    <row r="568" spans="1:83" x14ac:dyDescent="0.25">
      <c r="A568" s="31"/>
      <c r="B568" s="30"/>
      <c r="C568" s="30"/>
      <c r="D568" s="35"/>
      <c r="E568" s="35"/>
      <c r="F568" s="35"/>
      <c r="G568" s="35"/>
      <c r="H568" s="35"/>
      <c r="I568" s="35"/>
      <c r="J568" s="35"/>
      <c r="K568" s="35"/>
      <c r="BW568" s="17"/>
      <c r="BX568" s="17"/>
      <c r="BY568" s="17"/>
      <c r="BZ568" s="17"/>
      <c r="CA568" s="17"/>
      <c r="CB568" s="17"/>
      <c r="CC568" s="17"/>
      <c r="CD568" s="17"/>
      <c r="CE568" s="17"/>
    </row>
    <row r="569" spans="1:83" x14ac:dyDescent="0.25">
      <c r="A569" s="31"/>
      <c r="B569" s="30"/>
      <c r="C569" s="30"/>
      <c r="D569" s="35"/>
      <c r="E569" s="35"/>
      <c r="F569" s="35"/>
      <c r="G569" s="35"/>
      <c r="H569" s="35"/>
      <c r="I569" s="35"/>
      <c r="J569" s="35"/>
      <c r="K569" s="35"/>
      <c r="BW569" s="17"/>
      <c r="BX569" s="17"/>
      <c r="BY569" s="17"/>
      <c r="BZ569" s="17"/>
      <c r="CA569" s="17"/>
      <c r="CB569" s="17"/>
      <c r="CC569" s="17"/>
      <c r="CD569" s="17"/>
      <c r="CE569" s="17"/>
    </row>
    <row r="570" spans="1:83" x14ac:dyDescent="0.25">
      <c r="A570" s="31"/>
      <c r="B570" s="30"/>
      <c r="C570" s="30"/>
      <c r="D570" s="35"/>
      <c r="E570" s="35"/>
      <c r="F570" s="35"/>
      <c r="G570" s="35"/>
      <c r="H570" s="35"/>
      <c r="I570" s="35"/>
      <c r="J570" s="35"/>
      <c r="K570" s="35"/>
      <c r="BW570" s="17"/>
      <c r="BX570" s="17"/>
      <c r="BY570" s="17"/>
      <c r="BZ570" s="17"/>
      <c r="CA570" s="17"/>
      <c r="CB570" s="17"/>
      <c r="CC570" s="17"/>
      <c r="CD570" s="17"/>
      <c r="CE570" s="17"/>
    </row>
    <row r="571" spans="1:83" x14ac:dyDescent="0.25">
      <c r="A571" s="31"/>
      <c r="B571" s="30"/>
      <c r="C571" s="30"/>
      <c r="D571" s="35"/>
      <c r="E571" s="35"/>
      <c r="F571" s="35"/>
      <c r="G571" s="35"/>
      <c r="H571" s="35"/>
      <c r="I571" s="35"/>
      <c r="J571" s="35"/>
      <c r="K571" s="35"/>
      <c r="BW571" s="17"/>
      <c r="BX571" s="17"/>
      <c r="BY571" s="17"/>
      <c r="BZ571" s="17"/>
      <c r="CA571" s="17"/>
      <c r="CB571" s="17"/>
      <c r="CC571" s="17"/>
      <c r="CD571" s="17"/>
      <c r="CE571" s="17"/>
    </row>
    <row r="572" spans="1:83" x14ac:dyDescent="0.25">
      <c r="A572" s="31"/>
      <c r="B572" s="30"/>
      <c r="C572" s="30"/>
      <c r="D572" s="35"/>
      <c r="E572" s="35"/>
      <c r="F572" s="35"/>
      <c r="G572" s="35"/>
      <c r="H572" s="35"/>
      <c r="I572" s="35"/>
      <c r="J572" s="35"/>
      <c r="K572" s="35"/>
      <c r="BW572" s="17"/>
      <c r="BX572" s="17"/>
      <c r="BY572" s="17"/>
      <c r="BZ572" s="17"/>
      <c r="CA572" s="17"/>
      <c r="CB572" s="17"/>
      <c r="CC572" s="17"/>
      <c r="CD572" s="17"/>
      <c r="CE572" s="17"/>
    </row>
    <row r="573" spans="1:83" x14ac:dyDescent="0.25">
      <c r="A573" s="31"/>
      <c r="B573" s="30"/>
      <c r="C573" s="30"/>
      <c r="D573" s="35"/>
      <c r="E573" s="35"/>
      <c r="F573" s="35"/>
      <c r="G573" s="35"/>
      <c r="H573" s="35"/>
      <c r="I573" s="35"/>
      <c r="J573" s="35"/>
      <c r="K573" s="35"/>
      <c r="BW573" s="17"/>
      <c r="BX573" s="17"/>
      <c r="BY573" s="17"/>
      <c r="BZ573" s="17"/>
      <c r="CA573" s="17"/>
      <c r="CB573" s="17"/>
      <c r="CC573" s="17"/>
      <c r="CD573" s="17"/>
      <c r="CE573" s="17"/>
    </row>
    <row r="574" spans="1:83" x14ac:dyDescent="0.25">
      <c r="A574" s="31"/>
      <c r="B574" s="30"/>
      <c r="C574" s="30"/>
      <c r="D574" s="35"/>
      <c r="E574" s="35"/>
      <c r="F574" s="35"/>
      <c r="G574" s="35"/>
      <c r="H574" s="35"/>
      <c r="I574" s="35"/>
      <c r="J574" s="35"/>
      <c r="K574" s="35"/>
      <c r="BW574" s="17"/>
      <c r="BX574" s="17"/>
      <c r="BY574" s="17"/>
      <c r="BZ574" s="17"/>
      <c r="CA574" s="17"/>
      <c r="CB574" s="17"/>
      <c r="CC574" s="17"/>
      <c r="CD574" s="17"/>
      <c r="CE574" s="17"/>
    </row>
    <row r="575" spans="1:83" x14ac:dyDescent="0.25">
      <c r="A575" s="31"/>
      <c r="B575" s="30"/>
      <c r="C575" s="30"/>
      <c r="D575" s="35"/>
      <c r="E575" s="35"/>
      <c r="F575" s="35"/>
      <c r="G575" s="35"/>
      <c r="H575" s="35"/>
      <c r="I575" s="35"/>
      <c r="J575" s="35"/>
      <c r="K575" s="35"/>
      <c r="BW575" s="17"/>
      <c r="BX575" s="17"/>
      <c r="BY575" s="17"/>
      <c r="BZ575" s="17"/>
      <c r="CA575" s="17"/>
      <c r="CB575" s="17"/>
      <c r="CC575" s="17"/>
      <c r="CD575" s="17"/>
      <c r="CE575" s="17"/>
    </row>
    <row r="576" spans="1:83" x14ac:dyDescent="0.25">
      <c r="A576" s="31"/>
      <c r="B576" s="30"/>
      <c r="C576" s="30"/>
      <c r="D576" s="35"/>
      <c r="E576" s="35"/>
      <c r="F576" s="35"/>
      <c r="G576" s="35"/>
      <c r="H576" s="35"/>
      <c r="I576" s="35"/>
      <c r="J576" s="35"/>
      <c r="K576" s="35"/>
      <c r="BW576" s="17"/>
      <c r="BX576" s="17"/>
      <c r="BY576" s="17"/>
      <c r="BZ576" s="17"/>
      <c r="CA576" s="17"/>
      <c r="CB576" s="17"/>
      <c r="CC576" s="17"/>
      <c r="CD576" s="17"/>
      <c r="CE576" s="17"/>
    </row>
    <row r="577" spans="1:83" x14ac:dyDescent="0.25">
      <c r="A577" s="31"/>
      <c r="B577" s="30"/>
      <c r="C577" s="30"/>
      <c r="D577" s="35"/>
      <c r="E577" s="35"/>
      <c r="F577" s="35"/>
      <c r="G577" s="35"/>
      <c r="H577" s="35"/>
      <c r="I577" s="35"/>
      <c r="J577" s="35"/>
      <c r="K577" s="35"/>
      <c r="BW577" s="17"/>
      <c r="BX577" s="17"/>
      <c r="BY577" s="17"/>
      <c r="BZ577" s="17"/>
      <c r="CA577" s="17"/>
      <c r="CB577" s="17"/>
      <c r="CC577" s="17"/>
      <c r="CD577" s="17"/>
      <c r="CE577" s="17"/>
    </row>
    <row r="578" spans="1:83" x14ac:dyDescent="0.25">
      <c r="A578" s="31"/>
      <c r="B578" s="30"/>
      <c r="C578" s="30"/>
      <c r="D578" s="35"/>
      <c r="E578" s="35"/>
      <c r="F578" s="35"/>
      <c r="G578" s="35"/>
      <c r="H578" s="35"/>
      <c r="I578" s="35"/>
      <c r="J578" s="35"/>
      <c r="K578" s="35"/>
      <c r="BW578" s="17"/>
      <c r="BX578" s="17"/>
      <c r="BY578" s="17"/>
      <c r="BZ578" s="17"/>
      <c r="CA578" s="17"/>
      <c r="CB578" s="17"/>
      <c r="CC578" s="17"/>
      <c r="CD578" s="17"/>
      <c r="CE578" s="17"/>
    </row>
    <row r="579" spans="1:83" x14ac:dyDescent="0.25">
      <c r="A579" s="31"/>
      <c r="B579" s="30"/>
      <c r="C579" s="30"/>
      <c r="D579" s="35"/>
      <c r="E579" s="35"/>
      <c r="F579" s="35"/>
      <c r="G579" s="35"/>
      <c r="H579" s="35"/>
      <c r="I579" s="35"/>
      <c r="J579" s="35"/>
      <c r="K579" s="35"/>
      <c r="BW579" s="17"/>
      <c r="BX579" s="17"/>
      <c r="BY579" s="17"/>
      <c r="BZ579" s="17"/>
      <c r="CA579" s="17"/>
      <c r="CB579" s="17"/>
      <c r="CC579" s="17"/>
      <c r="CD579" s="17"/>
      <c r="CE579" s="17"/>
    </row>
    <row r="580" spans="1:83" x14ac:dyDescent="0.25">
      <c r="A580" s="31"/>
      <c r="B580" s="30"/>
      <c r="C580" s="30"/>
      <c r="D580" s="35"/>
      <c r="E580" s="35"/>
      <c r="F580" s="35"/>
      <c r="G580" s="35"/>
      <c r="H580" s="35"/>
      <c r="I580" s="35"/>
      <c r="J580" s="35"/>
      <c r="K580" s="35"/>
      <c r="BW580" s="17"/>
      <c r="BX580" s="17"/>
      <c r="BY580" s="17"/>
      <c r="BZ580" s="17"/>
      <c r="CA580" s="17"/>
      <c r="CB580" s="17"/>
      <c r="CC580" s="17"/>
      <c r="CD580" s="17"/>
      <c r="CE580" s="17"/>
    </row>
    <row r="581" spans="1:83" x14ac:dyDescent="0.25">
      <c r="A581" s="31"/>
      <c r="B581" s="30"/>
      <c r="C581" s="30"/>
      <c r="D581" s="35"/>
      <c r="E581" s="35"/>
      <c r="F581" s="35"/>
      <c r="G581" s="35"/>
      <c r="H581" s="35"/>
      <c r="I581" s="35"/>
      <c r="J581" s="35"/>
      <c r="K581" s="35"/>
      <c r="BW581" s="17"/>
      <c r="BX581" s="17"/>
      <c r="BY581" s="17"/>
      <c r="BZ581" s="17"/>
      <c r="CA581" s="17"/>
      <c r="CB581" s="17"/>
      <c r="CC581" s="17"/>
      <c r="CD581" s="17"/>
      <c r="CE581" s="17"/>
    </row>
    <row r="582" spans="1:83" x14ac:dyDescent="0.25">
      <c r="A582" s="31"/>
      <c r="B582" s="30"/>
      <c r="C582" s="30"/>
      <c r="D582" s="35"/>
      <c r="E582" s="35"/>
      <c r="F582" s="35"/>
      <c r="G582" s="35"/>
      <c r="H582" s="35"/>
      <c r="I582" s="35"/>
      <c r="J582" s="35"/>
      <c r="K582" s="35"/>
      <c r="BW582" s="17"/>
      <c r="BX582" s="17"/>
      <c r="BY582" s="17"/>
      <c r="BZ582" s="17"/>
      <c r="CA582" s="17"/>
      <c r="CB582" s="17"/>
      <c r="CC582" s="17"/>
      <c r="CD582" s="17"/>
      <c r="CE582" s="17"/>
    </row>
    <row r="583" spans="1:83" x14ac:dyDescent="0.25">
      <c r="A583" s="31"/>
      <c r="B583" s="30"/>
      <c r="C583" s="30"/>
      <c r="D583" s="35"/>
      <c r="E583" s="35"/>
      <c r="F583" s="35"/>
      <c r="G583" s="35"/>
      <c r="H583" s="35"/>
      <c r="I583" s="35"/>
      <c r="J583" s="35"/>
      <c r="K583" s="35"/>
      <c r="BW583" s="17"/>
      <c r="BX583" s="17"/>
      <c r="BY583" s="17"/>
      <c r="BZ583" s="17"/>
      <c r="CA583" s="17"/>
      <c r="CB583" s="17"/>
      <c r="CC583" s="17"/>
      <c r="CD583" s="17"/>
      <c r="CE583" s="17"/>
    </row>
    <row r="584" spans="1:83" x14ac:dyDescent="0.25">
      <c r="A584" s="31"/>
      <c r="B584" s="30"/>
      <c r="C584" s="30"/>
      <c r="D584" s="35"/>
      <c r="E584" s="35"/>
      <c r="F584" s="35"/>
      <c r="G584" s="35"/>
      <c r="H584" s="35"/>
      <c r="I584" s="35"/>
      <c r="J584" s="35"/>
      <c r="K584" s="35"/>
      <c r="BW584" s="17"/>
      <c r="BX584" s="17"/>
      <c r="BY584" s="17"/>
      <c r="BZ584" s="17"/>
      <c r="CA584" s="17"/>
      <c r="CB584" s="17"/>
      <c r="CC584" s="17"/>
      <c r="CD584" s="17"/>
      <c r="CE584" s="17"/>
    </row>
    <row r="585" spans="1:83" x14ac:dyDescent="0.25">
      <c r="A585" s="31"/>
      <c r="B585" s="30"/>
      <c r="C585" s="30"/>
      <c r="D585" s="35"/>
      <c r="E585" s="35"/>
      <c r="F585" s="35"/>
      <c r="G585" s="35"/>
      <c r="H585" s="35"/>
      <c r="I585" s="35"/>
      <c r="J585" s="35"/>
      <c r="K585" s="35"/>
      <c r="BW585" s="17"/>
      <c r="BX585" s="17"/>
      <c r="BY585" s="17"/>
      <c r="BZ585" s="17"/>
      <c r="CA585" s="17"/>
      <c r="CB585" s="17"/>
      <c r="CC585" s="17"/>
      <c r="CD585" s="17"/>
      <c r="CE585" s="17"/>
    </row>
    <row r="586" spans="1:83" x14ac:dyDescent="0.25">
      <c r="A586" s="31"/>
      <c r="B586" s="30"/>
      <c r="C586" s="30"/>
      <c r="D586" s="35"/>
      <c r="E586" s="35"/>
      <c r="F586" s="35"/>
      <c r="G586" s="35"/>
      <c r="H586" s="35"/>
      <c r="I586" s="35"/>
      <c r="J586" s="35"/>
      <c r="K586" s="35"/>
      <c r="BW586" s="17"/>
      <c r="BX586" s="17"/>
      <c r="BY586" s="17"/>
      <c r="BZ586" s="17"/>
      <c r="CA586" s="17"/>
      <c r="CB586" s="17"/>
      <c r="CC586" s="17"/>
      <c r="CD586" s="17"/>
      <c r="CE586" s="17"/>
    </row>
    <row r="587" spans="1:83" x14ac:dyDescent="0.25">
      <c r="A587" s="31"/>
      <c r="B587" s="30"/>
      <c r="C587" s="30"/>
      <c r="D587" s="35"/>
      <c r="E587" s="35"/>
      <c r="F587" s="35"/>
      <c r="G587" s="35"/>
      <c r="H587" s="35"/>
      <c r="I587" s="35"/>
      <c r="J587" s="35"/>
      <c r="K587" s="35"/>
      <c r="BW587" s="17"/>
      <c r="BX587" s="17"/>
      <c r="BY587" s="17"/>
      <c r="BZ587" s="17"/>
      <c r="CA587" s="17"/>
      <c r="CB587" s="17"/>
      <c r="CC587" s="17"/>
      <c r="CD587" s="17"/>
      <c r="CE587" s="17"/>
    </row>
    <row r="588" spans="1:83" x14ac:dyDescent="0.25">
      <c r="A588" s="31"/>
      <c r="B588" s="30"/>
      <c r="C588" s="30"/>
      <c r="D588" s="35"/>
      <c r="E588" s="35"/>
      <c r="F588" s="35"/>
      <c r="G588" s="35"/>
      <c r="H588" s="35"/>
      <c r="I588" s="35"/>
      <c r="J588" s="35"/>
      <c r="K588" s="35"/>
      <c r="BW588" s="17"/>
      <c r="BX588" s="17"/>
      <c r="BY588" s="17"/>
      <c r="BZ588" s="17"/>
      <c r="CA588" s="17"/>
      <c r="CB588" s="17"/>
      <c r="CC588" s="17"/>
      <c r="CD588" s="17"/>
      <c r="CE588" s="17"/>
    </row>
    <row r="589" spans="1:83" x14ac:dyDescent="0.25">
      <c r="A589" s="31"/>
      <c r="B589" s="30"/>
      <c r="C589" s="30"/>
      <c r="D589" s="35"/>
      <c r="E589" s="35"/>
      <c r="F589" s="35"/>
      <c r="G589" s="35"/>
      <c r="H589" s="35"/>
      <c r="I589" s="35"/>
      <c r="J589" s="35"/>
      <c r="K589" s="35"/>
      <c r="BW589" s="17"/>
      <c r="BX589" s="17"/>
      <c r="BY589" s="17"/>
      <c r="BZ589" s="17"/>
      <c r="CA589" s="17"/>
      <c r="CB589" s="17"/>
      <c r="CC589" s="17"/>
      <c r="CD589" s="17"/>
      <c r="CE589" s="17"/>
    </row>
    <row r="590" spans="1:83" x14ac:dyDescent="0.25">
      <c r="A590" s="31"/>
      <c r="B590" s="30"/>
      <c r="C590" s="30"/>
      <c r="D590" s="35"/>
      <c r="E590" s="35"/>
      <c r="F590" s="35"/>
      <c r="G590" s="35"/>
      <c r="H590" s="35"/>
      <c r="I590" s="35"/>
      <c r="J590" s="35"/>
      <c r="K590" s="35"/>
      <c r="BW590" s="17"/>
      <c r="BX590" s="17"/>
      <c r="BY590" s="17"/>
      <c r="BZ590" s="17"/>
      <c r="CA590" s="17"/>
      <c r="CB590" s="17"/>
      <c r="CC590" s="17"/>
      <c r="CD590" s="17"/>
      <c r="CE590" s="17"/>
    </row>
    <row r="591" spans="1:83" x14ac:dyDescent="0.25">
      <c r="A591" s="31"/>
      <c r="B591" s="30"/>
      <c r="C591" s="30"/>
      <c r="D591" s="35"/>
      <c r="E591" s="35"/>
      <c r="F591" s="35"/>
      <c r="G591" s="35"/>
      <c r="H591" s="35"/>
      <c r="I591" s="35"/>
      <c r="J591" s="35"/>
      <c r="K591" s="35"/>
      <c r="BW591" s="17"/>
      <c r="BX591" s="17"/>
      <c r="BY591" s="17"/>
      <c r="BZ591" s="17"/>
      <c r="CA591" s="17"/>
      <c r="CB591" s="17"/>
      <c r="CC591" s="17"/>
      <c r="CD591" s="17"/>
      <c r="CE591" s="17"/>
    </row>
    <row r="592" spans="1:83" x14ac:dyDescent="0.25">
      <c r="A592" s="31"/>
      <c r="B592" s="30"/>
      <c r="C592" s="30"/>
      <c r="D592" s="35"/>
      <c r="E592" s="35"/>
      <c r="F592" s="35"/>
      <c r="G592" s="35"/>
      <c r="H592" s="35"/>
      <c r="I592" s="35"/>
      <c r="J592" s="35"/>
      <c r="K592" s="35"/>
      <c r="BW592" s="17"/>
      <c r="BX592" s="17"/>
      <c r="BY592" s="17"/>
      <c r="BZ592" s="17"/>
      <c r="CA592" s="17"/>
      <c r="CB592" s="17"/>
      <c r="CC592" s="17"/>
      <c r="CD592" s="17"/>
      <c r="CE592" s="17"/>
    </row>
    <row r="593" spans="1:83" x14ac:dyDescent="0.25">
      <c r="A593" s="31"/>
      <c r="B593" s="30"/>
      <c r="C593" s="30"/>
      <c r="D593" s="35"/>
      <c r="E593" s="35"/>
      <c r="F593" s="35"/>
      <c r="G593" s="35"/>
      <c r="H593" s="35"/>
      <c r="I593" s="35"/>
      <c r="J593" s="35"/>
      <c r="K593" s="35"/>
      <c r="BW593" s="17"/>
      <c r="BX593" s="17"/>
      <c r="BY593" s="17"/>
      <c r="BZ593" s="17"/>
      <c r="CA593" s="17"/>
      <c r="CB593" s="17"/>
      <c r="CC593" s="17"/>
      <c r="CD593" s="17"/>
      <c r="CE593" s="17"/>
    </row>
    <row r="594" spans="1:83" x14ac:dyDescent="0.25">
      <c r="A594" s="31"/>
      <c r="B594" s="30"/>
      <c r="C594" s="30"/>
      <c r="D594" s="35"/>
      <c r="E594" s="35"/>
      <c r="F594" s="35"/>
      <c r="G594" s="35"/>
      <c r="H594" s="35"/>
      <c r="I594" s="35"/>
      <c r="J594" s="35"/>
      <c r="K594" s="35"/>
      <c r="BW594" s="17"/>
      <c r="BX594" s="17"/>
      <c r="BY594" s="17"/>
      <c r="BZ594" s="17"/>
      <c r="CA594" s="17"/>
      <c r="CB594" s="17"/>
      <c r="CC594" s="17"/>
      <c r="CD594" s="17"/>
      <c r="CE594" s="17"/>
    </row>
    <row r="595" spans="1:83" x14ac:dyDescent="0.25">
      <c r="A595" s="31"/>
      <c r="B595" s="30"/>
      <c r="C595" s="30"/>
      <c r="D595" s="35"/>
      <c r="E595" s="35"/>
      <c r="F595" s="35"/>
      <c r="G595" s="35"/>
      <c r="H595" s="35"/>
      <c r="I595" s="35"/>
      <c r="J595" s="35"/>
      <c r="K595" s="35"/>
      <c r="BW595" s="17"/>
      <c r="BX595" s="17"/>
      <c r="BY595" s="17"/>
      <c r="BZ595" s="17"/>
      <c r="CA595" s="17"/>
      <c r="CB595" s="17"/>
      <c r="CC595" s="17"/>
      <c r="CD595" s="17"/>
      <c r="CE595" s="17"/>
    </row>
    <row r="596" spans="1:83" x14ac:dyDescent="0.25">
      <c r="A596" s="31"/>
      <c r="B596" s="30"/>
      <c r="C596" s="30"/>
      <c r="D596" s="35"/>
      <c r="E596" s="35"/>
      <c r="F596" s="35"/>
      <c r="G596" s="35"/>
      <c r="H596" s="35"/>
      <c r="I596" s="35"/>
      <c r="J596" s="35"/>
      <c r="K596" s="35"/>
      <c r="BW596" s="17"/>
      <c r="BX596" s="17"/>
      <c r="BY596" s="17"/>
      <c r="BZ596" s="17"/>
      <c r="CA596" s="17"/>
      <c r="CB596" s="17"/>
      <c r="CC596" s="17"/>
      <c r="CD596" s="17"/>
      <c r="CE596" s="17"/>
    </row>
    <row r="597" spans="1:83" x14ac:dyDescent="0.25">
      <c r="A597" s="31"/>
      <c r="B597" s="30"/>
      <c r="C597" s="30"/>
      <c r="D597" s="35"/>
      <c r="E597" s="35"/>
      <c r="F597" s="35"/>
      <c r="G597" s="35"/>
      <c r="H597" s="35"/>
      <c r="I597" s="35"/>
      <c r="J597" s="35"/>
      <c r="K597" s="35"/>
      <c r="BW597" s="17"/>
      <c r="BX597" s="17"/>
      <c r="BY597" s="17"/>
      <c r="BZ597" s="17"/>
      <c r="CA597" s="17"/>
      <c r="CB597" s="17"/>
      <c r="CC597" s="17"/>
      <c r="CD597" s="17"/>
      <c r="CE597" s="17"/>
    </row>
    <row r="598" spans="1:83" x14ac:dyDescent="0.25">
      <c r="A598" s="31"/>
      <c r="B598" s="30"/>
      <c r="C598" s="30"/>
      <c r="D598" s="35"/>
      <c r="E598" s="35"/>
      <c r="F598" s="35"/>
      <c r="G598" s="35"/>
      <c r="H598" s="35"/>
      <c r="I598" s="35"/>
      <c r="J598" s="35"/>
      <c r="K598" s="35"/>
      <c r="BW598" s="17"/>
      <c r="BX598" s="17"/>
      <c r="BY598" s="17"/>
      <c r="BZ598" s="17"/>
      <c r="CA598" s="17"/>
      <c r="CB598" s="17"/>
      <c r="CC598" s="17"/>
      <c r="CD598" s="17"/>
      <c r="CE598" s="17"/>
    </row>
    <row r="599" spans="1:83" x14ac:dyDescent="0.25">
      <c r="A599" s="31"/>
      <c r="B599" s="30"/>
      <c r="C599" s="30"/>
      <c r="D599" s="35"/>
      <c r="E599" s="35"/>
      <c r="F599" s="35"/>
      <c r="G599" s="35"/>
      <c r="H599" s="35"/>
      <c r="I599" s="35"/>
      <c r="J599" s="35"/>
      <c r="K599" s="35"/>
      <c r="BW599" s="17"/>
      <c r="BX599" s="17"/>
      <c r="BY599" s="17"/>
      <c r="BZ599" s="17"/>
      <c r="CA599" s="17"/>
      <c r="CB599" s="17"/>
      <c r="CC599" s="17"/>
      <c r="CD599" s="17"/>
      <c r="CE599" s="17"/>
    </row>
    <row r="600" spans="1:83" x14ac:dyDescent="0.25">
      <c r="A600" s="31"/>
      <c r="B600" s="30"/>
      <c r="C600" s="30"/>
      <c r="D600" s="35"/>
      <c r="E600" s="35"/>
      <c r="F600" s="35"/>
      <c r="G600" s="35"/>
      <c r="H600" s="35"/>
      <c r="I600" s="35"/>
      <c r="J600" s="35"/>
      <c r="K600" s="35"/>
      <c r="BW600" s="17"/>
      <c r="BX600" s="17"/>
      <c r="BY600" s="17"/>
      <c r="BZ600" s="17"/>
      <c r="CA600" s="17"/>
      <c r="CB600" s="17"/>
      <c r="CC600" s="17"/>
      <c r="CD600" s="17"/>
      <c r="CE600" s="17"/>
    </row>
    <row r="601" spans="1:83" x14ac:dyDescent="0.25">
      <c r="A601" s="31"/>
      <c r="B601" s="30"/>
      <c r="C601" s="30"/>
      <c r="D601" s="35"/>
      <c r="E601" s="35"/>
      <c r="F601" s="35"/>
      <c r="G601" s="35"/>
      <c r="H601" s="35"/>
      <c r="I601" s="35"/>
      <c r="J601" s="35"/>
      <c r="K601" s="35"/>
      <c r="BW601" s="17"/>
      <c r="BX601" s="17"/>
      <c r="BY601" s="17"/>
      <c r="BZ601" s="17"/>
      <c r="CA601" s="17"/>
      <c r="CB601" s="17"/>
      <c r="CC601" s="17"/>
      <c r="CD601" s="17"/>
      <c r="CE601" s="17"/>
    </row>
    <row r="602" spans="1:83" x14ac:dyDescent="0.25">
      <c r="A602" s="31"/>
      <c r="B602" s="30"/>
      <c r="C602" s="30"/>
      <c r="D602" s="35"/>
      <c r="E602" s="35"/>
      <c r="F602" s="35"/>
      <c r="G602" s="35"/>
      <c r="H602" s="35"/>
      <c r="I602" s="35"/>
      <c r="J602" s="35"/>
      <c r="K602" s="35"/>
      <c r="BW602" s="17"/>
      <c r="BX602" s="17"/>
      <c r="BY602" s="17"/>
      <c r="BZ602" s="17"/>
      <c r="CA602" s="17"/>
      <c r="CB602" s="17"/>
      <c r="CC602" s="17"/>
      <c r="CD602" s="17"/>
      <c r="CE602" s="17"/>
    </row>
    <row r="603" spans="1:83" x14ac:dyDescent="0.25">
      <c r="A603" s="31"/>
      <c r="B603" s="30"/>
      <c r="C603" s="30"/>
      <c r="D603" s="35"/>
      <c r="E603" s="35"/>
      <c r="F603" s="35"/>
      <c r="G603" s="35"/>
      <c r="H603" s="35"/>
      <c r="I603" s="35"/>
      <c r="J603" s="35"/>
      <c r="K603" s="35"/>
      <c r="BW603" s="17"/>
      <c r="BX603" s="17"/>
      <c r="BY603" s="17"/>
      <c r="BZ603" s="17"/>
      <c r="CA603" s="17"/>
      <c r="CB603" s="17"/>
      <c r="CC603" s="17"/>
      <c r="CD603" s="17"/>
      <c r="CE603" s="17"/>
    </row>
    <row r="604" spans="1:83" x14ac:dyDescent="0.25">
      <c r="A604" s="31"/>
      <c r="B604" s="30"/>
      <c r="C604" s="30"/>
      <c r="D604" s="35"/>
      <c r="E604" s="35"/>
      <c r="F604" s="35"/>
      <c r="G604" s="35"/>
      <c r="H604" s="35"/>
      <c r="I604" s="35"/>
      <c r="J604" s="35"/>
      <c r="K604" s="35"/>
      <c r="BW604" s="17"/>
      <c r="BX604" s="17"/>
      <c r="BY604" s="17"/>
      <c r="BZ604" s="17"/>
      <c r="CA604" s="17"/>
      <c r="CB604" s="17"/>
      <c r="CC604" s="17"/>
      <c r="CD604" s="17"/>
      <c r="CE604" s="17"/>
    </row>
    <row r="605" spans="1:83" x14ac:dyDescent="0.25">
      <c r="A605" s="31"/>
      <c r="B605" s="30"/>
      <c r="C605" s="30"/>
      <c r="D605" s="35"/>
      <c r="E605" s="35"/>
      <c r="F605" s="35"/>
      <c r="G605" s="35"/>
      <c r="H605" s="35"/>
      <c r="I605" s="35"/>
      <c r="J605" s="35"/>
      <c r="K605" s="35"/>
      <c r="BW605" s="17"/>
      <c r="BX605" s="17"/>
      <c r="BY605" s="17"/>
      <c r="BZ605" s="17"/>
      <c r="CA605" s="17"/>
      <c r="CB605" s="17"/>
      <c r="CC605" s="17"/>
      <c r="CD605" s="17"/>
      <c r="CE605" s="17"/>
    </row>
    <row r="606" spans="1:83" x14ac:dyDescent="0.25">
      <c r="A606" s="31"/>
      <c r="B606" s="30"/>
      <c r="C606" s="30"/>
      <c r="D606" s="35"/>
      <c r="E606" s="35"/>
      <c r="F606" s="35"/>
      <c r="G606" s="35"/>
      <c r="H606" s="35"/>
      <c r="I606" s="35"/>
      <c r="J606" s="35"/>
      <c r="K606" s="35"/>
      <c r="BW606" s="17"/>
      <c r="BX606" s="17"/>
      <c r="BY606" s="17"/>
      <c r="BZ606" s="17"/>
      <c r="CA606" s="17"/>
      <c r="CB606" s="17"/>
      <c r="CC606" s="17"/>
      <c r="CD606" s="17"/>
      <c r="CE606" s="17"/>
    </row>
    <row r="607" spans="1:83" x14ac:dyDescent="0.25">
      <c r="A607" s="31"/>
      <c r="B607" s="30"/>
      <c r="C607" s="30"/>
      <c r="D607" s="35"/>
      <c r="E607" s="35"/>
      <c r="F607" s="35"/>
      <c r="G607" s="35"/>
      <c r="H607" s="35"/>
      <c r="I607" s="35"/>
      <c r="J607" s="35"/>
      <c r="K607" s="35"/>
      <c r="BW607" s="17"/>
      <c r="BX607" s="17"/>
      <c r="BY607" s="17"/>
      <c r="BZ607" s="17"/>
      <c r="CA607" s="17"/>
      <c r="CB607" s="17"/>
      <c r="CC607" s="17"/>
      <c r="CD607" s="17"/>
      <c r="CE607" s="17"/>
    </row>
    <row r="608" spans="1:83" x14ac:dyDescent="0.25">
      <c r="A608" s="31"/>
      <c r="B608" s="30"/>
      <c r="C608" s="30"/>
      <c r="D608" s="35"/>
      <c r="E608" s="35"/>
      <c r="F608" s="35"/>
      <c r="G608" s="35"/>
      <c r="H608" s="35"/>
      <c r="I608" s="35"/>
      <c r="J608" s="35"/>
      <c r="K608" s="35"/>
      <c r="BW608" s="17"/>
      <c r="BX608" s="17"/>
      <c r="BY608" s="17"/>
      <c r="BZ608" s="17"/>
      <c r="CA608" s="17"/>
      <c r="CB608" s="17"/>
      <c r="CC608" s="17"/>
      <c r="CD608" s="17"/>
      <c r="CE608" s="17"/>
    </row>
    <row r="609" spans="1:83" x14ac:dyDescent="0.25">
      <c r="A609" s="31"/>
      <c r="B609" s="30"/>
      <c r="C609" s="30"/>
      <c r="D609" s="35"/>
      <c r="E609" s="35"/>
      <c r="F609" s="35"/>
      <c r="G609" s="35"/>
      <c r="H609" s="35"/>
      <c r="I609" s="35"/>
      <c r="J609" s="35"/>
      <c r="K609" s="35"/>
      <c r="BW609" s="17"/>
      <c r="BX609" s="17"/>
      <c r="BY609" s="17"/>
      <c r="BZ609" s="17"/>
      <c r="CA609" s="17"/>
      <c r="CB609" s="17"/>
      <c r="CC609" s="17"/>
      <c r="CD609" s="17"/>
      <c r="CE609" s="17"/>
    </row>
    <row r="610" spans="1:83" x14ac:dyDescent="0.25">
      <c r="A610" s="31"/>
      <c r="B610" s="30"/>
      <c r="C610" s="30"/>
      <c r="D610" s="35"/>
      <c r="E610" s="35"/>
      <c r="F610" s="35"/>
      <c r="G610" s="35"/>
      <c r="H610" s="35"/>
      <c r="I610" s="35"/>
      <c r="J610" s="35"/>
      <c r="K610" s="35"/>
      <c r="BW610" s="17"/>
      <c r="BX610" s="17"/>
      <c r="BY610" s="17"/>
      <c r="BZ610" s="17"/>
      <c r="CA610" s="17"/>
      <c r="CB610" s="17"/>
      <c r="CC610" s="17"/>
      <c r="CD610" s="17"/>
      <c r="CE610" s="17"/>
    </row>
    <row r="611" spans="1:83" x14ac:dyDescent="0.25">
      <c r="A611" s="31"/>
      <c r="B611" s="30"/>
      <c r="C611" s="30"/>
      <c r="D611" s="35"/>
      <c r="E611" s="35"/>
      <c r="F611" s="35"/>
      <c r="G611" s="35"/>
      <c r="H611" s="35"/>
      <c r="I611" s="35"/>
      <c r="J611" s="35"/>
      <c r="K611" s="35"/>
      <c r="BW611" s="17"/>
      <c r="BX611" s="17"/>
      <c r="BY611" s="17"/>
      <c r="BZ611" s="17"/>
      <c r="CA611" s="17"/>
      <c r="CB611" s="17"/>
      <c r="CC611" s="17"/>
      <c r="CD611" s="17"/>
      <c r="CE611" s="17"/>
    </row>
    <row r="612" spans="1:83" x14ac:dyDescent="0.25">
      <c r="A612" s="31"/>
      <c r="B612" s="30"/>
      <c r="C612" s="30"/>
      <c r="D612" s="35"/>
      <c r="E612" s="35"/>
      <c r="F612" s="35"/>
      <c r="G612" s="35"/>
      <c r="H612" s="35"/>
      <c r="I612" s="35"/>
      <c r="J612" s="35"/>
      <c r="K612" s="35"/>
      <c r="BW612" s="17"/>
      <c r="BX612" s="17"/>
      <c r="BY612" s="17"/>
      <c r="BZ612" s="17"/>
      <c r="CA612" s="17"/>
      <c r="CB612" s="17"/>
      <c r="CC612" s="17"/>
      <c r="CD612" s="17"/>
      <c r="CE612" s="17"/>
    </row>
    <row r="613" spans="1:83" x14ac:dyDescent="0.25">
      <c r="A613" s="31"/>
      <c r="B613" s="30"/>
      <c r="C613" s="30"/>
      <c r="D613" s="35"/>
      <c r="E613" s="35"/>
      <c r="F613" s="35"/>
      <c r="G613" s="35"/>
      <c r="H613" s="35"/>
      <c r="I613" s="35"/>
      <c r="J613" s="35"/>
      <c r="K613" s="35"/>
      <c r="BW613" s="17"/>
      <c r="BX613" s="17"/>
      <c r="BY613" s="17"/>
      <c r="BZ613" s="17"/>
      <c r="CA613" s="17"/>
      <c r="CB613" s="17"/>
      <c r="CC613" s="17"/>
      <c r="CD613" s="17"/>
      <c r="CE613" s="17"/>
    </row>
    <row r="614" spans="1:83" x14ac:dyDescent="0.25">
      <c r="A614" s="31"/>
      <c r="B614" s="30"/>
      <c r="C614" s="30"/>
      <c r="D614" s="35"/>
      <c r="E614" s="35"/>
      <c r="F614" s="35"/>
      <c r="G614" s="35"/>
      <c r="H614" s="35"/>
      <c r="I614" s="35"/>
      <c r="J614" s="35"/>
      <c r="K614" s="35"/>
      <c r="BW614" s="17"/>
      <c r="BX614" s="17"/>
      <c r="BY614" s="17"/>
      <c r="BZ614" s="17"/>
      <c r="CA614" s="17"/>
      <c r="CB614" s="17"/>
      <c r="CC614" s="17"/>
      <c r="CD614" s="17"/>
      <c r="CE614" s="17"/>
    </row>
    <row r="615" spans="1:83" x14ac:dyDescent="0.25">
      <c r="A615" s="31"/>
      <c r="B615" s="30"/>
      <c r="C615" s="30"/>
      <c r="D615" s="35"/>
      <c r="E615" s="35"/>
      <c r="F615" s="35"/>
      <c r="G615" s="35"/>
      <c r="H615" s="35"/>
      <c r="I615" s="35"/>
      <c r="J615" s="35"/>
      <c r="K615" s="35"/>
      <c r="BW615" s="17"/>
      <c r="BX615" s="17"/>
      <c r="BY615" s="17"/>
      <c r="BZ615" s="17"/>
      <c r="CA615" s="17"/>
      <c r="CB615" s="17"/>
      <c r="CC615" s="17"/>
      <c r="CD615" s="17"/>
      <c r="CE615" s="17"/>
    </row>
    <row r="616" spans="1:83" x14ac:dyDescent="0.25">
      <c r="A616" s="31"/>
      <c r="B616" s="30"/>
      <c r="C616" s="30"/>
      <c r="D616" s="35"/>
      <c r="E616" s="35"/>
      <c r="F616" s="35"/>
      <c r="G616" s="35"/>
      <c r="H616" s="35"/>
      <c r="I616" s="35"/>
      <c r="J616" s="35"/>
      <c r="K616" s="35"/>
      <c r="BW616" s="17"/>
      <c r="BX616" s="17"/>
      <c r="BY616" s="17"/>
      <c r="BZ616" s="17"/>
      <c r="CA616" s="17"/>
      <c r="CB616" s="17"/>
      <c r="CC616" s="17"/>
      <c r="CD616" s="17"/>
      <c r="CE616" s="17"/>
    </row>
    <row r="617" spans="1:83" x14ac:dyDescent="0.25">
      <c r="A617" s="31"/>
      <c r="B617" s="30"/>
      <c r="C617" s="30"/>
      <c r="D617" s="35"/>
      <c r="E617" s="35"/>
      <c r="F617" s="35"/>
      <c r="G617" s="35"/>
      <c r="H617" s="35"/>
      <c r="I617" s="35"/>
      <c r="J617" s="35"/>
      <c r="K617" s="35"/>
      <c r="BW617" s="17"/>
      <c r="BX617" s="17"/>
      <c r="BY617" s="17"/>
      <c r="BZ617" s="17"/>
      <c r="CA617" s="17"/>
      <c r="CB617" s="17"/>
      <c r="CC617" s="17"/>
      <c r="CD617" s="17"/>
      <c r="CE617" s="17"/>
    </row>
    <row r="618" spans="1:83" x14ac:dyDescent="0.25">
      <c r="A618" s="31"/>
      <c r="B618" s="30"/>
      <c r="C618" s="30"/>
      <c r="D618" s="35"/>
      <c r="E618" s="35"/>
      <c r="F618" s="35"/>
      <c r="G618" s="35"/>
      <c r="H618" s="35"/>
      <c r="I618" s="35"/>
      <c r="J618" s="35"/>
      <c r="K618" s="35"/>
      <c r="BW618" s="17"/>
      <c r="BX618" s="17"/>
      <c r="BY618" s="17"/>
      <c r="BZ618" s="17"/>
      <c r="CA618" s="17"/>
      <c r="CB618" s="17"/>
      <c r="CC618" s="17"/>
      <c r="CD618" s="17"/>
      <c r="CE618" s="17"/>
    </row>
    <row r="619" spans="1:83" x14ac:dyDescent="0.25">
      <c r="A619" s="31"/>
      <c r="B619" s="30"/>
      <c r="C619" s="30"/>
      <c r="D619" s="35"/>
      <c r="E619" s="35"/>
      <c r="F619" s="35"/>
      <c r="G619" s="35"/>
      <c r="H619" s="35"/>
      <c r="I619" s="35"/>
      <c r="J619" s="35"/>
      <c r="K619" s="35"/>
      <c r="BW619" s="17"/>
      <c r="BX619" s="17"/>
      <c r="BY619" s="17"/>
      <c r="BZ619" s="17"/>
      <c r="CA619" s="17"/>
      <c r="CB619" s="17"/>
      <c r="CC619" s="17"/>
      <c r="CD619" s="17"/>
      <c r="CE619" s="17"/>
    </row>
    <row r="620" spans="1:83" x14ac:dyDescent="0.25">
      <c r="A620" s="31"/>
      <c r="B620" s="30"/>
      <c r="C620" s="30"/>
      <c r="D620" s="35"/>
      <c r="E620" s="35"/>
      <c r="F620" s="35"/>
      <c r="G620" s="35"/>
      <c r="H620" s="35"/>
      <c r="I620" s="35"/>
      <c r="J620" s="35"/>
      <c r="K620" s="35"/>
      <c r="BW620" s="17"/>
      <c r="BX620" s="17"/>
      <c r="BY620" s="17"/>
      <c r="BZ620" s="17"/>
      <c r="CA620" s="17"/>
      <c r="CB620" s="17"/>
      <c r="CC620" s="17"/>
      <c r="CD620" s="17"/>
      <c r="CE620" s="17"/>
    </row>
    <row r="621" spans="1:83" x14ac:dyDescent="0.25">
      <c r="A621" s="31"/>
      <c r="B621" s="30"/>
      <c r="C621" s="30"/>
      <c r="D621" s="35"/>
      <c r="E621" s="35"/>
      <c r="F621" s="35"/>
      <c r="G621" s="35"/>
      <c r="H621" s="35"/>
      <c r="I621" s="35"/>
      <c r="J621" s="35"/>
      <c r="K621" s="35"/>
      <c r="BW621" s="17"/>
      <c r="BX621" s="17"/>
      <c r="BY621" s="17"/>
      <c r="BZ621" s="17"/>
      <c r="CA621" s="17"/>
      <c r="CB621" s="17"/>
      <c r="CC621" s="17"/>
      <c r="CD621" s="17"/>
      <c r="CE621" s="17"/>
    </row>
    <row r="622" spans="1:83" x14ac:dyDescent="0.25">
      <c r="A622" s="31"/>
      <c r="B622" s="30"/>
      <c r="C622" s="30"/>
      <c r="D622" s="35"/>
      <c r="E622" s="35"/>
      <c r="F622" s="35"/>
      <c r="G622" s="35"/>
      <c r="H622" s="35"/>
      <c r="I622" s="35"/>
      <c r="J622" s="35"/>
      <c r="K622" s="35"/>
      <c r="BW622" s="17"/>
      <c r="BX622" s="17"/>
      <c r="BY622" s="17"/>
      <c r="BZ622" s="17"/>
      <c r="CA622" s="17"/>
      <c r="CB622" s="17"/>
      <c r="CC622" s="17"/>
      <c r="CD622" s="17"/>
      <c r="CE622" s="17"/>
    </row>
    <row r="623" spans="1:83" x14ac:dyDescent="0.25">
      <c r="A623" s="31"/>
      <c r="B623" s="30"/>
      <c r="C623" s="30"/>
      <c r="D623" s="35"/>
      <c r="E623" s="35"/>
      <c r="F623" s="35"/>
      <c r="G623" s="35"/>
      <c r="H623" s="35"/>
      <c r="I623" s="35"/>
      <c r="J623" s="35"/>
      <c r="K623" s="35"/>
      <c r="BW623" s="17"/>
      <c r="BX623" s="17"/>
      <c r="BY623" s="17"/>
      <c r="BZ623" s="17"/>
      <c r="CA623" s="17"/>
      <c r="CB623" s="17"/>
      <c r="CC623" s="17"/>
      <c r="CD623" s="17"/>
      <c r="CE623" s="17"/>
    </row>
    <row r="624" spans="1:83" x14ac:dyDescent="0.25">
      <c r="A624" s="31"/>
      <c r="B624" s="30"/>
      <c r="C624" s="30"/>
      <c r="D624" s="35"/>
      <c r="E624" s="35"/>
      <c r="F624" s="35"/>
      <c r="G624" s="35"/>
      <c r="H624" s="35"/>
      <c r="I624" s="35"/>
      <c r="J624" s="35"/>
      <c r="K624" s="35"/>
      <c r="BW624" s="17"/>
      <c r="BX624" s="17"/>
      <c r="BY624" s="17"/>
      <c r="BZ624" s="17"/>
      <c r="CA624" s="17"/>
      <c r="CB624" s="17"/>
      <c r="CC624" s="17"/>
      <c r="CD624" s="17"/>
      <c r="CE624" s="17"/>
    </row>
    <row r="625" spans="1:83" x14ac:dyDescent="0.25">
      <c r="A625" s="31"/>
      <c r="B625" s="30"/>
      <c r="C625" s="30"/>
      <c r="D625" s="35"/>
      <c r="E625" s="35"/>
      <c r="F625" s="35"/>
      <c r="G625" s="35"/>
      <c r="H625" s="35"/>
      <c r="I625" s="35"/>
      <c r="J625" s="35"/>
      <c r="K625" s="35"/>
      <c r="BW625" s="17"/>
      <c r="BX625" s="17"/>
      <c r="BY625" s="17"/>
      <c r="BZ625" s="17"/>
      <c r="CA625" s="17"/>
      <c r="CB625" s="17"/>
      <c r="CC625" s="17"/>
      <c r="CD625" s="17"/>
      <c r="CE625" s="17"/>
    </row>
    <row r="626" spans="1:83" x14ac:dyDescent="0.25">
      <c r="A626" s="31"/>
      <c r="B626" s="30"/>
      <c r="C626" s="30"/>
      <c r="D626" s="35"/>
      <c r="E626" s="35"/>
      <c r="F626" s="35"/>
      <c r="G626" s="35"/>
      <c r="H626" s="35"/>
      <c r="I626" s="35"/>
      <c r="J626" s="35"/>
      <c r="K626" s="35"/>
      <c r="BW626" s="17"/>
      <c r="BX626" s="17"/>
      <c r="BY626" s="17"/>
      <c r="BZ626" s="17"/>
      <c r="CA626" s="17"/>
      <c r="CB626" s="17"/>
      <c r="CC626" s="17"/>
      <c r="CD626" s="17"/>
      <c r="CE626" s="17"/>
    </row>
    <row r="627" spans="1:83" x14ac:dyDescent="0.25">
      <c r="A627" s="31"/>
      <c r="B627" s="30"/>
      <c r="C627" s="30"/>
      <c r="D627" s="35"/>
      <c r="E627" s="35"/>
      <c r="F627" s="35"/>
      <c r="G627" s="35"/>
      <c r="H627" s="35"/>
      <c r="I627" s="35"/>
      <c r="J627" s="35"/>
      <c r="K627" s="35"/>
      <c r="BW627" s="17"/>
      <c r="BX627" s="17"/>
      <c r="BY627" s="17"/>
      <c r="BZ627" s="17"/>
      <c r="CA627" s="17"/>
      <c r="CB627" s="17"/>
      <c r="CC627" s="17"/>
      <c r="CD627" s="17"/>
      <c r="CE627" s="17"/>
    </row>
    <row r="628" spans="1:83" x14ac:dyDescent="0.25">
      <c r="A628" s="31"/>
      <c r="B628" s="30"/>
      <c r="C628" s="30"/>
      <c r="D628" s="35"/>
      <c r="E628" s="35"/>
      <c r="F628" s="35"/>
      <c r="G628" s="35"/>
      <c r="H628" s="35"/>
      <c r="I628" s="35"/>
      <c r="J628" s="35"/>
      <c r="K628" s="35"/>
      <c r="BW628" s="17"/>
      <c r="BX628" s="17"/>
      <c r="BY628" s="17"/>
      <c r="BZ628" s="17"/>
      <c r="CA628" s="17"/>
      <c r="CB628" s="17"/>
      <c r="CC628" s="17"/>
      <c r="CD628" s="17"/>
      <c r="CE628" s="17"/>
    </row>
    <row r="629" spans="1:83" x14ac:dyDescent="0.25">
      <c r="A629" s="31"/>
      <c r="B629" s="30"/>
      <c r="C629" s="30"/>
      <c r="D629" s="35"/>
      <c r="E629" s="35"/>
      <c r="F629" s="35"/>
      <c r="G629" s="35"/>
      <c r="H629" s="35"/>
      <c r="I629" s="35"/>
      <c r="J629" s="35"/>
      <c r="K629" s="35"/>
      <c r="BW629" s="17"/>
      <c r="BX629" s="17"/>
      <c r="BY629" s="17"/>
      <c r="BZ629" s="17"/>
      <c r="CA629" s="17"/>
      <c r="CB629" s="17"/>
      <c r="CC629" s="17"/>
      <c r="CD629" s="17"/>
      <c r="CE629" s="17"/>
    </row>
    <row r="630" spans="1:83" x14ac:dyDescent="0.25">
      <c r="A630" s="31"/>
      <c r="B630" s="30"/>
      <c r="C630" s="30"/>
      <c r="D630" s="35"/>
      <c r="E630" s="35"/>
      <c r="F630" s="35"/>
      <c r="G630" s="35"/>
      <c r="H630" s="35"/>
      <c r="I630" s="35"/>
      <c r="J630" s="35"/>
      <c r="K630" s="35"/>
      <c r="BW630" s="17"/>
      <c r="BX630" s="17"/>
      <c r="BY630" s="17"/>
      <c r="BZ630" s="17"/>
      <c r="CA630" s="17"/>
      <c r="CB630" s="17"/>
      <c r="CC630" s="17"/>
      <c r="CD630" s="17"/>
      <c r="CE630" s="17"/>
    </row>
    <row r="631" spans="1:83" x14ac:dyDescent="0.25">
      <c r="A631" s="31"/>
      <c r="B631" s="30"/>
      <c r="C631" s="30"/>
      <c r="D631" s="35"/>
      <c r="E631" s="35"/>
      <c r="F631" s="35"/>
      <c r="G631" s="35"/>
      <c r="H631" s="35"/>
      <c r="I631" s="35"/>
      <c r="J631" s="35"/>
      <c r="K631" s="35"/>
      <c r="BW631" s="17"/>
      <c r="BX631" s="17"/>
      <c r="BY631" s="17"/>
      <c r="BZ631" s="17"/>
      <c r="CA631" s="17"/>
      <c r="CB631" s="17"/>
      <c r="CC631" s="17"/>
      <c r="CD631" s="17"/>
      <c r="CE631" s="17"/>
    </row>
    <row r="632" spans="1:83" x14ac:dyDescent="0.25">
      <c r="A632" s="31"/>
      <c r="B632" s="30"/>
      <c r="C632" s="30"/>
      <c r="D632" s="35"/>
      <c r="E632" s="35"/>
      <c r="F632" s="35"/>
      <c r="G632" s="35"/>
      <c r="H632" s="35"/>
      <c r="I632" s="35"/>
      <c r="J632" s="35"/>
      <c r="K632" s="35"/>
      <c r="BW632" s="17"/>
      <c r="BX632" s="17"/>
      <c r="BY632" s="17"/>
      <c r="BZ632" s="17"/>
      <c r="CA632" s="17"/>
      <c r="CB632" s="17"/>
      <c r="CC632" s="17"/>
      <c r="CD632" s="17"/>
      <c r="CE632" s="17"/>
    </row>
    <row r="633" spans="1:83" x14ac:dyDescent="0.25">
      <c r="A633" s="31"/>
      <c r="B633" s="30"/>
      <c r="C633" s="30"/>
      <c r="D633" s="35"/>
      <c r="E633" s="35"/>
      <c r="F633" s="35"/>
      <c r="G633" s="35"/>
      <c r="H633" s="35"/>
      <c r="I633" s="35"/>
      <c r="J633" s="35"/>
      <c r="K633" s="35"/>
      <c r="BW633" s="17"/>
      <c r="BX633" s="17"/>
      <c r="BY633" s="17"/>
      <c r="BZ633" s="17"/>
      <c r="CA633" s="17"/>
      <c r="CB633" s="17"/>
      <c r="CC633" s="17"/>
      <c r="CD633" s="17"/>
      <c r="CE633" s="17"/>
    </row>
    <row r="634" spans="1:83" x14ac:dyDescent="0.25">
      <c r="A634" s="31"/>
      <c r="B634" s="30"/>
      <c r="C634" s="30"/>
      <c r="D634" s="35"/>
      <c r="E634" s="35"/>
      <c r="F634" s="35"/>
      <c r="G634" s="35"/>
      <c r="H634" s="35"/>
      <c r="I634" s="35"/>
      <c r="J634" s="35"/>
      <c r="K634" s="35"/>
      <c r="BW634" s="17"/>
      <c r="BX634" s="17"/>
      <c r="BY634" s="17"/>
      <c r="BZ634" s="17"/>
      <c r="CA634" s="17"/>
      <c r="CB634" s="17"/>
      <c r="CC634" s="17"/>
      <c r="CD634" s="17"/>
      <c r="CE634" s="17"/>
    </row>
    <row r="635" spans="1:83" x14ac:dyDescent="0.25">
      <c r="A635" s="31"/>
      <c r="B635" s="30"/>
      <c r="C635" s="30"/>
      <c r="D635" s="35"/>
      <c r="E635" s="35"/>
      <c r="F635" s="35"/>
      <c r="G635" s="35"/>
      <c r="H635" s="35"/>
      <c r="I635" s="35"/>
      <c r="J635" s="35"/>
      <c r="K635" s="35"/>
      <c r="BW635" s="17"/>
      <c r="BX635" s="17"/>
      <c r="BY635" s="17"/>
      <c r="BZ635" s="17"/>
      <c r="CA635" s="17"/>
      <c r="CB635" s="17"/>
      <c r="CC635" s="17"/>
      <c r="CD635" s="17"/>
      <c r="CE635" s="17"/>
    </row>
    <row r="636" spans="1:83" x14ac:dyDescent="0.25">
      <c r="A636" s="31"/>
      <c r="B636" s="30"/>
      <c r="C636" s="30"/>
      <c r="D636" s="35"/>
      <c r="E636" s="35"/>
      <c r="F636" s="35"/>
      <c r="G636" s="35"/>
      <c r="H636" s="35"/>
      <c r="I636" s="35"/>
      <c r="J636" s="35"/>
      <c r="K636" s="35"/>
      <c r="BW636" s="17"/>
      <c r="BX636" s="17"/>
      <c r="BY636" s="17"/>
      <c r="BZ636" s="17"/>
      <c r="CA636" s="17"/>
      <c r="CB636" s="17"/>
      <c r="CC636" s="17"/>
      <c r="CD636" s="17"/>
      <c r="CE636" s="17"/>
    </row>
    <row r="637" spans="1:83" x14ac:dyDescent="0.25">
      <c r="A637" s="31"/>
      <c r="B637" s="30"/>
      <c r="C637" s="30"/>
      <c r="D637" s="35"/>
      <c r="E637" s="35"/>
      <c r="F637" s="35"/>
      <c r="G637" s="35"/>
      <c r="H637" s="35"/>
      <c r="I637" s="35"/>
      <c r="J637" s="35"/>
      <c r="K637" s="35"/>
      <c r="BW637" s="17"/>
      <c r="BX637" s="17"/>
      <c r="BY637" s="17"/>
      <c r="BZ637" s="17"/>
      <c r="CA637" s="17"/>
      <c r="CB637" s="17"/>
      <c r="CC637" s="17"/>
      <c r="CD637" s="17"/>
      <c r="CE637" s="17"/>
    </row>
    <row r="638" spans="1:83" x14ac:dyDescent="0.25">
      <c r="A638" s="31"/>
      <c r="B638" s="30"/>
      <c r="C638" s="30"/>
      <c r="D638" s="35"/>
      <c r="E638" s="35"/>
      <c r="F638" s="35"/>
      <c r="G638" s="35"/>
      <c r="H638" s="35"/>
      <c r="I638" s="35"/>
      <c r="J638" s="35"/>
      <c r="K638" s="35"/>
      <c r="BW638" s="17"/>
      <c r="BX638" s="17"/>
      <c r="BY638" s="17"/>
      <c r="BZ638" s="17"/>
      <c r="CA638" s="17"/>
      <c r="CB638" s="17"/>
      <c r="CC638" s="17"/>
      <c r="CD638" s="17"/>
      <c r="CE638" s="17"/>
    </row>
    <row r="639" spans="1:83" x14ac:dyDescent="0.25">
      <c r="A639" s="31"/>
      <c r="B639" s="30"/>
      <c r="C639" s="30"/>
      <c r="D639" s="35"/>
      <c r="E639" s="35"/>
      <c r="F639" s="35"/>
      <c r="G639" s="35"/>
      <c r="H639" s="35"/>
      <c r="I639" s="35"/>
      <c r="J639" s="35"/>
      <c r="K639" s="35"/>
      <c r="BW639" s="17"/>
      <c r="BX639" s="17"/>
      <c r="BY639" s="17"/>
      <c r="BZ639" s="17"/>
      <c r="CA639" s="17"/>
      <c r="CB639" s="17"/>
      <c r="CC639" s="17"/>
      <c r="CD639" s="17"/>
      <c r="CE639" s="17"/>
    </row>
    <row r="640" spans="1:83" x14ac:dyDescent="0.25">
      <c r="A640" s="31"/>
      <c r="B640" s="30"/>
      <c r="C640" s="30"/>
      <c r="D640" s="35"/>
      <c r="E640" s="35"/>
      <c r="F640" s="35"/>
      <c r="G640" s="35"/>
      <c r="H640" s="35"/>
      <c r="I640" s="35"/>
      <c r="J640" s="35"/>
      <c r="K640" s="35"/>
      <c r="BW640" s="17"/>
      <c r="BX640" s="17"/>
      <c r="BY640" s="17"/>
      <c r="BZ640" s="17"/>
      <c r="CA640" s="17"/>
      <c r="CB640" s="17"/>
      <c r="CC640" s="17"/>
      <c r="CD640" s="17"/>
      <c r="CE640" s="17"/>
    </row>
    <row r="641" spans="1:83" x14ac:dyDescent="0.25">
      <c r="A641" s="31"/>
      <c r="B641" s="30"/>
      <c r="C641" s="30"/>
      <c r="D641" s="35"/>
      <c r="E641" s="35"/>
      <c r="F641" s="35"/>
      <c r="G641" s="35"/>
      <c r="H641" s="35"/>
      <c r="I641" s="35"/>
      <c r="J641" s="35"/>
      <c r="K641" s="35"/>
      <c r="BW641" s="17"/>
      <c r="BX641" s="17"/>
      <c r="BY641" s="17"/>
      <c r="BZ641" s="17"/>
      <c r="CA641" s="17"/>
      <c r="CB641" s="17"/>
      <c r="CC641" s="17"/>
      <c r="CD641" s="17"/>
      <c r="CE641" s="17"/>
    </row>
    <row r="642" spans="1:83" x14ac:dyDescent="0.25">
      <c r="A642" s="31"/>
      <c r="B642" s="30"/>
      <c r="C642" s="30"/>
      <c r="D642" s="35"/>
      <c r="E642" s="35"/>
      <c r="F642" s="35"/>
      <c r="G642" s="35"/>
      <c r="H642" s="35"/>
      <c r="I642" s="35"/>
      <c r="J642" s="35"/>
      <c r="K642" s="35"/>
      <c r="BW642" s="17"/>
      <c r="BX642" s="17"/>
      <c r="BY642" s="17"/>
      <c r="BZ642" s="17"/>
      <c r="CA642" s="17"/>
      <c r="CB642" s="17"/>
      <c r="CC642" s="17"/>
      <c r="CD642" s="17"/>
      <c r="CE642" s="17"/>
    </row>
    <row r="643" spans="1:83" x14ac:dyDescent="0.25">
      <c r="A643" s="31"/>
      <c r="B643" s="30"/>
      <c r="C643" s="30"/>
      <c r="D643" s="35"/>
      <c r="E643" s="35"/>
      <c r="F643" s="35"/>
      <c r="G643" s="35"/>
      <c r="H643" s="35"/>
      <c r="I643" s="35"/>
      <c r="J643" s="35"/>
      <c r="K643" s="35"/>
      <c r="BW643" s="17"/>
      <c r="BX643" s="17"/>
      <c r="BY643" s="17"/>
      <c r="BZ643" s="17"/>
      <c r="CA643" s="17"/>
      <c r="CB643" s="17"/>
      <c r="CC643" s="17"/>
      <c r="CD643" s="17"/>
      <c r="CE643" s="17"/>
    </row>
    <row r="644" spans="1:83" x14ac:dyDescent="0.25">
      <c r="A644" s="31"/>
      <c r="B644" s="30"/>
      <c r="C644" s="30"/>
      <c r="D644" s="35"/>
      <c r="E644" s="35"/>
      <c r="F644" s="35"/>
      <c r="G644" s="35"/>
      <c r="H644" s="35"/>
      <c r="I644" s="35"/>
      <c r="J644" s="35"/>
      <c r="K644" s="35"/>
      <c r="BW644" s="17"/>
      <c r="BX644" s="17"/>
      <c r="BY644" s="17"/>
      <c r="BZ644" s="17"/>
      <c r="CA644" s="17"/>
      <c r="CB644" s="17"/>
      <c r="CC644" s="17"/>
      <c r="CD644" s="17"/>
      <c r="CE644" s="17"/>
    </row>
    <row r="645" spans="1:83" x14ac:dyDescent="0.25">
      <c r="A645" s="31"/>
      <c r="B645" s="30"/>
      <c r="C645" s="30"/>
      <c r="D645" s="35"/>
      <c r="E645" s="35"/>
      <c r="F645" s="35"/>
      <c r="G645" s="35"/>
      <c r="H645" s="35"/>
      <c r="I645" s="35"/>
      <c r="J645" s="35"/>
      <c r="K645" s="35"/>
      <c r="BW645" s="17"/>
      <c r="BX645" s="17"/>
      <c r="BY645" s="17"/>
      <c r="BZ645" s="17"/>
      <c r="CA645" s="17"/>
      <c r="CB645" s="17"/>
      <c r="CC645" s="17"/>
      <c r="CD645" s="17"/>
      <c r="CE645" s="17"/>
    </row>
    <row r="646" spans="1:83" x14ac:dyDescent="0.25">
      <c r="A646" s="31"/>
      <c r="B646" s="30"/>
      <c r="C646" s="30"/>
      <c r="D646" s="35"/>
      <c r="E646" s="35"/>
      <c r="F646" s="35"/>
      <c r="G646" s="35"/>
      <c r="H646" s="35"/>
      <c r="I646" s="35"/>
      <c r="J646" s="35"/>
      <c r="K646" s="35"/>
      <c r="BW646" s="17"/>
      <c r="BX646" s="17"/>
      <c r="BY646" s="17"/>
      <c r="BZ646" s="17"/>
      <c r="CA646" s="17"/>
      <c r="CB646" s="17"/>
      <c r="CC646" s="17"/>
      <c r="CD646" s="17"/>
      <c r="CE646" s="17"/>
    </row>
    <row r="647" spans="1:83" x14ac:dyDescent="0.25">
      <c r="A647" s="31"/>
      <c r="B647" s="30"/>
      <c r="C647" s="30"/>
      <c r="D647" s="35"/>
      <c r="E647" s="35"/>
      <c r="F647" s="35"/>
      <c r="G647" s="35"/>
      <c r="H647" s="35"/>
      <c r="I647" s="35"/>
      <c r="J647" s="35"/>
      <c r="K647" s="35"/>
      <c r="BW647" s="17"/>
      <c r="BX647" s="17"/>
      <c r="BY647" s="17"/>
      <c r="BZ647" s="17"/>
      <c r="CA647" s="17"/>
      <c r="CB647" s="17"/>
      <c r="CC647" s="17"/>
      <c r="CD647" s="17"/>
      <c r="CE647" s="17"/>
    </row>
    <row r="648" spans="1:83" x14ac:dyDescent="0.25">
      <c r="A648" s="31"/>
      <c r="B648" s="30"/>
      <c r="C648" s="30"/>
      <c r="D648" s="35"/>
      <c r="E648" s="35"/>
      <c r="F648" s="35"/>
      <c r="G648" s="35"/>
      <c r="H648" s="35"/>
      <c r="I648" s="35"/>
      <c r="J648" s="35"/>
      <c r="K648" s="35"/>
      <c r="BW648" s="17"/>
      <c r="BX648" s="17"/>
      <c r="BY648" s="17"/>
      <c r="BZ648" s="17"/>
      <c r="CA648" s="17"/>
      <c r="CB648" s="17"/>
      <c r="CC648" s="17"/>
      <c r="CD648" s="17"/>
      <c r="CE648" s="17"/>
    </row>
    <row r="649" spans="1:83" x14ac:dyDescent="0.25">
      <c r="A649" s="31"/>
      <c r="B649" s="30"/>
      <c r="C649" s="30"/>
      <c r="D649" s="35"/>
      <c r="E649" s="35"/>
      <c r="F649" s="35"/>
      <c r="G649" s="35"/>
      <c r="H649" s="35"/>
      <c r="I649" s="35"/>
      <c r="J649" s="35"/>
      <c r="K649" s="35"/>
      <c r="BW649" s="17"/>
      <c r="BX649" s="17"/>
      <c r="BY649" s="17"/>
      <c r="BZ649" s="17"/>
      <c r="CA649" s="17"/>
      <c r="CB649" s="17"/>
      <c r="CC649" s="17"/>
      <c r="CD649" s="17"/>
      <c r="CE649" s="17"/>
    </row>
    <row r="650" spans="1:83" x14ac:dyDescent="0.25">
      <c r="A650" s="31"/>
      <c r="B650" s="30"/>
      <c r="C650" s="30"/>
      <c r="D650" s="35"/>
      <c r="E650" s="35"/>
      <c r="F650" s="35"/>
      <c r="G650" s="35"/>
      <c r="H650" s="35"/>
      <c r="I650" s="35"/>
      <c r="J650" s="35"/>
      <c r="K650" s="35"/>
      <c r="BW650" s="17"/>
      <c r="BX650" s="17"/>
      <c r="BY650" s="17"/>
      <c r="BZ650" s="17"/>
      <c r="CA650" s="17"/>
      <c r="CB650" s="17"/>
      <c r="CC650" s="17"/>
      <c r="CD650" s="17"/>
      <c r="CE650" s="17"/>
    </row>
    <row r="651" spans="1:83" x14ac:dyDescent="0.25">
      <c r="A651" s="31"/>
      <c r="B651" s="30"/>
      <c r="C651" s="30"/>
      <c r="D651" s="35"/>
      <c r="E651" s="35"/>
      <c r="F651" s="35"/>
      <c r="G651" s="35"/>
      <c r="H651" s="35"/>
      <c r="I651" s="35"/>
      <c r="J651" s="35"/>
      <c r="K651" s="35"/>
      <c r="BW651" s="17"/>
      <c r="BX651" s="17"/>
      <c r="BY651" s="17"/>
      <c r="BZ651" s="17"/>
      <c r="CA651" s="17"/>
      <c r="CB651" s="17"/>
      <c r="CC651" s="17"/>
      <c r="CD651" s="17"/>
      <c r="CE651" s="17"/>
    </row>
    <row r="652" spans="1:83" x14ac:dyDescent="0.25">
      <c r="A652" s="31"/>
      <c r="B652" s="30"/>
      <c r="C652" s="30"/>
      <c r="D652" s="35"/>
      <c r="E652" s="35"/>
      <c r="F652" s="35"/>
      <c r="G652" s="35"/>
      <c r="H652" s="35"/>
      <c r="I652" s="35"/>
      <c r="J652" s="35"/>
      <c r="K652" s="35"/>
      <c r="BW652" s="17"/>
      <c r="BX652" s="17"/>
      <c r="BY652" s="17"/>
      <c r="BZ652" s="17"/>
      <c r="CA652" s="17"/>
      <c r="CB652" s="17"/>
      <c r="CC652" s="17"/>
      <c r="CD652" s="17"/>
      <c r="CE652" s="17"/>
    </row>
    <row r="653" spans="1:83" x14ac:dyDescent="0.25">
      <c r="A653" s="31"/>
      <c r="B653" s="30"/>
      <c r="C653" s="30"/>
      <c r="D653" s="35"/>
      <c r="E653" s="35"/>
      <c r="F653" s="35"/>
      <c r="G653" s="35"/>
      <c r="H653" s="35"/>
      <c r="I653" s="35"/>
      <c r="J653" s="35"/>
      <c r="K653" s="35"/>
      <c r="BW653" s="17"/>
      <c r="BX653" s="17"/>
      <c r="BY653" s="17"/>
      <c r="BZ653" s="17"/>
      <c r="CA653" s="17"/>
      <c r="CB653" s="17"/>
      <c r="CC653" s="17"/>
      <c r="CD653" s="17"/>
      <c r="CE653" s="17"/>
    </row>
    <row r="654" spans="1:83" x14ac:dyDescent="0.25">
      <c r="A654" s="31"/>
      <c r="B654" s="30"/>
      <c r="C654" s="30"/>
      <c r="D654" s="35"/>
      <c r="E654" s="35"/>
      <c r="F654" s="35"/>
      <c r="G654" s="35"/>
      <c r="H654" s="35"/>
      <c r="I654" s="35"/>
      <c r="J654" s="35"/>
      <c r="K654" s="35"/>
      <c r="BW654" s="17"/>
      <c r="BX654" s="17"/>
      <c r="BY654" s="17"/>
      <c r="BZ654" s="17"/>
      <c r="CA654" s="17"/>
      <c r="CB654" s="17"/>
      <c r="CC654" s="17"/>
      <c r="CD654" s="17"/>
      <c r="CE654" s="17"/>
    </row>
    <row r="655" spans="1:83" x14ac:dyDescent="0.25">
      <c r="A655" s="31"/>
      <c r="B655" s="30"/>
      <c r="C655" s="30"/>
      <c r="D655" s="35"/>
      <c r="E655" s="35"/>
      <c r="F655" s="35"/>
      <c r="G655" s="35"/>
      <c r="H655" s="35"/>
      <c r="I655" s="35"/>
      <c r="J655" s="35"/>
      <c r="K655" s="35"/>
      <c r="BW655" s="17"/>
      <c r="BX655" s="17"/>
      <c r="BY655" s="17"/>
      <c r="BZ655" s="17"/>
      <c r="CA655" s="17"/>
      <c r="CB655" s="17"/>
      <c r="CC655" s="17"/>
      <c r="CD655" s="17"/>
      <c r="CE655" s="17"/>
    </row>
    <row r="656" spans="1:83" x14ac:dyDescent="0.25">
      <c r="A656" s="31"/>
      <c r="B656" s="30"/>
      <c r="C656" s="30"/>
      <c r="D656" s="35"/>
      <c r="E656" s="35"/>
      <c r="F656" s="35"/>
      <c r="G656" s="35"/>
      <c r="H656" s="35"/>
      <c r="I656" s="35"/>
      <c r="J656" s="35"/>
      <c r="K656" s="35"/>
      <c r="BW656" s="17"/>
      <c r="BX656" s="17"/>
      <c r="BY656" s="17"/>
      <c r="BZ656" s="17"/>
      <c r="CA656" s="17"/>
      <c r="CB656" s="17"/>
      <c r="CC656" s="17"/>
      <c r="CD656" s="17"/>
      <c r="CE656" s="17"/>
    </row>
    <row r="657" spans="1:83" x14ac:dyDescent="0.25">
      <c r="A657" s="31"/>
      <c r="B657" s="30"/>
      <c r="C657" s="30"/>
      <c r="D657" s="35"/>
      <c r="E657" s="35"/>
      <c r="F657" s="35"/>
      <c r="G657" s="35"/>
      <c r="H657" s="35"/>
      <c r="I657" s="35"/>
      <c r="J657" s="35"/>
      <c r="K657" s="35"/>
      <c r="BW657" s="17"/>
      <c r="BX657" s="17"/>
      <c r="BY657" s="17"/>
      <c r="BZ657" s="17"/>
      <c r="CA657" s="17"/>
      <c r="CB657" s="17"/>
      <c r="CC657" s="17"/>
      <c r="CD657" s="17"/>
      <c r="CE657" s="17"/>
    </row>
    <row r="658" spans="1:83" x14ac:dyDescent="0.25">
      <c r="A658" s="31"/>
      <c r="B658" s="30"/>
      <c r="C658" s="30"/>
      <c r="D658" s="35"/>
      <c r="E658" s="35"/>
      <c r="F658" s="35"/>
      <c r="G658" s="35"/>
      <c r="H658" s="35"/>
      <c r="I658" s="35"/>
      <c r="J658" s="35"/>
      <c r="K658" s="35"/>
      <c r="BW658" s="17"/>
      <c r="BX658" s="17"/>
      <c r="BY658" s="17"/>
      <c r="BZ658" s="17"/>
      <c r="CA658" s="17"/>
      <c r="CB658" s="17"/>
      <c r="CC658" s="17"/>
      <c r="CD658" s="17"/>
      <c r="CE658" s="17"/>
    </row>
    <row r="659" spans="1:83" x14ac:dyDescent="0.25">
      <c r="A659" s="31"/>
      <c r="B659" s="30"/>
      <c r="C659" s="30"/>
      <c r="D659" s="35"/>
      <c r="E659" s="35"/>
      <c r="F659" s="35"/>
      <c r="G659" s="35"/>
      <c r="H659" s="35"/>
      <c r="I659" s="35"/>
      <c r="J659" s="35"/>
      <c r="K659" s="35"/>
      <c r="BW659" s="17"/>
      <c r="BX659" s="17"/>
      <c r="BY659" s="17"/>
      <c r="BZ659" s="17"/>
      <c r="CA659" s="17"/>
      <c r="CB659" s="17"/>
      <c r="CC659" s="17"/>
      <c r="CD659" s="17"/>
      <c r="CE659" s="17"/>
    </row>
    <row r="660" spans="1:83" x14ac:dyDescent="0.25">
      <c r="A660" s="31"/>
      <c r="B660" s="30"/>
      <c r="C660" s="30"/>
      <c r="D660" s="35"/>
      <c r="E660" s="35"/>
      <c r="F660" s="35"/>
      <c r="G660" s="35"/>
      <c r="H660" s="35"/>
      <c r="I660" s="35"/>
      <c r="J660" s="35"/>
      <c r="K660" s="35"/>
      <c r="BW660" s="17"/>
      <c r="BX660" s="17"/>
      <c r="BY660" s="17"/>
      <c r="BZ660" s="17"/>
      <c r="CA660" s="17"/>
      <c r="CB660" s="17"/>
      <c r="CC660" s="17"/>
      <c r="CD660" s="17"/>
      <c r="CE660" s="17"/>
    </row>
    <row r="661" spans="1:83" x14ac:dyDescent="0.25">
      <c r="A661" s="31"/>
      <c r="B661" s="30"/>
      <c r="C661" s="30"/>
      <c r="D661" s="35"/>
      <c r="E661" s="35"/>
      <c r="F661" s="35"/>
      <c r="G661" s="35"/>
      <c r="H661" s="35"/>
      <c r="I661" s="35"/>
      <c r="J661" s="35"/>
      <c r="K661" s="35"/>
      <c r="BW661" s="17"/>
      <c r="BX661" s="17"/>
      <c r="BY661" s="17"/>
      <c r="BZ661" s="17"/>
      <c r="CA661" s="17"/>
      <c r="CB661" s="17"/>
      <c r="CC661" s="17"/>
      <c r="CD661" s="17"/>
      <c r="CE661" s="17"/>
    </row>
    <row r="662" spans="1:83" x14ac:dyDescent="0.25">
      <c r="A662" s="31"/>
      <c r="B662" s="30"/>
      <c r="C662" s="30"/>
      <c r="D662" s="35"/>
      <c r="E662" s="35"/>
      <c r="F662" s="35"/>
      <c r="G662" s="35"/>
      <c r="H662" s="35"/>
      <c r="I662" s="35"/>
      <c r="J662" s="35"/>
      <c r="K662" s="35"/>
      <c r="BW662" s="17"/>
      <c r="BX662" s="17"/>
      <c r="BY662" s="17"/>
      <c r="BZ662" s="17"/>
      <c r="CA662" s="17"/>
      <c r="CB662" s="17"/>
      <c r="CC662" s="17"/>
      <c r="CD662" s="17"/>
      <c r="CE662" s="17"/>
    </row>
    <row r="663" spans="1:83" x14ac:dyDescent="0.25">
      <c r="A663" s="31"/>
      <c r="B663" s="30"/>
      <c r="C663" s="30"/>
      <c r="D663" s="35"/>
      <c r="E663" s="35"/>
      <c r="F663" s="35"/>
      <c r="G663" s="35"/>
      <c r="H663" s="35"/>
      <c r="I663" s="35"/>
      <c r="J663" s="35"/>
      <c r="K663" s="35"/>
      <c r="BW663" s="17"/>
      <c r="BX663" s="17"/>
      <c r="BY663" s="17"/>
      <c r="BZ663" s="17"/>
      <c r="CA663" s="17"/>
      <c r="CB663" s="17"/>
      <c r="CC663" s="17"/>
      <c r="CD663" s="17"/>
      <c r="CE663" s="17"/>
    </row>
    <row r="664" spans="1:83" x14ac:dyDescent="0.25">
      <c r="A664" s="31"/>
      <c r="B664" s="30"/>
      <c r="C664" s="30"/>
      <c r="D664" s="35"/>
      <c r="E664" s="35"/>
      <c r="F664" s="35"/>
      <c r="G664" s="35"/>
      <c r="H664" s="35"/>
      <c r="I664" s="35"/>
      <c r="J664" s="35"/>
      <c r="K664" s="35"/>
      <c r="BW664" s="17"/>
      <c r="BX664" s="17"/>
      <c r="BY664" s="17"/>
      <c r="BZ664" s="17"/>
      <c r="CA664" s="17"/>
      <c r="CB664" s="17"/>
      <c r="CC664" s="17"/>
      <c r="CD664" s="17"/>
      <c r="CE664" s="17"/>
    </row>
    <row r="665" spans="1:83" x14ac:dyDescent="0.25">
      <c r="A665" s="31"/>
      <c r="B665" s="30"/>
      <c r="C665" s="30"/>
      <c r="D665" s="35"/>
      <c r="E665" s="35"/>
      <c r="F665" s="35"/>
      <c r="G665" s="35"/>
      <c r="H665" s="35"/>
      <c r="I665" s="35"/>
      <c r="J665" s="35"/>
      <c r="K665" s="35"/>
      <c r="BW665" s="17"/>
      <c r="BX665" s="17"/>
      <c r="BY665" s="17"/>
      <c r="BZ665" s="17"/>
      <c r="CA665" s="17"/>
      <c r="CB665" s="17"/>
      <c r="CC665" s="17"/>
      <c r="CD665" s="17"/>
      <c r="CE665" s="17"/>
    </row>
    <row r="666" spans="1:83" x14ac:dyDescent="0.25">
      <c r="A666" s="31"/>
      <c r="B666" s="30"/>
      <c r="C666" s="30"/>
      <c r="D666" s="35"/>
      <c r="E666" s="35"/>
      <c r="F666" s="35"/>
      <c r="G666" s="35"/>
      <c r="H666" s="35"/>
      <c r="I666" s="35"/>
      <c r="J666" s="35"/>
      <c r="K666" s="35"/>
      <c r="BW666" s="17"/>
      <c r="BX666" s="17"/>
      <c r="BY666" s="17"/>
      <c r="BZ666" s="17"/>
      <c r="CA666" s="17"/>
      <c r="CB666" s="17"/>
      <c r="CC666" s="17"/>
      <c r="CD666" s="17"/>
      <c r="CE666" s="17"/>
    </row>
    <row r="667" spans="1:83" x14ac:dyDescent="0.25">
      <c r="A667" s="31"/>
      <c r="B667" s="30"/>
      <c r="C667" s="30"/>
      <c r="D667" s="35"/>
      <c r="E667" s="35"/>
      <c r="F667" s="35"/>
      <c r="G667" s="35"/>
      <c r="H667" s="35"/>
      <c r="I667" s="35"/>
      <c r="J667" s="35"/>
      <c r="K667" s="35"/>
      <c r="BW667" s="17"/>
      <c r="BX667" s="17"/>
      <c r="BY667" s="17"/>
      <c r="BZ667" s="17"/>
      <c r="CA667" s="17"/>
      <c r="CB667" s="17"/>
      <c r="CC667" s="17"/>
      <c r="CD667" s="17"/>
      <c r="CE667" s="17"/>
    </row>
    <row r="668" spans="1:83" x14ac:dyDescent="0.25">
      <c r="A668" s="31"/>
      <c r="B668" s="30"/>
      <c r="C668" s="30"/>
      <c r="D668" s="35"/>
      <c r="E668" s="35"/>
      <c r="F668" s="35"/>
      <c r="G668" s="35"/>
      <c r="H668" s="35"/>
      <c r="I668" s="35"/>
      <c r="J668" s="35"/>
      <c r="K668" s="35"/>
      <c r="BW668" s="17"/>
      <c r="BX668" s="17"/>
      <c r="BY668" s="17"/>
      <c r="BZ668" s="17"/>
      <c r="CA668" s="17"/>
      <c r="CB668" s="17"/>
      <c r="CC668" s="17"/>
      <c r="CD668" s="17"/>
      <c r="CE668" s="17"/>
    </row>
    <row r="669" spans="1:83" x14ac:dyDescent="0.25">
      <c r="A669" s="31"/>
      <c r="B669" s="30"/>
      <c r="C669" s="30"/>
      <c r="D669" s="35"/>
      <c r="E669" s="35"/>
      <c r="F669" s="35"/>
      <c r="G669" s="35"/>
      <c r="H669" s="35"/>
      <c r="I669" s="35"/>
      <c r="J669" s="35"/>
      <c r="K669" s="35"/>
      <c r="BW669" s="17"/>
      <c r="BX669" s="17"/>
      <c r="BY669" s="17"/>
      <c r="BZ669" s="17"/>
      <c r="CA669" s="17"/>
      <c r="CB669" s="17"/>
      <c r="CC669" s="17"/>
      <c r="CD669" s="17"/>
      <c r="CE669" s="17"/>
    </row>
    <row r="670" spans="1:83" x14ac:dyDescent="0.25">
      <c r="A670" s="31"/>
      <c r="B670" s="30"/>
      <c r="C670" s="30"/>
      <c r="D670" s="35"/>
      <c r="E670" s="35"/>
      <c r="F670" s="35"/>
      <c r="G670" s="35"/>
      <c r="H670" s="35"/>
      <c r="I670" s="35"/>
      <c r="J670" s="35"/>
      <c r="K670" s="35"/>
      <c r="BW670" s="17"/>
      <c r="BX670" s="17"/>
      <c r="BY670" s="17"/>
      <c r="BZ670" s="17"/>
      <c r="CA670" s="17"/>
      <c r="CB670" s="17"/>
      <c r="CC670" s="17"/>
      <c r="CD670" s="17"/>
      <c r="CE670" s="17"/>
    </row>
    <row r="671" spans="1:83" x14ac:dyDescent="0.25">
      <c r="A671" s="31"/>
      <c r="B671" s="30"/>
      <c r="C671" s="30"/>
      <c r="D671" s="35"/>
      <c r="E671" s="35"/>
      <c r="F671" s="35"/>
      <c r="G671" s="35"/>
      <c r="H671" s="35"/>
      <c r="I671" s="35"/>
      <c r="J671" s="35"/>
      <c r="K671" s="35"/>
      <c r="BW671" s="17"/>
      <c r="BX671" s="17"/>
      <c r="BY671" s="17"/>
      <c r="BZ671" s="17"/>
      <c r="CA671" s="17"/>
      <c r="CB671" s="17"/>
      <c r="CC671" s="17"/>
      <c r="CD671" s="17"/>
      <c r="CE671" s="17"/>
    </row>
    <row r="672" spans="1:83" x14ac:dyDescent="0.25">
      <c r="A672" s="31"/>
      <c r="B672" s="30"/>
      <c r="C672" s="30"/>
      <c r="D672" s="35"/>
      <c r="E672" s="35"/>
      <c r="F672" s="35"/>
      <c r="G672" s="35"/>
      <c r="H672" s="35"/>
      <c r="I672" s="35"/>
      <c r="J672" s="35"/>
      <c r="K672" s="35"/>
      <c r="BW672" s="17"/>
      <c r="BX672" s="17"/>
      <c r="BY672" s="17"/>
      <c r="BZ672" s="17"/>
      <c r="CA672" s="17"/>
      <c r="CB672" s="17"/>
      <c r="CC672" s="17"/>
      <c r="CD672" s="17"/>
      <c r="CE672" s="17"/>
    </row>
    <row r="673" spans="1:83" x14ac:dyDescent="0.25">
      <c r="A673" s="31"/>
      <c r="B673" s="30"/>
      <c r="C673" s="30"/>
      <c r="D673" s="35"/>
      <c r="E673" s="35"/>
      <c r="F673" s="35"/>
      <c r="G673" s="35"/>
      <c r="H673" s="35"/>
      <c r="I673" s="35"/>
      <c r="J673" s="35"/>
      <c r="K673" s="35"/>
      <c r="BW673" s="17"/>
      <c r="BX673" s="17"/>
      <c r="BY673" s="17"/>
      <c r="BZ673" s="17"/>
      <c r="CA673" s="17"/>
      <c r="CB673" s="17"/>
      <c r="CC673" s="17"/>
      <c r="CD673" s="17"/>
      <c r="CE673" s="17"/>
    </row>
    <row r="674" spans="1:83" x14ac:dyDescent="0.25">
      <c r="A674" s="31"/>
      <c r="B674" s="30"/>
      <c r="C674" s="30"/>
      <c r="D674" s="35"/>
      <c r="E674" s="35"/>
      <c r="F674" s="35"/>
      <c r="G674" s="35"/>
      <c r="H674" s="35"/>
      <c r="I674" s="35"/>
      <c r="J674" s="35"/>
      <c r="K674" s="35"/>
      <c r="BW674" s="17"/>
      <c r="BX674" s="17"/>
      <c r="BY674" s="17"/>
      <c r="BZ674" s="17"/>
      <c r="CA674" s="17"/>
      <c r="CB674" s="17"/>
      <c r="CC674" s="17"/>
      <c r="CD674" s="17"/>
      <c r="CE674" s="17"/>
    </row>
    <row r="675" spans="1:83" x14ac:dyDescent="0.25">
      <c r="A675" s="31"/>
      <c r="B675" s="30"/>
      <c r="C675" s="30"/>
      <c r="D675" s="35"/>
      <c r="E675" s="35"/>
      <c r="F675" s="35"/>
      <c r="G675" s="35"/>
      <c r="H675" s="35"/>
      <c r="I675" s="35"/>
      <c r="J675" s="35"/>
      <c r="K675" s="35"/>
      <c r="BW675" s="17"/>
      <c r="BX675" s="17"/>
      <c r="BY675" s="17"/>
      <c r="BZ675" s="17"/>
      <c r="CA675" s="17"/>
      <c r="CB675" s="17"/>
      <c r="CC675" s="17"/>
      <c r="CD675" s="17"/>
      <c r="CE675" s="17"/>
    </row>
    <row r="676" spans="1:83" x14ac:dyDescent="0.25">
      <c r="A676" s="31"/>
      <c r="B676" s="30"/>
      <c r="C676" s="30"/>
      <c r="D676" s="35"/>
      <c r="E676" s="35"/>
      <c r="F676" s="35"/>
      <c r="G676" s="35"/>
      <c r="H676" s="35"/>
      <c r="I676" s="35"/>
      <c r="J676" s="35"/>
      <c r="K676" s="35"/>
      <c r="BW676" s="17"/>
      <c r="BX676" s="17"/>
      <c r="BY676" s="17"/>
      <c r="BZ676" s="17"/>
      <c r="CA676" s="17"/>
      <c r="CB676" s="17"/>
      <c r="CC676" s="17"/>
      <c r="CD676" s="17"/>
      <c r="CE676" s="17"/>
    </row>
    <row r="677" spans="1:83" x14ac:dyDescent="0.25">
      <c r="A677" s="31"/>
      <c r="B677" s="30"/>
      <c r="C677" s="30"/>
      <c r="D677" s="35"/>
      <c r="E677" s="35"/>
      <c r="F677" s="35"/>
      <c r="G677" s="35"/>
      <c r="H677" s="35"/>
      <c r="I677" s="35"/>
      <c r="J677" s="35"/>
      <c r="K677" s="35"/>
      <c r="BW677" s="17"/>
      <c r="BX677" s="17"/>
      <c r="BY677" s="17"/>
      <c r="BZ677" s="17"/>
      <c r="CA677" s="17"/>
      <c r="CB677" s="17"/>
      <c r="CC677" s="17"/>
      <c r="CD677" s="17"/>
      <c r="CE677" s="17"/>
    </row>
    <row r="678" spans="1:83" x14ac:dyDescent="0.25">
      <c r="A678" s="31"/>
      <c r="B678" s="30"/>
      <c r="C678" s="30"/>
      <c r="D678" s="35"/>
      <c r="E678" s="35"/>
      <c r="F678" s="35"/>
      <c r="G678" s="35"/>
      <c r="H678" s="35"/>
      <c r="I678" s="35"/>
      <c r="J678" s="35"/>
      <c r="K678" s="35"/>
      <c r="BW678" s="17"/>
      <c r="BX678" s="17"/>
      <c r="BY678" s="17"/>
      <c r="BZ678" s="17"/>
      <c r="CA678" s="17"/>
      <c r="CB678" s="17"/>
      <c r="CC678" s="17"/>
      <c r="CD678" s="17"/>
      <c r="CE678" s="17"/>
    </row>
    <row r="679" spans="1:83" x14ac:dyDescent="0.25">
      <c r="A679" s="31"/>
      <c r="B679" s="30"/>
      <c r="C679" s="30"/>
      <c r="D679" s="35"/>
      <c r="E679" s="35"/>
      <c r="F679" s="35"/>
      <c r="G679" s="35"/>
      <c r="H679" s="35"/>
      <c r="I679" s="35"/>
      <c r="J679" s="35"/>
      <c r="K679" s="35"/>
      <c r="BW679" s="17"/>
      <c r="BX679" s="17"/>
      <c r="BY679" s="17"/>
      <c r="BZ679" s="17"/>
      <c r="CA679" s="17"/>
      <c r="CB679" s="17"/>
      <c r="CC679" s="17"/>
      <c r="CD679" s="17"/>
      <c r="CE679" s="17"/>
    </row>
    <row r="680" spans="1:83" x14ac:dyDescent="0.25">
      <c r="A680" s="31"/>
      <c r="B680" s="30"/>
      <c r="C680" s="30"/>
      <c r="D680" s="35"/>
      <c r="E680" s="35"/>
      <c r="F680" s="35"/>
      <c r="G680" s="35"/>
      <c r="H680" s="35"/>
      <c r="I680" s="35"/>
      <c r="J680" s="35"/>
      <c r="K680" s="35"/>
      <c r="BW680" s="17"/>
      <c r="BX680" s="17"/>
      <c r="BY680" s="17"/>
      <c r="BZ680" s="17"/>
      <c r="CA680" s="17"/>
      <c r="CB680" s="17"/>
      <c r="CC680" s="17"/>
      <c r="CD680" s="17"/>
      <c r="CE680" s="17"/>
    </row>
    <row r="681" spans="1:83" x14ac:dyDescent="0.25">
      <c r="A681" s="31"/>
      <c r="B681" s="30"/>
      <c r="C681" s="30"/>
      <c r="D681" s="35"/>
      <c r="E681" s="35"/>
      <c r="F681" s="35"/>
      <c r="G681" s="35"/>
      <c r="H681" s="35"/>
      <c r="I681" s="35"/>
      <c r="J681" s="35"/>
      <c r="K681" s="35"/>
      <c r="BW681" s="17"/>
      <c r="BX681" s="17"/>
      <c r="BY681" s="17"/>
      <c r="BZ681" s="17"/>
      <c r="CA681" s="17"/>
      <c r="CB681" s="17"/>
      <c r="CC681" s="17"/>
      <c r="CD681" s="17"/>
      <c r="CE681" s="17"/>
    </row>
    <row r="682" spans="1:83" x14ac:dyDescent="0.25">
      <c r="A682" s="31"/>
      <c r="B682" s="30"/>
      <c r="C682" s="30"/>
      <c r="D682" s="35"/>
      <c r="E682" s="35"/>
      <c r="F682" s="35"/>
      <c r="G682" s="35"/>
      <c r="H682" s="35"/>
      <c r="I682" s="35"/>
      <c r="J682" s="35"/>
      <c r="K682" s="35"/>
      <c r="BW682" s="17"/>
      <c r="BX682" s="17"/>
      <c r="BY682" s="17"/>
      <c r="BZ682" s="17"/>
      <c r="CA682" s="17"/>
      <c r="CB682" s="17"/>
      <c r="CC682" s="17"/>
      <c r="CD682" s="17"/>
      <c r="CE682" s="17"/>
    </row>
    <row r="683" spans="1:83" x14ac:dyDescent="0.25">
      <c r="A683" s="31"/>
      <c r="B683" s="30"/>
      <c r="C683" s="30"/>
      <c r="D683" s="35"/>
      <c r="E683" s="35"/>
      <c r="F683" s="35"/>
      <c r="G683" s="35"/>
      <c r="H683" s="35"/>
      <c r="I683" s="35"/>
      <c r="J683" s="35"/>
      <c r="K683" s="35"/>
      <c r="BW683" s="17"/>
      <c r="BX683" s="17"/>
      <c r="BY683" s="17"/>
      <c r="BZ683" s="17"/>
      <c r="CA683" s="17"/>
      <c r="CB683" s="17"/>
      <c r="CC683" s="17"/>
      <c r="CD683" s="17"/>
      <c r="CE683" s="17"/>
    </row>
    <row r="684" spans="1:83" x14ac:dyDescent="0.25">
      <c r="A684" s="31"/>
      <c r="B684" s="30"/>
      <c r="C684" s="30"/>
      <c r="D684" s="35"/>
      <c r="E684" s="35"/>
      <c r="F684" s="35"/>
      <c r="G684" s="35"/>
      <c r="H684" s="35"/>
      <c r="I684" s="35"/>
      <c r="J684" s="35"/>
      <c r="K684" s="35"/>
      <c r="BW684" s="17"/>
      <c r="BX684" s="17"/>
      <c r="BY684" s="17"/>
      <c r="BZ684" s="17"/>
      <c r="CA684" s="17"/>
      <c r="CB684" s="17"/>
      <c r="CC684" s="17"/>
      <c r="CD684" s="17"/>
      <c r="CE684" s="17"/>
    </row>
    <row r="685" spans="1:83" x14ac:dyDescent="0.25">
      <c r="A685" s="31"/>
      <c r="B685" s="30"/>
      <c r="C685" s="30"/>
      <c r="D685" s="35"/>
      <c r="E685" s="35"/>
      <c r="F685" s="35"/>
      <c r="G685" s="35"/>
      <c r="H685" s="35"/>
      <c r="I685" s="35"/>
      <c r="J685" s="35"/>
      <c r="K685" s="35"/>
      <c r="BW685" s="17"/>
      <c r="BX685" s="17"/>
      <c r="BY685" s="17"/>
      <c r="BZ685" s="17"/>
      <c r="CA685" s="17"/>
      <c r="CB685" s="17"/>
      <c r="CC685" s="17"/>
      <c r="CD685" s="17"/>
      <c r="CE685" s="17"/>
    </row>
    <row r="686" spans="1:83" x14ac:dyDescent="0.25">
      <c r="A686" s="31"/>
      <c r="B686" s="30"/>
      <c r="C686" s="30"/>
      <c r="D686" s="35"/>
      <c r="E686" s="35"/>
      <c r="F686" s="35"/>
      <c r="G686" s="35"/>
      <c r="H686" s="35"/>
      <c r="I686" s="35"/>
      <c r="J686" s="35"/>
      <c r="K686" s="35"/>
      <c r="BW686" s="17"/>
      <c r="BX686" s="17"/>
      <c r="BY686" s="17"/>
      <c r="BZ686" s="17"/>
      <c r="CA686" s="17"/>
      <c r="CB686" s="17"/>
      <c r="CC686" s="17"/>
      <c r="CD686" s="17"/>
      <c r="CE686" s="17"/>
    </row>
    <row r="687" spans="1:83" x14ac:dyDescent="0.25">
      <c r="A687" s="31"/>
      <c r="B687" s="30"/>
      <c r="C687" s="30"/>
      <c r="D687" s="35"/>
      <c r="E687" s="35"/>
      <c r="F687" s="35"/>
      <c r="G687" s="35"/>
      <c r="H687" s="35"/>
      <c r="I687" s="35"/>
      <c r="J687" s="35"/>
      <c r="K687" s="35"/>
      <c r="BW687" s="17"/>
      <c r="BX687" s="17"/>
      <c r="BY687" s="17"/>
      <c r="BZ687" s="17"/>
      <c r="CA687" s="17"/>
      <c r="CB687" s="17"/>
      <c r="CC687" s="17"/>
      <c r="CD687" s="17"/>
      <c r="CE687" s="17"/>
    </row>
    <row r="688" spans="1:83" x14ac:dyDescent="0.25">
      <c r="A688" s="31"/>
      <c r="B688" s="30"/>
      <c r="C688" s="30"/>
      <c r="D688" s="35"/>
      <c r="E688" s="35"/>
      <c r="F688" s="35"/>
      <c r="G688" s="35"/>
      <c r="H688" s="35"/>
      <c r="I688" s="35"/>
      <c r="J688" s="35"/>
      <c r="K688" s="35"/>
      <c r="BW688" s="17"/>
      <c r="BX688" s="17"/>
      <c r="BY688" s="17"/>
      <c r="BZ688" s="17"/>
      <c r="CA688" s="17"/>
      <c r="CB688" s="17"/>
      <c r="CC688" s="17"/>
      <c r="CD688" s="17"/>
      <c r="CE688" s="17"/>
    </row>
    <row r="689" spans="1:83" x14ac:dyDescent="0.25">
      <c r="A689" s="31"/>
      <c r="B689" s="30"/>
      <c r="C689" s="30"/>
      <c r="D689" s="35"/>
      <c r="E689" s="35"/>
      <c r="F689" s="35"/>
      <c r="G689" s="35"/>
      <c r="H689" s="35"/>
      <c r="I689" s="35"/>
      <c r="J689" s="35"/>
      <c r="K689" s="35"/>
      <c r="BW689" s="17"/>
      <c r="BX689" s="17"/>
      <c r="BY689" s="17"/>
      <c r="BZ689" s="17"/>
      <c r="CA689" s="17"/>
      <c r="CB689" s="17"/>
      <c r="CC689" s="17"/>
      <c r="CD689" s="17"/>
      <c r="CE689" s="17"/>
    </row>
    <row r="690" spans="1:83" x14ac:dyDescent="0.25">
      <c r="A690" s="31"/>
      <c r="B690" s="30"/>
      <c r="C690" s="30"/>
      <c r="D690" s="35"/>
      <c r="E690" s="35"/>
      <c r="F690" s="35"/>
      <c r="G690" s="35"/>
      <c r="H690" s="35"/>
      <c r="I690" s="35"/>
      <c r="J690" s="35"/>
      <c r="K690" s="35"/>
      <c r="BW690" s="17"/>
      <c r="BX690" s="17"/>
      <c r="BY690" s="17"/>
      <c r="BZ690" s="17"/>
      <c r="CA690" s="17"/>
      <c r="CB690" s="17"/>
      <c r="CC690" s="17"/>
      <c r="CD690" s="17"/>
      <c r="CE690" s="17"/>
    </row>
    <row r="691" spans="1:83" x14ac:dyDescent="0.25">
      <c r="A691" s="31"/>
      <c r="B691" s="30"/>
      <c r="C691" s="30"/>
      <c r="D691" s="35"/>
      <c r="E691" s="35"/>
      <c r="F691" s="35"/>
      <c r="G691" s="35"/>
      <c r="H691" s="35"/>
      <c r="I691" s="35"/>
      <c r="J691" s="35"/>
      <c r="K691" s="35"/>
      <c r="BW691" s="17"/>
      <c r="BX691" s="17"/>
      <c r="BY691" s="17"/>
      <c r="BZ691" s="17"/>
      <c r="CA691" s="17"/>
      <c r="CB691" s="17"/>
      <c r="CC691" s="17"/>
      <c r="CD691" s="17"/>
      <c r="CE691" s="17"/>
    </row>
    <row r="692" spans="1:83" x14ac:dyDescent="0.25">
      <c r="A692" s="31"/>
      <c r="B692" s="30"/>
      <c r="C692" s="30"/>
      <c r="D692" s="35"/>
      <c r="E692" s="35"/>
      <c r="F692" s="35"/>
      <c r="G692" s="35"/>
      <c r="H692" s="35"/>
      <c r="I692" s="35"/>
      <c r="J692" s="35"/>
      <c r="K692" s="35"/>
      <c r="BW692" s="17"/>
      <c r="BX692" s="17"/>
      <c r="BY692" s="17"/>
      <c r="BZ692" s="17"/>
      <c r="CA692" s="17"/>
      <c r="CB692" s="17"/>
      <c r="CC692" s="17"/>
      <c r="CD692" s="17"/>
      <c r="CE692" s="17"/>
    </row>
    <row r="693" spans="1:83" x14ac:dyDescent="0.25">
      <c r="A693" s="31"/>
      <c r="B693" s="30"/>
      <c r="C693" s="30"/>
      <c r="D693" s="35"/>
      <c r="E693" s="35"/>
      <c r="F693" s="35"/>
      <c r="G693" s="35"/>
      <c r="H693" s="35"/>
      <c r="I693" s="35"/>
      <c r="J693" s="35"/>
      <c r="K693" s="35"/>
      <c r="BW693" s="17"/>
      <c r="BX693" s="17"/>
      <c r="BY693" s="17"/>
      <c r="BZ693" s="17"/>
      <c r="CA693" s="17"/>
      <c r="CB693" s="17"/>
      <c r="CC693" s="17"/>
      <c r="CD693" s="17"/>
      <c r="CE693" s="17"/>
    </row>
    <row r="694" spans="1:83" x14ac:dyDescent="0.25">
      <c r="A694" s="31"/>
      <c r="B694" s="30"/>
      <c r="C694" s="30"/>
      <c r="D694" s="35"/>
      <c r="E694" s="35"/>
      <c r="F694" s="35"/>
      <c r="G694" s="35"/>
      <c r="H694" s="35"/>
      <c r="I694" s="35"/>
      <c r="J694" s="35"/>
      <c r="K694" s="35"/>
      <c r="BW694" s="17"/>
      <c r="BX694" s="17"/>
      <c r="BY694" s="17"/>
      <c r="BZ694" s="17"/>
      <c r="CA694" s="17"/>
      <c r="CB694" s="17"/>
      <c r="CC694" s="17"/>
      <c r="CD694" s="17"/>
      <c r="CE694" s="17"/>
    </row>
    <row r="695" spans="1:83" x14ac:dyDescent="0.25">
      <c r="A695" s="31"/>
      <c r="B695" s="30"/>
      <c r="C695" s="30"/>
      <c r="D695" s="35"/>
      <c r="E695" s="35"/>
      <c r="F695" s="35"/>
      <c r="G695" s="35"/>
      <c r="H695" s="35"/>
      <c r="I695" s="35"/>
      <c r="J695" s="35"/>
      <c r="K695" s="35"/>
      <c r="BW695" s="17"/>
      <c r="BX695" s="17"/>
      <c r="BY695" s="17"/>
      <c r="BZ695" s="17"/>
      <c r="CA695" s="17"/>
      <c r="CB695" s="17"/>
      <c r="CC695" s="17"/>
      <c r="CD695" s="17"/>
      <c r="CE695" s="17"/>
    </row>
    <row r="696" spans="1:83" x14ac:dyDescent="0.25">
      <c r="A696" s="31"/>
      <c r="B696" s="30"/>
      <c r="C696" s="30"/>
      <c r="D696" s="35"/>
      <c r="E696" s="35"/>
      <c r="F696" s="35"/>
      <c r="G696" s="35"/>
      <c r="H696" s="35"/>
      <c r="I696" s="35"/>
      <c r="J696" s="35"/>
      <c r="K696" s="35"/>
      <c r="BW696" s="17"/>
      <c r="BX696" s="17"/>
      <c r="BY696" s="17"/>
      <c r="BZ696" s="17"/>
      <c r="CA696" s="17"/>
      <c r="CB696" s="17"/>
      <c r="CC696" s="17"/>
      <c r="CD696" s="17"/>
      <c r="CE696" s="17"/>
    </row>
    <row r="697" spans="1:83" x14ac:dyDescent="0.25">
      <c r="A697" s="31"/>
      <c r="B697" s="30"/>
      <c r="C697" s="30"/>
      <c r="D697" s="35"/>
      <c r="E697" s="35"/>
      <c r="F697" s="35"/>
      <c r="G697" s="35"/>
      <c r="H697" s="35"/>
      <c r="I697" s="35"/>
      <c r="J697" s="35"/>
      <c r="K697" s="35"/>
      <c r="BW697" s="17"/>
      <c r="BX697" s="17"/>
      <c r="BY697" s="17"/>
      <c r="BZ697" s="17"/>
      <c r="CA697" s="17"/>
      <c r="CB697" s="17"/>
      <c r="CC697" s="17"/>
      <c r="CD697" s="17"/>
      <c r="CE697" s="17"/>
    </row>
    <row r="698" spans="1:83" x14ac:dyDescent="0.25">
      <c r="A698" s="31"/>
      <c r="B698" s="30"/>
      <c r="C698" s="30"/>
      <c r="D698" s="35"/>
      <c r="E698" s="35"/>
      <c r="F698" s="35"/>
      <c r="G698" s="35"/>
      <c r="H698" s="35"/>
      <c r="I698" s="35"/>
      <c r="J698" s="35"/>
      <c r="K698" s="35"/>
      <c r="BW698" s="17"/>
      <c r="BX698" s="17"/>
      <c r="BY698" s="17"/>
      <c r="BZ698" s="17"/>
      <c r="CA698" s="17"/>
      <c r="CB698" s="17"/>
      <c r="CC698" s="17"/>
      <c r="CD698" s="17"/>
      <c r="CE698" s="17"/>
    </row>
    <row r="699" spans="1:83" x14ac:dyDescent="0.25">
      <c r="A699" s="31"/>
      <c r="B699" s="30"/>
      <c r="C699" s="30"/>
      <c r="D699" s="35"/>
      <c r="E699" s="35"/>
      <c r="F699" s="35"/>
      <c r="G699" s="35"/>
      <c r="H699" s="35"/>
      <c r="I699" s="35"/>
      <c r="J699" s="35"/>
      <c r="K699" s="35"/>
      <c r="BW699" s="17"/>
      <c r="BX699" s="17"/>
      <c r="BY699" s="17"/>
      <c r="BZ699" s="17"/>
      <c r="CA699" s="17"/>
      <c r="CB699" s="17"/>
      <c r="CC699" s="17"/>
      <c r="CD699" s="17"/>
      <c r="CE699" s="17"/>
    </row>
    <row r="700" spans="1:83" x14ac:dyDescent="0.25">
      <c r="A700" s="31"/>
      <c r="B700" s="30"/>
      <c r="C700" s="30"/>
      <c r="D700" s="35"/>
      <c r="E700" s="35"/>
      <c r="F700" s="35"/>
      <c r="G700" s="35"/>
      <c r="H700" s="35"/>
      <c r="I700" s="35"/>
      <c r="J700" s="35"/>
      <c r="K700" s="35"/>
      <c r="BW700" s="17"/>
      <c r="BX700" s="17"/>
      <c r="BY700" s="17"/>
      <c r="BZ700" s="17"/>
      <c r="CA700" s="17"/>
      <c r="CB700" s="17"/>
      <c r="CC700" s="17"/>
      <c r="CD700" s="17"/>
      <c r="CE700" s="17"/>
    </row>
    <row r="701" spans="1:83" x14ac:dyDescent="0.25">
      <c r="A701" s="31"/>
      <c r="B701" s="30"/>
      <c r="C701" s="30"/>
      <c r="D701" s="36"/>
      <c r="E701" s="36"/>
      <c r="F701" s="36"/>
      <c r="G701" s="36"/>
      <c r="H701" s="36"/>
      <c r="I701" s="36"/>
      <c r="J701" s="36"/>
      <c r="K701" s="35"/>
      <c r="BW701" s="17"/>
      <c r="BX701" s="17"/>
      <c r="BY701" s="17"/>
      <c r="BZ701" s="17"/>
      <c r="CA701" s="17"/>
      <c r="CB701" s="17"/>
      <c r="CC701" s="17"/>
      <c r="CD701" s="17"/>
      <c r="CE701" s="17"/>
    </row>
    <row r="702" spans="1:83" x14ac:dyDescent="0.25">
      <c r="A702" s="31"/>
      <c r="B702" s="30"/>
      <c r="C702" s="30"/>
      <c r="D702" s="36"/>
      <c r="E702" s="36"/>
      <c r="F702" s="36"/>
      <c r="G702" s="36"/>
      <c r="H702" s="36"/>
      <c r="I702" s="36"/>
      <c r="J702" s="36"/>
      <c r="K702" s="35"/>
      <c r="BW702" s="17"/>
      <c r="BX702" s="17"/>
      <c r="BY702" s="17"/>
      <c r="BZ702" s="17"/>
      <c r="CA702" s="17"/>
      <c r="CB702" s="17"/>
      <c r="CC702" s="17"/>
      <c r="CD702" s="17"/>
      <c r="CE702" s="17"/>
    </row>
    <row r="703" spans="1:83" x14ac:dyDescent="0.25">
      <c r="A703" s="31"/>
      <c r="B703" s="30"/>
      <c r="C703" s="30"/>
      <c r="D703" s="36"/>
      <c r="E703" s="36"/>
      <c r="F703" s="36"/>
      <c r="G703" s="36"/>
      <c r="H703" s="36"/>
      <c r="I703" s="36"/>
      <c r="J703" s="36"/>
      <c r="K703" s="36"/>
      <c r="BW703" s="17"/>
      <c r="BX703" s="17"/>
      <c r="BY703" s="17"/>
      <c r="BZ703" s="17"/>
      <c r="CA703" s="17"/>
      <c r="CB703" s="17"/>
      <c r="CC703" s="17"/>
      <c r="CD703" s="17"/>
      <c r="CE703" s="17"/>
    </row>
    <row r="704" spans="1:83" x14ac:dyDescent="0.25">
      <c r="A704" s="31"/>
      <c r="B704" s="30"/>
      <c r="C704" s="30"/>
      <c r="D704" s="36"/>
      <c r="E704" s="36"/>
      <c r="F704" s="36"/>
      <c r="G704" s="36"/>
      <c r="H704" s="36"/>
      <c r="I704" s="36"/>
      <c r="J704" s="36"/>
      <c r="K704" s="36"/>
      <c r="BW704" s="17"/>
      <c r="BX704" s="17"/>
      <c r="BY704" s="17"/>
      <c r="BZ704" s="17"/>
      <c r="CA704" s="17"/>
      <c r="CB704" s="17"/>
      <c r="CC704" s="17"/>
      <c r="CD704" s="17"/>
      <c r="CE704" s="17"/>
    </row>
    <row r="705" spans="1:83" x14ac:dyDescent="0.25">
      <c r="A705" s="31"/>
      <c r="B705" s="30"/>
      <c r="C705" s="30"/>
      <c r="D705" s="36"/>
      <c r="E705" s="36"/>
      <c r="F705" s="36"/>
      <c r="G705" s="36"/>
      <c r="H705" s="36"/>
      <c r="I705" s="36"/>
      <c r="J705" s="36"/>
      <c r="K705" s="36"/>
      <c r="BW705" s="17"/>
      <c r="BX705" s="17"/>
      <c r="BY705" s="17"/>
      <c r="BZ705" s="17"/>
      <c r="CA705" s="17"/>
      <c r="CB705" s="17"/>
      <c r="CC705" s="17"/>
      <c r="CD705" s="17"/>
      <c r="CE705" s="17"/>
    </row>
    <row r="706" spans="1:83" x14ac:dyDescent="0.25">
      <c r="A706" s="31"/>
      <c r="B706" s="30"/>
      <c r="C706" s="30"/>
      <c r="D706" s="36"/>
      <c r="E706" s="36"/>
      <c r="F706" s="36"/>
      <c r="G706" s="36"/>
      <c r="H706" s="36"/>
      <c r="I706" s="36"/>
      <c r="J706" s="36"/>
      <c r="K706" s="36"/>
      <c r="BW706" s="17"/>
      <c r="BX706" s="17"/>
      <c r="BY706" s="17"/>
      <c r="BZ706" s="17"/>
      <c r="CA706" s="17"/>
      <c r="CB706" s="17"/>
      <c r="CC706" s="17"/>
      <c r="CD706" s="17"/>
      <c r="CE706" s="17"/>
    </row>
    <row r="707" spans="1:83" x14ac:dyDescent="0.25">
      <c r="A707" s="31"/>
      <c r="B707" s="30"/>
      <c r="C707" s="30"/>
      <c r="D707" s="36"/>
      <c r="E707" s="36"/>
      <c r="F707" s="36"/>
      <c r="G707" s="36"/>
      <c r="H707" s="36"/>
      <c r="I707" s="36"/>
      <c r="J707" s="36"/>
      <c r="K707" s="36"/>
      <c r="BW707" s="17"/>
      <c r="BX707" s="17"/>
      <c r="BY707" s="17"/>
      <c r="BZ707" s="17"/>
      <c r="CA707" s="17"/>
      <c r="CB707" s="17"/>
      <c r="CC707" s="17"/>
      <c r="CD707" s="17"/>
      <c r="CE707" s="17"/>
    </row>
    <row r="708" spans="1:83" x14ac:dyDescent="0.25">
      <c r="A708" s="31"/>
      <c r="B708" s="30"/>
      <c r="C708" s="30"/>
      <c r="D708" s="36"/>
      <c r="E708" s="36"/>
      <c r="F708" s="36"/>
      <c r="G708" s="36"/>
      <c r="H708" s="36"/>
      <c r="I708" s="36"/>
      <c r="J708" s="36"/>
      <c r="K708" s="36"/>
      <c r="BW708" s="17"/>
      <c r="BX708" s="17"/>
      <c r="BY708" s="17"/>
      <c r="BZ708" s="17"/>
      <c r="CA708" s="17"/>
      <c r="CB708" s="17"/>
      <c r="CC708" s="17"/>
      <c r="CD708" s="17"/>
      <c r="CE708" s="17"/>
    </row>
    <row r="709" spans="1:83" x14ac:dyDescent="0.25">
      <c r="A709" s="31"/>
      <c r="B709" s="30"/>
      <c r="C709" s="30"/>
      <c r="D709" s="36"/>
      <c r="E709" s="36"/>
      <c r="F709" s="36"/>
      <c r="G709" s="36"/>
      <c r="H709" s="36"/>
      <c r="I709" s="36"/>
      <c r="J709" s="36"/>
      <c r="K709" s="36"/>
      <c r="BW709" s="17"/>
      <c r="BX709" s="17"/>
      <c r="BY709" s="17"/>
      <c r="BZ709" s="17"/>
      <c r="CA709" s="17"/>
      <c r="CB709" s="17"/>
      <c r="CC709" s="17"/>
      <c r="CD709" s="17"/>
      <c r="CE709" s="17"/>
    </row>
    <row r="710" spans="1:83" x14ac:dyDescent="0.25">
      <c r="A710" s="31"/>
      <c r="B710" s="30"/>
      <c r="C710" s="30"/>
      <c r="D710" s="36"/>
      <c r="E710" s="36"/>
      <c r="F710" s="36"/>
      <c r="G710" s="36"/>
      <c r="H710" s="36"/>
      <c r="I710" s="36"/>
      <c r="J710" s="36"/>
      <c r="K710" s="36"/>
      <c r="BW710" s="17"/>
      <c r="BX710" s="17"/>
      <c r="BY710" s="17"/>
      <c r="BZ710" s="17"/>
      <c r="CA710" s="17"/>
      <c r="CB710" s="17"/>
      <c r="CC710" s="17"/>
      <c r="CD710" s="17"/>
      <c r="CE710" s="17"/>
    </row>
    <row r="711" spans="1:83" x14ac:dyDescent="0.25">
      <c r="A711" s="31"/>
      <c r="B711" s="30"/>
      <c r="C711" s="30"/>
      <c r="D711" s="36"/>
      <c r="E711" s="36"/>
      <c r="F711" s="36"/>
      <c r="G711" s="36"/>
      <c r="H711" s="36"/>
      <c r="I711" s="36"/>
      <c r="J711" s="36"/>
      <c r="K711" s="36"/>
      <c r="BW711" s="17"/>
      <c r="BX711" s="17"/>
      <c r="BY711" s="17"/>
      <c r="BZ711" s="17"/>
      <c r="CA711" s="17"/>
      <c r="CB711" s="17"/>
      <c r="CC711" s="17"/>
      <c r="CD711" s="17"/>
      <c r="CE711" s="17"/>
    </row>
    <row r="712" spans="1:83" x14ac:dyDescent="0.25">
      <c r="A712" s="31"/>
      <c r="B712" s="30"/>
      <c r="C712" s="30"/>
      <c r="D712" s="36"/>
      <c r="E712" s="36"/>
      <c r="F712" s="36"/>
      <c r="G712" s="36"/>
      <c r="H712" s="36"/>
      <c r="I712" s="36"/>
      <c r="J712" s="36"/>
      <c r="K712" s="36"/>
      <c r="BW712" s="17"/>
      <c r="BX712" s="17"/>
      <c r="BY712" s="17"/>
      <c r="BZ712" s="17"/>
      <c r="CA712" s="17"/>
      <c r="CB712" s="17"/>
      <c r="CC712" s="17"/>
      <c r="CD712" s="17"/>
      <c r="CE712" s="17"/>
    </row>
    <row r="713" spans="1:83" x14ac:dyDescent="0.25">
      <c r="A713" s="31"/>
      <c r="B713" s="30"/>
      <c r="C713" s="30"/>
      <c r="K713" s="36"/>
      <c r="BW713" s="17"/>
      <c r="BX713" s="17"/>
      <c r="BY713" s="17"/>
      <c r="BZ713" s="17"/>
      <c r="CA713" s="17"/>
      <c r="CB713" s="17"/>
      <c r="CC713" s="17"/>
      <c r="CD713" s="17"/>
      <c r="CE713" s="17"/>
    </row>
    <row r="714" spans="1:83" x14ac:dyDescent="0.25">
      <c r="A714" s="31"/>
      <c r="B714" s="30"/>
      <c r="C714" s="30"/>
      <c r="K714" s="36"/>
      <c r="BW714" s="17"/>
      <c r="BX714" s="17"/>
      <c r="BY714" s="17"/>
      <c r="BZ714" s="17"/>
      <c r="CA714" s="17"/>
      <c r="CB714" s="17"/>
      <c r="CC714" s="17"/>
      <c r="CD714" s="17"/>
      <c r="CE714" s="17"/>
    </row>
    <row r="715" spans="1:83" x14ac:dyDescent="0.25">
      <c r="A715" s="31"/>
      <c r="B715" s="30"/>
      <c r="C715" s="30"/>
      <c r="BW715" s="17"/>
      <c r="BX715" s="17"/>
      <c r="BY715" s="17"/>
      <c r="BZ715" s="17"/>
      <c r="CA715" s="17"/>
      <c r="CB715" s="17"/>
      <c r="CC715" s="17"/>
      <c r="CD715" s="17"/>
      <c r="CE715" s="17"/>
    </row>
    <row r="716" spans="1:83" x14ac:dyDescent="0.25">
      <c r="A716" s="31"/>
      <c r="B716" s="30"/>
      <c r="C716" s="30"/>
      <c r="BW716" s="17"/>
      <c r="BX716" s="17"/>
      <c r="BY716" s="17"/>
      <c r="BZ716" s="17"/>
      <c r="CA716" s="17"/>
      <c r="CB716" s="17"/>
      <c r="CC716" s="17"/>
      <c r="CD716" s="17"/>
      <c r="CE716" s="17"/>
    </row>
    <row r="717" spans="1:83" x14ac:dyDescent="0.25">
      <c r="A717" s="31"/>
      <c r="B717" s="30"/>
      <c r="C717" s="30"/>
      <c r="BW717" s="17"/>
      <c r="BX717" s="17"/>
      <c r="BY717" s="17"/>
      <c r="BZ717" s="17"/>
      <c r="CA717" s="17"/>
      <c r="CB717" s="17"/>
      <c r="CC717" s="17"/>
      <c r="CD717" s="17"/>
      <c r="CE717" s="17"/>
    </row>
    <row r="718" spans="1:83" x14ac:dyDescent="0.25">
      <c r="A718" s="31"/>
      <c r="B718" s="30"/>
      <c r="C718" s="30"/>
      <c r="BW718" s="17"/>
      <c r="BX718" s="17"/>
      <c r="BY718" s="17"/>
      <c r="BZ718" s="17"/>
      <c r="CA718" s="17"/>
      <c r="CB718" s="17"/>
      <c r="CC718" s="17"/>
      <c r="CD718" s="17"/>
      <c r="CE718" s="17"/>
    </row>
    <row r="719" spans="1:83" x14ac:dyDescent="0.25">
      <c r="A719" s="31"/>
      <c r="B719" s="30"/>
      <c r="C719" s="30"/>
      <c r="BW719" s="17"/>
      <c r="BX719" s="17"/>
      <c r="BY719" s="17"/>
      <c r="BZ719" s="17"/>
      <c r="CA719" s="17"/>
      <c r="CB719" s="17"/>
      <c r="CC719" s="17"/>
      <c r="CD719" s="17"/>
      <c r="CE719" s="17"/>
    </row>
    <row r="720" spans="1:83" x14ac:dyDescent="0.25">
      <c r="A720" s="31"/>
      <c r="B720" s="30"/>
      <c r="C720" s="30"/>
      <c r="BW720" s="17"/>
      <c r="BX720" s="17"/>
      <c r="BY720" s="17"/>
      <c r="BZ720" s="17"/>
      <c r="CA720" s="17"/>
      <c r="CB720" s="17"/>
      <c r="CC720" s="17"/>
      <c r="CD720" s="17"/>
      <c r="CE720" s="17"/>
    </row>
    <row r="721" spans="1:83" x14ac:dyDescent="0.25">
      <c r="A721" s="31"/>
      <c r="B721" s="30"/>
      <c r="C721" s="30"/>
      <c r="BW721" s="17"/>
      <c r="BX721" s="17"/>
      <c r="BY721" s="17"/>
      <c r="BZ721" s="17"/>
      <c r="CA721" s="17"/>
      <c r="CB721" s="17"/>
      <c r="CC721" s="17"/>
      <c r="CD721" s="17"/>
      <c r="CE721" s="17"/>
    </row>
    <row r="722" spans="1:83" x14ac:dyDescent="0.25">
      <c r="A722" s="31"/>
      <c r="B722" s="30"/>
      <c r="C722" s="30"/>
      <c r="BW722" s="17"/>
      <c r="BX722" s="17"/>
      <c r="BY722" s="17"/>
      <c r="BZ722" s="17"/>
      <c r="CA722" s="17"/>
      <c r="CB722" s="17"/>
      <c r="CC722" s="17"/>
      <c r="CD722" s="17"/>
      <c r="CE722" s="17"/>
    </row>
    <row r="723" spans="1:83" x14ac:dyDescent="0.25">
      <c r="A723" s="31"/>
      <c r="B723" s="30"/>
      <c r="C723" s="30"/>
      <c r="BW723" s="17"/>
      <c r="BX723" s="17"/>
      <c r="BY723" s="17"/>
      <c r="BZ723" s="17"/>
      <c r="CA723" s="17"/>
      <c r="CB723" s="17"/>
      <c r="CC723" s="17"/>
      <c r="CD723" s="17"/>
      <c r="CE723" s="17"/>
    </row>
    <row r="724" spans="1:83" x14ac:dyDescent="0.25">
      <c r="A724" s="31"/>
      <c r="B724" s="30"/>
      <c r="C724" s="30"/>
      <c r="BW724" s="17"/>
      <c r="BX724" s="17"/>
      <c r="BY724" s="17"/>
      <c r="BZ724" s="17"/>
      <c r="CA724" s="17"/>
      <c r="CB724" s="17"/>
      <c r="CC724" s="17"/>
      <c r="CD724" s="17"/>
      <c r="CE724" s="17"/>
    </row>
    <row r="725" spans="1:83" x14ac:dyDescent="0.25">
      <c r="A725" s="31"/>
      <c r="B725" s="30"/>
      <c r="C725" s="30"/>
      <c r="BW725" s="17"/>
      <c r="BX725" s="17"/>
      <c r="BY725" s="17"/>
      <c r="BZ725" s="17"/>
      <c r="CA725" s="17"/>
      <c r="CB725" s="17"/>
      <c r="CC725" s="17"/>
      <c r="CD725" s="17"/>
      <c r="CE725" s="17"/>
    </row>
    <row r="726" spans="1:83" x14ac:dyDescent="0.25">
      <c r="A726" s="31"/>
      <c r="B726" s="30"/>
      <c r="C726" s="30"/>
      <c r="BW726" s="17"/>
      <c r="BX726" s="17"/>
      <c r="BY726" s="17"/>
      <c r="BZ726" s="17"/>
      <c r="CA726" s="17"/>
      <c r="CB726" s="17"/>
      <c r="CC726" s="17"/>
      <c r="CD726" s="17"/>
      <c r="CE726" s="17"/>
    </row>
    <row r="727" spans="1:83" x14ac:dyDescent="0.25">
      <c r="A727" s="31"/>
      <c r="B727" s="30"/>
      <c r="C727" s="30"/>
      <c r="BW727" s="17"/>
      <c r="BX727" s="17"/>
      <c r="BY727" s="17"/>
      <c r="BZ727" s="17"/>
      <c r="CA727" s="17"/>
      <c r="CB727" s="17"/>
      <c r="CC727" s="17"/>
      <c r="CD727" s="17"/>
      <c r="CE727" s="17"/>
    </row>
    <row r="728" spans="1:83" x14ac:dyDescent="0.25">
      <c r="A728" s="31"/>
      <c r="B728" s="30"/>
      <c r="C728" s="30"/>
      <c r="BW728" s="17"/>
      <c r="BX728" s="17"/>
      <c r="BY728" s="17"/>
      <c r="BZ728" s="17"/>
      <c r="CA728" s="17"/>
      <c r="CB728" s="17"/>
      <c r="CC728" s="17"/>
      <c r="CD728" s="17"/>
      <c r="CE728" s="17"/>
    </row>
    <row r="729" spans="1:83" x14ac:dyDescent="0.25">
      <c r="A729" s="31"/>
      <c r="B729" s="30"/>
      <c r="C729" s="30"/>
      <c r="BW729" s="17"/>
      <c r="BX729" s="17"/>
      <c r="BY729" s="17"/>
      <c r="BZ729" s="17"/>
      <c r="CA729" s="17"/>
      <c r="CB729" s="17"/>
      <c r="CC729" s="17"/>
      <c r="CD729" s="17"/>
      <c r="CE729" s="17"/>
    </row>
    <row r="730" spans="1:83" x14ac:dyDescent="0.25">
      <c r="A730" s="31"/>
      <c r="B730" s="30"/>
      <c r="C730" s="30"/>
      <c r="BW730" s="17"/>
      <c r="BX730" s="17"/>
      <c r="BY730" s="17"/>
      <c r="BZ730" s="17"/>
      <c r="CA730" s="17"/>
      <c r="CB730" s="17"/>
      <c r="CC730" s="17"/>
      <c r="CD730" s="17"/>
      <c r="CE730" s="17"/>
    </row>
    <row r="731" spans="1:83" x14ac:dyDescent="0.25">
      <c r="A731" s="31"/>
      <c r="B731" s="30"/>
      <c r="C731" s="30"/>
      <c r="BW731" s="17"/>
      <c r="BX731" s="17"/>
      <c r="BY731" s="17"/>
      <c r="BZ731" s="17"/>
      <c r="CA731" s="17"/>
      <c r="CB731" s="17"/>
      <c r="CC731" s="17"/>
      <c r="CD731" s="17"/>
      <c r="CE731" s="17"/>
    </row>
    <row r="732" spans="1:83" x14ac:dyDescent="0.25">
      <c r="A732" s="31"/>
      <c r="B732" s="30"/>
      <c r="C732" s="30"/>
      <c r="BW732" s="17"/>
      <c r="BX732" s="17"/>
      <c r="BY732" s="17"/>
      <c r="BZ732" s="17"/>
      <c r="CA732" s="17"/>
      <c r="CB732" s="17"/>
      <c r="CC732" s="17"/>
      <c r="CD732" s="17"/>
      <c r="CE732" s="17"/>
    </row>
    <row r="733" spans="1:83" x14ac:dyDescent="0.25">
      <c r="A733" s="31"/>
      <c r="B733" s="30"/>
      <c r="C733" s="30"/>
      <c r="BW733" s="17"/>
      <c r="BX733" s="17"/>
      <c r="BY733" s="17"/>
      <c r="BZ733" s="17"/>
      <c r="CA733" s="17"/>
      <c r="CB733" s="17"/>
      <c r="CC733" s="17"/>
      <c r="CD733" s="17"/>
      <c r="CE733" s="17"/>
    </row>
    <row r="734" spans="1:83" x14ac:dyDescent="0.25">
      <c r="A734" s="31"/>
      <c r="B734" s="30"/>
      <c r="C734" s="30"/>
      <c r="BW734" s="17"/>
      <c r="BX734" s="17"/>
      <c r="BY734" s="17"/>
      <c r="BZ734" s="17"/>
      <c r="CA734" s="17"/>
      <c r="CB734" s="17"/>
      <c r="CC734" s="17"/>
      <c r="CD734" s="17"/>
      <c r="CE734" s="17"/>
    </row>
    <row r="735" spans="1:83" x14ac:dyDescent="0.25">
      <c r="A735" s="31"/>
      <c r="B735" s="30"/>
      <c r="C735" s="30"/>
      <c r="BW735" s="17"/>
      <c r="BX735" s="17"/>
      <c r="BY735" s="17"/>
      <c r="BZ735" s="17"/>
      <c r="CA735" s="17"/>
      <c r="CB735" s="17"/>
      <c r="CC735" s="17"/>
      <c r="CD735" s="17"/>
      <c r="CE735" s="17"/>
    </row>
    <row r="736" spans="1:83" x14ac:dyDescent="0.25">
      <c r="A736" s="31"/>
      <c r="B736" s="30"/>
      <c r="C736" s="30"/>
      <c r="BW736" s="17"/>
      <c r="BX736" s="17"/>
      <c r="BY736" s="17"/>
      <c r="BZ736" s="17"/>
      <c r="CA736" s="17"/>
      <c r="CB736" s="17"/>
      <c r="CC736" s="17"/>
      <c r="CD736" s="17"/>
      <c r="CE736" s="17"/>
    </row>
    <row r="737" spans="1:83" x14ac:dyDescent="0.25">
      <c r="A737" s="31"/>
      <c r="B737" s="30"/>
      <c r="C737" s="30"/>
      <c r="BW737" s="17"/>
      <c r="BX737" s="17"/>
      <c r="BY737" s="17"/>
      <c r="BZ737" s="17"/>
      <c r="CA737" s="17"/>
      <c r="CB737" s="17"/>
      <c r="CC737" s="17"/>
      <c r="CD737" s="17"/>
      <c r="CE737" s="17"/>
    </row>
    <row r="738" spans="1:83" x14ac:dyDescent="0.25">
      <c r="A738" s="31"/>
      <c r="B738" s="30"/>
      <c r="C738" s="30"/>
      <c r="BW738" s="17"/>
      <c r="BX738" s="17"/>
      <c r="BY738" s="17"/>
      <c r="BZ738" s="17"/>
      <c r="CA738" s="17"/>
      <c r="CB738" s="17"/>
      <c r="CC738" s="17"/>
      <c r="CD738" s="17"/>
      <c r="CE738" s="17"/>
    </row>
    <row r="739" spans="1:83" x14ac:dyDescent="0.25">
      <c r="A739" s="31"/>
      <c r="B739" s="30"/>
      <c r="C739" s="30"/>
      <c r="BW739" s="17"/>
      <c r="BX739" s="17"/>
      <c r="BY739" s="17"/>
      <c r="BZ739" s="17"/>
      <c r="CA739" s="17"/>
      <c r="CB739" s="17"/>
      <c r="CC739" s="17"/>
      <c r="CD739" s="17"/>
      <c r="CE739" s="17"/>
    </row>
    <row r="740" spans="1:83" x14ac:dyDescent="0.25">
      <c r="A740" s="31"/>
      <c r="B740" s="30"/>
      <c r="C740" s="30"/>
      <c r="BW740" s="17"/>
      <c r="BX740" s="17"/>
      <c r="BY740" s="17"/>
      <c r="BZ740" s="17"/>
      <c r="CA740" s="17"/>
      <c r="CB740" s="17"/>
      <c r="CC740" s="17"/>
      <c r="CD740" s="17"/>
      <c r="CE740" s="17"/>
    </row>
    <row r="741" spans="1:83" x14ac:dyDescent="0.25">
      <c r="A741" s="31"/>
      <c r="B741" s="30"/>
      <c r="C741" s="30"/>
      <c r="BW741" s="17"/>
      <c r="BX741" s="17"/>
      <c r="BY741" s="17"/>
      <c r="BZ741" s="17"/>
      <c r="CA741" s="17"/>
      <c r="CB741" s="17"/>
      <c r="CC741" s="17"/>
      <c r="CD741" s="17"/>
      <c r="CE741" s="17"/>
    </row>
    <row r="742" spans="1:83" x14ac:dyDescent="0.25">
      <c r="A742" s="31"/>
      <c r="B742" s="30"/>
      <c r="C742" s="30"/>
      <c r="BW742" s="17"/>
      <c r="BX742" s="17"/>
      <c r="BY742" s="17"/>
      <c r="BZ742" s="17"/>
      <c r="CA742" s="17"/>
      <c r="CB742" s="17"/>
      <c r="CC742" s="17"/>
      <c r="CD742" s="17"/>
      <c r="CE742" s="17"/>
    </row>
    <row r="743" spans="1:83" x14ac:dyDescent="0.25">
      <c r="A743" s="31"/>
      <c r="B743" s="30"/>
      <c r="C743" s="30"/>
      <c r="BW743" s="17"/>
      <c r="BX743" s="17"/>
      <c r="BY743" s="17"/>
      <c r="BZ743" s="17"/>
      <c r="CA743" s="17"/>
      <c r="CB743" s="17"/>
      <c r="CC743" s="17"/>
      <c r="CD743" s="17"/>
      <c r="CE743" s="17"/>
    </row>
    <row r="744" spans="1:83" x14ac:dyDescent="0.25">
      <c r="A744" s="31"/>
      <c r="B744" s="30"/>
      <c r="C744" s="30"/>
      <c r="BW744" s="17"/>
      <c r="BX744" s="17"/>
      <c r="BY744" s="17"/>
      <c r="BZ744" s="17"/>
      <c r="CA744" s="17"/>
      <c r="CB744" s="17"/>
      <c r="CC744" s="17"/>
      <c r="CD744" s="17"/>
      <c r="CE744" s="17"/>
    </row>
    <row r="745" spans="1:83" x14ac:dyDescent="0.25">
      <c r="A745" s="31"/>
      <c r="B745" s="30"/>
      <c r="C745" s="30"/>
      <c r="BW745" s="17"/>
      <c r="BX745" s="17"/>
      <c r="BY745" s="17"/>
      <c r="BZ745" s="17"/>
      <c r="CA745" s="17"/>
      <c r="CB745" s="17"/>
      <c r="CC745" s="17"/>
      <c r="CD745" s="17"/>
      <c r="CE745" s="17"/>
    </row>
    <row r="746" spans="1:83" x14ac:dyDescent="0.25">
      <c r="A746" s="31"/>
      <c r="B746" s="30"/>
      <c r="C746" s="30"/>
      <c r="BW746" s="17"/>
      <c r="BX746" s="17"/>
      <c r="BY746" s="17"/>
      <c r="BZ746" s="17"/>
      <c r="CA746" s="17"/>
      <c r="CB746" s="17"/>
      <c r="CC746" s="17"/>
      <c r="CD746" s="17"/>
      <c r="CE746" s="17"/>
    </row>
    <row r="747" spans="1:83" x14ac:dyDescent="0.25">
      <c r="A747" s="31"/>
      <c r="B747" s="30"/>
      <c r="C747" s="30"/>
      <c r="BW747" s="17"/>
      <c r="BX747" s="17"/>
      <c r="BY747" s="17"/>
      <c r="BZ747" s="17"/>
      <c r="CA747" s="17"/>
      <c r="CB747" s="17"/>
      <c r="CC747" s="17"/>
      <c r="CD747" s="17"/>
      <c r="CE747" s="17"/>
    </row>
    <row r="748" spans="1:83" x14ac:dyDescent="0.25">
      <c r="A748" s="31"/>
      <c r="B748" s="30"/>
      <c r="C748" s="30"/>
      <c r="BW748" s="17"/>
      <c r="BX748" s="17"/>
      <c r="BY748" s="17"/>
      <c r="BZ748" s="17"/>
      <c r="CA748" s="17"/>
      <c r="CB748" s="17"/>
      <c r="CC748" s="17"/>
      <c r="CD748" s="17"/>
      <c r="CE748" s="17"/>
    </row>
    <row r="749" spans="1:83" x14ac:dyDescent="0.25">
      <c r="A749" s="31"/>
      <c r="B749" s="30"/>
      <c r="C749" s="30"/>
      <c r="BW749" s="17"/>
      <c r="BX749" s="17"/>
      <c r="BY749" s="17"/>
      <c r="BZ749" s="17"/>
      <c r="CA749" s="17"/>
      <c r="CB749" s="17"/>
      <c r="CC749" s="17"/>
      <c r="CD749" s="17"/>
      <c r="CE749" s="17"/>
    </row>
    <row r="750" spans="1:83" x14ac:dyDescent="0.25">
      <c r="A750" s="31"/>
      <c r="B750" s="30"/>
      <c r="C750" s="30"/>
      <c r="BW750" s="17"/>
      <c r="BX750" s="17"/>
      <c r="BY750" s="17"/>
      <c r="BZ750" s="17"/>
      <c r="CA750" s="17"/>
      <c r="CB750" s="17"/>
      <c r="CC750" s="17"/>
      <c r="CD750" s="17"/>
      <c r="CE750" s="17"/>
    </row>
    <row r="751" spans="1:83" x14ac:dyDescent="0.25">
      <c r="A751" s="31"/>
      <c r="B751" s="30"/>
      <c r="C751" s="30"/>
      <c r="BW751" s="17"/>
      <c r="BX751" s="17"/>
      <c r="BY751" s="17"/>
      <c r="BZ751" s="17"/>
      <c r="CA751" s="17"/>
      <c r="CB751" s="17"/>
      <c r="CC751" s="17"/>
      <c r="CD751" s="17"/>
      <c r="CE751" s="17"/>
    </row>
    <row r="752" spans="1:83" x14ac:dyDescent="0.25">
      <c r="A752" s="31"/>
      <c r="B752" s="30"/>
      <c r="C752" s="30"/>
      <c r="BW752" s="17"/>
      <c r="BX752" s="17"/>
      <c r="BY752" s="17"/>
      <c r="BZ752" s="17"/>
      <c r="CA752" s="17"/>
      <c r="CB752" s="17"/>
      <c r="CC752" s="17"/>
      <c r="CD752" s="17"/>
      <c r="CE752" s="17"/>
    </row>
    <row r="753" spans="1:83" x14ac:dyDescent="0.25">
      <c r="A753" s="31"/>
      <c r="B753" s="30"/>
      <c r="C753" s="30"/>
      <c r="BW753" s="17"/>
      <c r="BX753" s="17"/>
      <c r="BY753" s="17"/>
      <c r="BZ753" s="17"/>
      <c r="CA753" s="17"/>
      <c r="CB753" s="17"/>
      <c r="CC753" s="17"/>
      <c r="CD753" s="17"/>
      <c r="CE753" s="17"/>
    </row>
    <row r="754" spans="1:83" x14ac:dyDescent="0.25">
      <c r="A754" s="31"/>
      <c r="B754" s="30"/>
      <c r="C754" s="30"/>
      <c r="BW754" s="17"/>
      <c r="BX754" s="17"/>
      <c r="BY754" s="17"/>
      <c r="BZ754" s="17"/>
      <c r="CA754" s="17"/>
      <c r="CB754" s="17"/>
      <c r="CC754" s="17"/>
      <c r="CD754" s="17"/>
      <c r="CE754" s="17"/>
    </row>
    <row r="755" spans="1:83" x14ac:dyDescent="0.25">
      <c r="A755" s="31"/>
      <c r="B755" s="30"/>
      <c r="C755" s="30"/>
      <c r="BW755" s="17"/>
      <c r="BX755" s="17"/>
      <c r="BY755" s="17"/>
      <c r="BZ755" s="17"/>
      <c r="CA755" s="17"/>
      <c r="CB755" s="17"/>
      <c r="CC755" s="17"/>
      <c r="CD755" s="17"/>
      <c r="CE755" s="17"/>
    </row>
    <row r="756" spans="1:83" x14ac:dyDescent="0.25">
      <c r="A756" s="31"/>
      <c r="B756" s="30"/>
      <c r="C756" s="30"/>
      <c r="BW756" s="17"/>
      <c r="BX756" s="17"/>
      <c r="BY756" s="17"/>
      <c r="BZ756" s="17"/>
      <c r="CA756" s="17"/>
      <c r="CB756" s="17"/>
      <c r="CC756" s="17"/>
      <c r="CD756" s="17"/>
      <c r="CE756" s="17"/>
    </row>
    <row r="757" spans="1:83" x14ac:dyDescent="0.25">
      <c r="A757" s="31"/>
      <c r="B757" s="30"/>
      <c r="C757" s="30"/>
      <c r="BW757" s="17"/>
      <c r="BX757" s="17"/>
      <c r="BY757" s="17"/>
      <c r="BZ757" s="17"/>
      <c r="CA757" s="17"/>
      <c r="CB757" s="17"/>
      <c r="CC757" s="17"/>
      <c r="CD757" s="17"/>
      <c r="CE757" s="17"/>
    </row>
    <row r="758" spans="1:83" x14ac:dyDescent="0.25">
      <c r="A758" s="31"/>
      <c r="B758" s="30"/>
      <c r="C758" s="30"/>
      <c r="BW758" s="17"/>
      <c r="BX758" s="17"/>
      <c r="BY758" s="17"/>
      <c r="BZ758" s="17"/>
      <c r="CA758" s="17"/>
      <c r="CB758" s="17"/>
      <c r="CC758" s="17"/>
      <c r="CD758" s="17"/>
      <c r="CE758" s="17"/>
    </row>
    <row r="759" spans="1:83" x14ac:dyDescent="0.25">
      <c r="A759" s="31"/>
      <c r="B759" s="30"/>
      <c r="C759" s="30"/>
      <c r="BW759" s="17"/>
      <c r="BX759" s="17"/>
      <c r="BY759" s="17"/>
      <c r="BZ759" s="17"/>
      <c r="CA759" s="17"/>
      <c r="CB759" s="17"/>
      <c r="CC759" s="17"/>
      <c r="CD759" s="17"/>
      <c r="CE759" s="17"/>
    </row>
    <row r="760" spans="1:83" x14ac:dyDescent="0.25">
      <c r="A760" s="31"/>
      <c r="B760" s="30"/>
      <c r="C760" s="30"/>
      <c r="BW760" s="17"/>
      <c r="BX760" s="17"/>
      <c r="BY760" s="17"/>
      <c r="BZ760" s="17"/>
      <c r="CA760" s="17"/>
      <c r="CB760" s="17"/>
      <c r="CC760" s="17"/>
      <c r="CD760" s="17"/>
      <c r="CE760" s="17"/>
    </row>
    <row r="761" spans="1:83" x14ac:dyDescent="0.25">
      <c r="A761" s="31"/>
      <c r="B761" s="30"/>
      <c r="C761" s="30"/>
      <c r="BW761" s="17"/>
      <c r="BX761" s="17"/>
      <c r="BY761" s="17"/>
      <c r="BZ761" s="17"/>
      <c r="CA761" s="17"/>
      <c r="CB761" s="17"/>
      <c r="CC761" s="17"/>
      <c r="CD761" s="17"/>
      <c r="CE761" s="17"/>
    </row>
    <row r="762" spans="1:83" x14ac:dyDescent="0.25">
      <c r="A762" s="31"/>
      <c r="B762" s="30"/>
      <c r="C762" s="30"/>
      <c r="BW762" s="17"/>
      <c r="BX762" s="17"/>
      <c r="BY762" s="17"/>
      <c r="BZ762" s="17"/>
      <c r="CA762" s="17"/>
      <c r="CB762" s="17"/>
      <c r="CC762" s="17"/>
      <c r="CD762" s="17"/>
      <c r="CE762" s="17"/>
    </row>
    <row r="763" spans="1:83" x14ac:dyDescent="0.25">
      <c r="A763" s="31"/>
      <c r="B763" s="30"/>
      <c r="C763" s="30"/>
      <c r="BW763" s="17"/>
      <c r="BX763" s="17"/>
      <c r="BY763" s="17"/>
      <c r="BZ763" s="17"/>
      <c r="CA763" s="17"/>
      <c r="CB763" s="17"/>
      <c r="CC763" s="17"/>
      <c r="CD763" s="17"/>
      <c r="CE763" s="17"/>
    </row>
    <row r="764" spans="1:83" x14ac:dyDescent="0.25">
      <c r="A764" s="31"/>
      <c r="B764" s="30"/>
      <c r="C764" s="30"/>
      <c r="BW764" s="17"/>
      <c r="BX764" s="17"/>
      <c r="BY764" s="17"/>
      <c r="BZ764" s="17"/>
      <c r="CA764" s="17"/>
      <c r="CB764" s="17"/>
      <c r="CC764" s="17"/>
      <c r="CD764" s="17"/>
      <c r="CE764" s="17"/>
    </row>
    <row r="765" spans="1:83" x14ac:dyDescent="0.25">
      <c r="A765" s="31"/>
      <c r="B765" s="30"/>
      <c r="C765" s="30"/>
      <c r="BW765" s="17"/>
      <c r="BX765" s="17"/>
      <c r="BY765" s="17"/>
      <c r="BZ765" s="17"/>
      <c r="CA765" s="17"/>
      <c r="CB765" s="17"/>
      <c r="CC765" s="17"/>
      <c r="CD765" s="17"/>
      <c r="CE765" s="17"/>
    </row>
    <row r="766" spans="1:83" x14ac:dyDescent="0.25">
      <c r="A766" s="31"/>
      <c r="B766" s="30"/>
      <c r="C766" s="30"/>
      <c r="BW766" s="17"/>
      <c r="BX766" s="17"/>
      <c r="BY766" s="17"/>
      <c r="BZ766" s="17"/>
      <c r="CA766" s="17"/>
      <c r="CB766" s="17"/>
      <c r="CC766" s="17"/>
      <c r="CD766" s="17"/>
      <c r="CE766" s="17"/>
    </row>
    <row r="767" spans="1:83" x14ac:dyDescent="0.25">
      <c r="A767" s="31"/>
      <c r="B767" s="30"/>
      <c r="C767" s="30"/>
      <c r="BW767" s="17"/>
      <c r="BX767" s="17"/>
      <c r="BY767" s="17"/>
      <c r="BZ767" s="17"/>
      <c r="CA767" s="17"/>
      <c r="CB767" s="17"/>
      <c r="CC767" s="17"/>
      <c r="CD767" s="17"/>
      <c r="CE767" s="17"/>
    </row>
    <row r="768" spans="1:83" x14ac:dyDescent="0.25">
      <c r="A768" s="31"/>
      <c r="B768" s="30"/>
      <c r="C768" s="30"/>
      <c r="BW768" s="17"/>
      <c r="BX768" s="17"/>
      <c r="BY768" s="17"/>
      <c r="BZ768" s="17"/>
      <c r="CA768" s="17"/>
      <c r="CB768" s="17"/>
      <c r="CC768" s="17"/>
      <c r="CD768" s="17"/>
      <c r="CE768" s="17"/>
    </row>
    <row r="769" spans="1:83" x14ac:dyDescent="0.25">
      <c r="A769" s="31"/>
      <c r="B769" s="30"/>
      <c r="C769" s="30"/>
      <c r="BW769" s="17"/>
      <c r="BX769" s="17"/>
      <c r="BY769" s="17"/>
      <c r="BZ769" s="17"/>
      <c r="CA769" s="17"/>
      <c r="CB769" s="17"/>
      <c r="CC769" s="17"/>
      <c r="CD769" s="17"/>
      <c r="CE769" s="17"/>
    </row>
    <row r="770" spans="1:83" x14ac:dyDescent="0.25">
      <c r="A770" s="31"/>
      <c r="B770" s="30"/>
      <c r="C770" s="30"/>
      <c r="BW770" s="17"/>
      <c r="BX770" s="17"/>
      <c r="BY770" s="17"/>
      <c r="BZ770" s="17"/>
      <c r="CA770" s="17"/>
      <c r="CB770" s="17"/>
      <c r="CC770" s="17"/>
      <c r="CD770" s="17"/>
      <c r="CE770" s="17"/>
    </row>
    <row r="771" spans="1:83" x14ac:dyDescent="0.25">
      <c r="A771" s="31"/>
      <c r="B771" s="30"/>
      <c r="C771" s="30"/>
      <c r="BW771" s="17"/>
      <c r="BX771" s="17"/>
      <c r="BY771" s="17"/>
      <c r="BZ771" s="17"/>
      <c r="CA771" s="17"/>
      <c r="CB771" s="17"/>
      <c r="CC771" s="17"/>
      <c r="CD771" s="17"/>
      <c r="CE771" s="17"/>
    </row>
    <row r="772" spans="1:83" x14ac:dyDescent="0.25">
      <c r="A772" s="31"/>
      <c r="B772" s="30"/>
      <c r="C772" s="30"/>
      <c r="BW772" s="17"/>
      <c r="BX772" s="17"/>
      <c r="BY772" s="17"/>
      <c r="BZ772" s="17"/>
      <c r="CA772" s="17"/>
      <c r="CB772" s="17"/>
      <c r="CC772" s="17"/>
      <c r="CD772" s="17"/>
      <c r="CE772" s="17"/>
    </row>
    <row r="773" spans="1:83" x14ac:dyDescent="0.25">
      <c r="A773" s="31"/>
      <c r="B773" s="30"/>
      <c r="C773" s="30"/>
      <c r="BW773" s="17"/>
      <c r="BX773" s="17"/>
      <c r="BY773" s="17"/>
      <c r="BZ773" s="17"/>
      <c r="CA773" s="17"/>
      <c r="CB773" s="17"/>
      <c r="CC773" s="17"/>
      <c r="CD773" s="17"/>
      <c r="CE773" s="17"/>
    </row>
    <row r="774" spans="1:83" x14ac:dyDescent="0.25">
      <c r="A774" s="31"/>
      <c r="B774" s="30"/>
      <c r="C774" s="30"/>
      <c r="BW774" s="17"/>
      <c r="BX774" s="17"/>
      <c r="BY774" s="17"/>
      <c r="BZ774" s="17"/>
      <c r="CA774" s="17"/>
      <c r="CB774" s="17"/>
      <c r="CC774" s="17"/>
      <c r="CD774" s="17"/>
      <c r="CE774" s="17"/>
    </row>
    <row r="775" spans="1:83" x14ac:dyDescent="0.25">
      <c r="A775" s="31"/>
      <c r="B775" s="30"/>
      <c r="C775" s="30"/>
      <c r="BW775" s="17"/>
      <c r="BX775" s="17"/>
      <c r="BY775" s="17"/>
      <c r="BZ775" s="17"/>
      <c r="CA775" s="17"/>
      <c r="CB775" s="17"/>
      <c r="CC775" s="17"/>
      <c r="CD775" s="17"/>
      <c r="CE775" s="17"/>
    </row>
    <row r="776" spans="1:83" x14ac:dyDescent="0.25">
      <c r="A776" s="31"/>
      <c r="B776" s="30"/>
      <c r="C776" s="30"/>
      <c r="BW776" s="17"/>
      <c r="BX776" s="17"/>
      <c r="BY776" s="17"/>
      <c r="BZ776" s="17"/>
      <c r="CA776" s="17"/>
      <c r="CB776" s="17"/>
      <c r="CC776" s="17"/>
      <c r="CD776" s="17"/>
      <c r="CE776" s="17"/>
    </row>
    <row r="777" spans="1:83" x14ac:dyDescent="0.25">
      <c r="A777" s="31"/>
      <c r="B777" s="30"/>
      <c r="C777" s="30"/>
      <c r="BW777" s="17"/>
      <c r="BX777" s="17"/>
      <c r="BY777" s="17"/>
      <c r="BZ777" s="17"/>
      <c r="CA777" s="17"/>
      <c r="CB777" s="17"/>
      <c r="CC777" s="17"/>
      <c r="CD777" s="17"/>
      <c r="CE777" s="17"/>
    </row>
    <row r="778" spans="1:83" x14ac:dyDescent="0.25">
      <c r="A778" s="31"/>
      <c r="B778" s="30"/>
      <c r="C778" s="30"/>
      <c r="BW778" s="17"/>
      <c r="BX778" s="17"/>
      <c r="BY778" s="17"/>
      <c r="BZ778" s="17"/>
      <c r="CA778" s="17"/>
      <c r="CB778" s="17"/>
      <c r="CC778" s="17"/>
      <c r="CD778" s="17"/>
      <c r="CE778" s="17"/>
    </row>
    <row r="779" spans="1:83" x14ac:dyDescent="0.25">
      <c r="A779" s="31"/>
      <c r="B779" s="30"/>
      <c r="C779" s="30"/>
      <c r="BW779" s="17"/>
      <c r="BX779" s="17"/>
      <c r="BY779" s="17"/>
      <c r="BZ779" s="17"/>
      <c r="CA779" s="17"/>
      <c r="CB779" s="17"/>
      <c r="CC779" s="17"/>
      <c r="CD779" s="17"/>
      <c r="CE779" s="17"/>
    </row>
    <row r="780" spans="1:83" x14ac:dyDescent="0.25">
      <c r="A780" s="31"/>
      <c r="B780" s="30"/>
      <c r="C780" s="30"/>
      <c r="BW780" s="17"/>
      <c r="BX780" s="17"/>
      <c r="BY780" s="17"/>
      <c r="BZ780" s="17"/>
      <c r="CA780" s="17"/>
      <c r="CB780" s="17"/>
      <c r="CC780" s="17"/>
      <c r="CD780" s="17"/>
      <c r="CE780" s="17"/>
    </row>
    <row r="781" spans="1:83" x14ac:dyDescent="0.25">
      <c r="A781" s="31"/>
      <c r="B781" s="30"/>
      <c r="C781" s="30"/>
      <c r="BW781" s="17"/>
      <c r="BX781" s="17"/>
      <c r="BY781" s="17"/>
      <c r="BZ781" s="17"/>
      <c r="CA781" s="17"/>
      <c r="CB781" s="17"/>
      <c r="CC781" s="17"/>
      <c r="CD781" s="17"/>
      <c r="CE781" s="17"/>
    </row>
    <row r="782" spans="1:83" x14ac:dyDescent="0.25">
      <c r="A782" s="31"/>
      <c r="B782" s="30"/>
      <c r="C782" s="30"/>
      <c r="BW782" s="17"/>
      <c r="BX782" s="17"/>
      <c r="BY782" s="17"/>
      <c r="BZ782" s="17"/>
      <c r="CA782" s="17"/>
      <c r="CB782" s="17"/>
      <c r="CC782" s="17"/>
      <c r="CD782" s="17"/>
      <c r="CE782" s="17"/>
    </row>
    <row r="783" spans="1:83" x14ac:dyDescent="0.25">
      <c r="A783" s="31"/>
      <c r="B783" s="30"/>
      <c r="C783" s="30"/>
      <c r="BW783" s="17"/>
      <c r="BX783" s="17"/>
      <c r="BY783" s="17"/>
      <c r="BZ783" s="17"/>
      <c r="CA783" s="17"/>
      <c r="CB783" s="17"/>
      <c r="CC783" s="17"/>
      <c r="CD783" s="17"/>
      <c r="CE783" s="17"/>
    </row>
    <row r="784" spans="1:83" x14ac:dyDescent="0.25">
      <c r="A784" s="31"/>
      <c r="B784" s="30"/>
      <c r="C784" s="30"/>
      <c r="BW784" s="17"/>
      <c r="BX784" s="17"/>
      <c r="BY784" s="17"/>
      <c r="BZ784" s="17"/>
      <c r="CA784" s="17"/>
      <c r="CB784" s="17"/>
      <c r="CC784" s="17"/>
      <c r="CD784" s="17"/>
      <c r="CE784" s="17"/>
    </row>
    <row r="785" spans="1:83" x14ac:dyDescent="0.25">
      <c r="A785" s="31"/>
      <c r="B785" s="30"/>
      <c r="C785" s="30"/>
      <c r="BW785" s="17"/>
      <c r="BX785" s="17"/>
      <c r="BY785" s="17"/>
      <c r="BZ785" s="17"/>
      <c r="CA785" s="17"/>
      <c r="CB785" s="17"/>
      <c r="CC785" s="17"/>
      <c r="CD785" s="17"/>
      <c r="CE785" s="17"/>
    </row>
    <row r="786" spans="1:83" x14ac:dyDescent="0.25">
      <c r="A786" s="31"/>
      <c r="B786" s="30"/>
      <c r="C786" s="30"/>
      <c r="BW786" s="17"/>
      <c r="BX786" s="17"/>
      <c r="BY786" s="17"/>
      <c r="BZ786" s="17"/>
      <c r="CA786" s="17"/>
      <c r="CB786" s="17"/>
      <c r="CC786" s="17"/>
      <c r="CD786" s="17"/>
      <c r="CE786" s="17"/>
    </row>
    <row r="787" spans="1:83" x14ac:dyDescent="0.25">
      <c r="A787" s="31"/>
      <c r="B787" s="30"/>
      <c r="C787" s="30"/>
      <c r="BW787" s="17"/>
      <c r="BX787" s="17"/>
      <c r="BY787" s="17"/>
      <c r="BZ787" s="17"/>
      <c r="CA787" s="17"/>
      <c r="CB787" s="17"/>
      <c r="CC787" s="17"/>
      <c r="CD787" s="17"/>
      <c r="CE787" s="17"/>
    </row>
    <row r="788" spans="1:83" x14ac:dyDescent="0.25">
      <c r="A788" s="31"/>
      <c r="B788" s="30"/>
      <c r="C788" s="30"/>
      <c r="BW788" s="17"/>
      <c r="BX788" s="17"/>
      <c r="BY788" s="17"/>
      <c r="BZ788" s="17"/>
      <c r="CA788" s="17"/>
      <c r="CB788" s="17"/>
      <c r="CC788" s="17"/>
      <c r="CD788" s="17"/>
      <c r="CE788" s="17"/>
    </row>
    <row r="789" spans="1:83" x14ac:dyDescent="0.25">
      <c r="A789" s="31"/>
      <c r="B789" s="30"/>
      <c r="C789" s="30"/>
      <c r="BW789" s="17"/>
      <c r="BX789" s="17"/>
      <c r="BY789" s="17"/>
      <c r="BZ789" s="17"/>
      <c r="CA789" s="17"/>
      <c r="CB789" s="17"/>
      <c r="CC789" s="17"/>
      <c r="CD789" s="17"/>
      <c r="CE789" s="17"/>
    </row>
    <row r="790" spans="1:83" x14ac:dyDescent="0.25">
      <c r="A790" s="31"/>
      <c r="B790" s="30"/>
      <c r="C790" s="30"/>
      <c r="BW790" s="17"/>
      <c r="BX790" s="17"/>
      <c r="BY790" s="17"/>
      <c r="BZ790" s="17"/>
      <c r="CA790" s="17"/>
      <c r="CB790" s="17"/>
      <c r="CC790" s="17"/>
      <c r="CD790" s="17"/>
      <c r="CE790" s="17"/>
    </row>
    <row r="791" spans="1:83" x14ac:dyDescent="0.25">
      <c r="A791" s="31"/>
      <c r="B791" s="30"/>
      <c r="C791" s="30"/>
      <c r="BW791" s="17"/>
      <c r="BX791" s="17"/>
      <c r="BY791" s="17"/>
      <c r="BZ791" s="17"/>
      <c r="CA791" s="17"/>
      <c r="CB791" s="17"/>
      <c r="CC791" s="17"/>
      <c r="CD791" s="17"/>
      <c r="CE791" s="17"/>
    </row>
    <row r="792" spans="1:83" x14ac:dyDescent="0.25">
      <c r="A792" s="31"/>
      <c r="B792" s="30"/>
      <c r="C792" s="30"/>
      <c r="BW792" s="17"/>
      <c r="BX792" s="17"/>
      <c r="BY792" s="17"/>
      <c r="BZ792" s="17"/>
      <c r="CA792" s="17"/>
      <c r="CB792" s="17"/>
      <c r="CC792" s="17"/>
      <c r="CD792" s="17"/>
      <c r="CE792" s="17"/>
    </row>
    <row r="793" spans="1:83" x14ac:dyDescent="0.25">
      <c r="A793" s="31"/>
      <c r="B793" s="30"/>
      <c r="C793" s="30"/>
      <c r="BW793" s="17"/>
      <c r="BX793" s="17"/>
      <c r="BY793" s="17"/>
      <c r="BZ793" s="17"/>
      <c r="CA793" s="17"/>
      <c r="CB793" s="17"/>
      <c r="CC793" s="17"/>
      <c r="CD793" s="17"/>
      <c r="CE793" s="17"/>
    </row>
    <row r="794" spans="1:83" x14ac:dyDescent="0.25">
      <c r="A794" s="31"/>
      <c r="B794" s="30"/>
      <c r="C794" s="30"/>
      <c r="BW794" s="17"/>
      <c r="BX794" s="17"/>
      <c r="BY794" s="17"/>
      <c r="BZ794" s="17"/>
      <c r="CA794" s="17"/>
      <c r="CB794" s="17"/>
      <c r="CC794" s="17"/>
      <c r="CD794" s="17"/>
      <c r="CE794" s="17"/>
    </row>
    <row r="795" spans="1:83" x14ac:dyDescent="0.25">
      <c r="A795" s="31"/>
      <c r="B795" s="30"/>
      <c r="C795" s="30"/>
      <c r="BW795" s="17"/>
      <c r="BX795" s="17"/>
      <c r="BY795" s="17"/>
      <c r="BZ795" s="17"/>
      <c r="CA795" s="17"/>
      <c r="CB795" s="17"/>
      <c r="CC795" s="17"/>
      <c r="CD795" s="17"/>
      <c r="CE795" s="17"/>
    </row>
    <row r="796" spans="1:83" x14ac:dyDescent="0.25">
      <c r="A796" s="31"/>
      <c r="B796" s="30"/>
      <c r="C796" s="30"/>
      <c r="BW796" s="17"/>
      <c r="BX796" s="17"/>
      <c r="BY796" s="17"/>
      <c r="BZ796" s="17"/>
      <c r="CA796" s="17"/>
      <c r="CB796" s="17"/>
      <c r="CC796" s="17"/>
      <c r="CD796" s="17"/>
      <c r="CE796" s="17"/>
    </row>
    <row r="797" spans="1:83" x14ac:dyDescent="0.25">
      <c r="A797" s="31"/>
      <c r="B797" s="30"/>
      <c r="C797" s="30"/>
      <c r="BW797" s="17"/>
      <c r="BX797" s="17"/>
      <c r="BY797" s="17"/>
      <c r="BZ797" s="17"/>
      <c r="CA797" s="17"/>
      <c r="CB797" s="17"/>
      <c r="CC797" s="17"/>
      <c r="CD797" s="17"/>
      <c r="CE797" s="17"/>
    </row>
    <row r="798" spans="1:83" x14ac:dyDescent="0.25">
      <c r="A798" s="31"/>
      <c r="B798" s="30"/>
      <c r="C798" s="30"/>
      <c r="BW798" s="17"/>
      <c r="BX798" s="17"/>
      <c r="BY798" s="17"/>
      <c r="BZ798" s="17"/>
      <c r="CA798" s="17"/>
      <c r="CB798" s="17"/>
      <c r="CC798" s="17"/>
      <c r="CD798" s="17"/>
      <c r="CE798" s="17"/>
    </row>
    <row r="799" spans="1:83" x14ac:dyDescent="0.25">
      <c r="A799" s="31"/>
      <c r="B799" s="30"/>
      <c r="C799" s="30"/>
      <c r="BW799" s="17"/>
      <c r="BX799" s="17"/>
      <c r="BY799" s="17"/>
      <c r="BZ799" s="17"/>
      <c r="CA799" s="17"/>
      <c r="CB799" s="17"/>
      <c r="CC799" s="17"/>
      <c r="CD799" s="17"/>
      <c r="CE799" s="17"/>
    </row>
    <row r="800" spans="1:83" x14ac:dyDescent="0.25">
      <c r="A800" s="31"/>
      <c r="B800" s="30"/>
      <c r="C800" s="30"/>
      <c r="BW800" s="17"/>
      <c r="BX800" s="17"/>
      <c r="BY800" s="17"/>
      <c r="BZ800" s="17"/>
      <c r="CA800" s="17"/>
      <c r="CB800" s="17"/>
      <c r="CC800" s="17"/>
      <c r="CD800" s="17"/>
      <c r="CE800" s="17"/>
    </row>
    <row r="801" spans="1:83" x14ac:dyDescent="0.25">
      <c r="A801" s="31"/>
      <c r="B801" s="30"/>
      <c r="C801" s="30"/>
      <c r="BW801" s="17"/>
      <c r="BX801" s="17"/>
      <c r="BY801" s="17"/>
      <c r="BZ801" s="17"/>
      <c r="CA801" s="17"/>
      <c r="CB801" s="17"/>
      <c r="CC801" s="17"/>
      <c r="CD801" s="17"/>
      <c r="CE801" s="17"/>
    </row>
    <row r="802" spans="1:83" x14ac:dyDescent="0.25">
      <c r="A802" s="31"/>
      <c r="B802" s="30"/>
      <c r="C802" s="30"/>
      <c r="BW802" s="17"/>
      <c r="BX802" s="17"/>
      <c r="BY802" s="17"/>
      <c r="BZ802" s="17"/>
      <c r="CA802" s="17"/>
      <c r="CB802" s="17"/>
      <c r="CC802" s="17"/>
      <c r="CD802" s="17"/>
      <c r="CE802" s="17"/>
    </row>
    <row r="803" spans="1:83" x14ac:dyDescent="0.25">
      <c r="A803" s="31"/>
      <c r="B803" s="30"/>
      <c r="C803" s="30"/>
      <c r="BW803" s="17"/>
      <c r="BX803" s="17"/>
      <c r="BY803" s="17"/>
      <c r="BZ803" s="17"/>
      <c r="CA803" s="17"/>
      <c r="CB803" s="17"/>
      <c r="CC803" s="17"/>
      <c r="CD803" s="17"/>
      <c r="CE803" s="17"/>
    </row>
    <row r="804" spans="1:83" x14ac:dyDescent="0.25">
      <c r="A804" s="31"/>
      <c r="B804" s="30"/>
      <c r="C804" s="30"/>
      <c r="BW804" s="17"/>
      <c r="BX804" s="17"/>
      <c r="BY804" s="17"/>
      <c r="BZ804" s="17"/>
      <c r="CA804" s="17"/>
      <c r="CB804" s="17"/>
      <c r="CC804" s="17"/>
      <c r="CD804" s="17"/>
      <c r="CE804" s="17"/>
    </row>
    <row r="805" spans="1:83" x14ac:dyDescent="0.25">
      <c r="A805" s="31"/>
      <c r="B805" s="30"/>
      <c r="C805" s="30"/>
      <c r="BW805" s="17"/>
      <c r="BX805" s="17"/>
      <c r="BY805" s="17"/>
      <c r="BZ805" s="17"/>
      <c r="CA805" s="17"/>
      <c r="CB805" s="17"/>
      <c r="CC805" s="17"/>
      <c r="CD805" s="17"/>
      <c r="CE805" s="17"/>
    </row>
    <row r="806" spans="1:83" x14ac:dyDescent="0.25">
      <c r="A806" s="31"/>
      <c r="B806" s="30"/>
      <c r="C806" s="30"/>
      <c r="BW806" s="17"/>
      <c r="BX806" s="17"/>
      <c r="BY806" s="17"/>
      <c r="BZ806" s="17"/>
      <c r="CA806" s="17"/>
      <c r="CB806" s="17"/>
      <c r="CC806" s="17"/>
      <c r="CD806" s="17"/>
      <c r="CE806" s="17"/>
    </row>
    <row r="807" spans="1:83" x14ac:dyDescent="0.25">
      <c r="A807" s="31"/>
      <c r="B807" s="30"/>
      <c r="C807" s="30"/>
      <c r="BW807" s="17"/>
      <c r="BX807" s="17"/>
      <c r="BY807" s="17"/>
      <c r="BZ807" s="17"/>
      <c r="CA807" s="17"/>
      <c r="CB807" s="17"/>
      <c r="CC807" s="17"/>
      <c r="CD807" s="17"/>
      <c r="CE807" s="17"/>
    </row>
    <row r="808" spans="1:83" x14ac:dyDescent="0.25">
      <c r="A808" s="31"/>
      <c r="B808" s="30"/>
      <c r="C808" s="30"/>
      <c r="BW808" s="17"/>
      <c r="BX808" s="17"/>
      <c r="BY808" s="17"/>
      <c r="BZ808" s="17"/>
      <c r="CA808" s="17"/>
      <c r="CB808" s="17"/>
      <c r="CC808" s="17"/>
      <c r="CD808" s="17"/>
      <c r="CE808" s="17"/>
    </row>
    <row r="809" spans="1:83" x14ac:dyDescent="0.25">
      <c r="A809" s="31"/>
      <c r="B809" s="30"/>
      <c r="C809" s="30"/>
      <c r="BW809" s="17"/>
      <c r="BX809" s="17"/>
      <c r="BY809" s="17"/>
      <c r="BZ809" s="17"/>
      <c r="CA809" s="17"/>
      <c r="CB809" s="17"/>
      <c r="CC809" s="17"/>
      <c r="CD809" s="17"/>
      <c r="CE809" s="17"/>
    </row>
    <row r="810" spans="1:83" x14ac:dyDescent="0.25">
      <c r="A810" s="31"/>
      <c r="B810" s="30"/>
      <c r="C810" s="30"/>
      <c r="BW810" s="17"/>
      <c r="BX810" s="17"/>
      <c r="BY810" s="17"/>
      <c r="BZ810" s="17"/>
      <c r="CA810" s="17"/>
      <c r="CB810" s="17"/>
      <c r="CC810" s="17"/>
      <c r="CD810" s="17"/>
      <c r="CE810" s="17"/>
    </row>
    <row r="811" spans="1:83" x14ac:dyDescent="0.25">
      <c r="A811" s="31"/>
      <c r="B811" s="30"/>
      <c r="C811" s="30"/>
      <c r="BW811" s="17"/>
      <c r="BX811" s="17"/>
      <c r="BY811" s="17"/>
      <c r="BZ811" s="17"/>
      <c r="CA811" s="17"/>
      <c r="CB811" s="17"/>
      <c r="CC811" s="17"/>
      <c r="CD811" s="17"/>
      <c r="CE811" s="17"/>
    </row>
    <row r="812" spans="1:83" x14ac:dyDescent="0.25">
      <c r="A812" s="31"/>
      <c r="B812" s="30"/>
      <c r="C812" s="30"/>
      <c r="BW812" s="17"/>
      <c r="BX812" s="17"/>
      <c r="BY812" s="17"/>
      <c r="BZ812" s="17"/>
      <c r="CA812" s="17"/>
      <c r="CB812" s="17"/>
      <c r="CC812" s="17"/>
      <c r="CD812" s="17"/>
      <c r="CE812" s="17"/>
    </row>
    <row r="813" spans="1:83" x14ac:dyDescent="0.25">
      <c r="A813" s="31"/>
      <c r="B813" s="30"/>
      <c r="C813" s="30"/>
      <c r="BW813" s="17"/>
      <c r="BX813" s="17"/>
      <c r="BY813" s="17"/>
      <c r="BZ813" s="17"/>
      <c r="CA813" s="17"/>
      <c r="CB813" s="17"/>
      <c r="CC813" s="17"/>
      <c r="CD813" s="17"/>
      <c r="CE813" s="17"/>
    </row>
    <row r="814" spans="1:83" x14ac:dyDescent="0.25">
      <c r="A814" s="31"/>
      <c r="B814" s="30"/>
      <c r="C814" s="30"/>
      <c r="BW814" s="17"/>
      <c r="BX814" s="17"/>
      <c r="BY814" s="17"/>
      <c r="BZ814" s="17"/>
      <c r="CA814" s="17"/>
      <c r="CB814" s="17"/>
      <c r="CC814" s="17"/>
      <c r="CD814" s="17"/>
      <c r="CE814" s="17"/>
    </row>
    <row r="815" spans="1:83" x14ac:dyDescent="0.25">
      <c r="A815" s="31"/>
      <c r="B815" s="30"/>
      <c r="C815" s="30"/>
      <c r="BW815" s="17"/>
      <c r="BX815" s="17"/>
      <c r="BY815" s="17"/>
      <c r="BZ815" s="17"/>
      <c r="CA815" s="17"/>
      <c r="CB815" s="17"/>
      <c r="CC815" s="17"/>
      <c r="CD815" s="17"/>
      <c r="CE815" s="17"/>
    </row>
    <row r="816" spans="1:83" x14ac:dyDescent="0.25">
      <c r="A816" s="31"/>
      <c r="B816" s="30"/>
      <c r="C816" s="30"/>
      <c r="BW816" s="17"/>
      <c r="BX816" s="17"/>
      <c r="BY816" s="17"/>
      <c r="BZ816" s="17"/>
      <c r="CA816" s="17"/>
      <c r="CB816" s="17"/>
      <c r="CC816" s="17"/>
      <c r="CD816" s="17"/>
      <c r="CE816" s="17"/>
    </row>
    <row r="817" spans="1:83" x14ac:dyDescent="0.25">
      <c r="A817" s="31"/>
      <c r="B817" s="30"/>
      <c r="C817" s="30"/>
      <c r="BW817" s="17"/>
      <c r="BX817" s="17"/>
      <c r="BY817" s="17"/>
      <c r="BZ817" s="17"/>
      <c r="CA817" s="17"/>
      <c r="CB817" s="17"/>
      <c r="CC817" s="17"/>
      <c r="CD817" s="17"/>
      <c r="CE817" s="17"/>
    </row>
    <row r="818" spans="1:83" x14ac:dyDescent="0.25">
      <c r="A818" s="31"/>
      <c r="B818" s="30"/>
      <c r="C818" s="30"/>
      <c r="BW818" s="17"/>
      <c r="BX818" s="17"/>
      <c r="BY818" s="17"/>
      <c r="BZ818" s="17"/>
      <c r="CA818" s="17"/>
      <c r="CB818" s="17"/>
      <c r="CC818" s="17"/>
      <c r="CD818" s="17"/>
      <c r="CE818" s="17"/>
    </row>
    <row r="819" spans="1:83" x14ac:dyDescent="0.25">
      <c r="A819" s="31"/>
      <c r="B819" s="30"/>
      <c r="C819" s="30"/>
      <c r="BW819" s="17"/>
      <c r="BX819" s="17"/>
      <c r="BY819" s="17"/>
      <c r="BZ819" s="17"/>
      <c r="CA819" s="17"/>
      <c r="CB819" s="17"/>
      <c r="CC819" s="17"/>
      <c r="CD819" s="17"/>
      <c r="CE819" s="17"/>
    </row>
    <row r="820" spans="1:83" x14ac:dyDescent="0.25">
      <c r="A820" s="31"/>
      <c r="B820" s="30"/>
      <c r="C820" s="30"/>
      <c r="BW820" s="17"/>
      <c r="BX820" s="17"/>
      <c r="BY820" s="17"/>
      <c r="BZ820" s="17"/>
      <c r="CA820" s="17"/>
      <c r="CB820" s="17"/>
      <c r="CC820" s="17"/>
      <c r="CD820" s="17"/>
      <c r="CE820" s="17"/>
    </row>
    <row r="821" spans="1:83" x14ac:dyDescent="0.25">
      <c r="A821" s="31"/>
      <c r="B821" s="30"/>
      <c r="C821" s="30"/>
      <c r="BW821" s="17"/>
      <c r="BX821" s="17"/>
      <c r="BY821" s="17"/>
      <c r="BZ821" s="17"/>
      <c r="CA821" s="17"/>
      <c r="CB821" s="17"/>
      <c r="CC821" s="17"/>
      <c r="CD821" s="17"/>
      <c r="CE821" s="17"/>
    </row>
    <row r="822" spans="1:83" x14ac:dyDescent="0.25">
      <c r="A822" s="31"/>
      <c r="B822" s="30"/>
      <c r="C822" s="30"/>
      <c r="BW822" s="17"/>
      <c r="BX822" s="17"/>
      <c r="BY822" s="17"/>
      <c r="BZ822" s="17"/>
      <c r="CA822" s="17"/>
      <c r="CB822" s="17"/>
      <c r="CC822" s="17"/>
      <c r="CD822" s="17"/>
      <c r="CE822" s="17"/>
    </row>
    <row r="823" spans="1:83" x14ac:dyDescent="0.25">
      <c r="A823" s="31"/>
      <c r="B823" s="30"/>
      <c r="C823" s="30"/>
      <c r="BW823" s="17"/>
      <c r="BX823" s="17"/>
      <c r="BY823" s="17"/>
      <c r="BZ823" s="17"/>
      <c r="CA823" s="17"/>
      <c r="CB823" s="17"/>
      <c r="CC823" s="17"/>
      <c r="CD823" s="17"/>
      <c r="CE823" s="17"/>
    </row>
    <row r="824" spans="1:83" x14ac:dyDescent="0.25">
      <c r="A824" s="31"/>
      <c r="B824" s="30"/>
      <c r="C824" s="30"/>
      <c r="BW824" s="17"/>
      <c r="BX824" s="17"/>
      <c r="BY824" s="17"/>
      <c r="BZ824" s="17"/>
      <c r="CA824" s="17"/>
      <c r="CB824" s="17"/>
      <c r="CC824" s="17"/>
      <c r="CD824" s="17"/>
      <c r="CE824" s="17"/>
    </row>
    <row r="825" spans="1:83" x14ac:dyDescent="0.25">
      <c r="A825" s="31"/>
      <c r="B825" s="30"/>
      <c r="C825" s="30"/>
      <c r="BW825" s="17"/>
      <c r="BX825" s="17"/>
      <c r="BY825" s="17"/>
      <c r="BZ825" s="17"/>
      <c r="CA825" s="17"/>
      <c r="CB825" s="17"/>
      <c r="CC825" s="17"/>
      <c r="CD825" s="17"/>
      <c r="CE825" s="17"/>
    </row>
    <row r="826" spans="1:83" x14ac:dyDescent="0.25">
      <c r="A826" s="31"/>
      <c r="B826" s="30"/>
      <c r="C826" s="30"/>
      <c r="BW826" s="17"/>
      <c r="BX826" s="17"/>
      <c r="BY826" s="17"/>
      <c r="BZ826" s="17"/>
      <c r="CA826" s="17"/>
      <c r="CB826" s="17"/>
      <c r="CC826" s="17"/>
      <c r="CD826" s="17"/>
      <c r="CE826" s="17"/>
    </row>
    <row r="827" spans="1:83" x14ac:dyDescent="0.25">
      <c r="A827" s="31"/>
      <c r="B827" s="30"/>
      <c r="C827" s="30"/>
      <c r="BW827" s="17"/>
      <c r="BX827" s="17"/>
      <c r="BY827" s="17"/>
      <c r="BZ827" s="17"/>
      <c r="CA827" s="17"/>
      <c r="CB827" s="17"/>
      <c r="CC827" s="17"/>
      <c r="CD827" s="17"/>
      <c r="CE827" s="17"/>
    </row>
    <row r="828" spans="1:83" x14ac:dyDescent="0.25">
      <c r="A828" s="31"/>
      <c r="B828" s="30"/>
      <c r="C828" s="30"/>
      <c r="BW828" s="17"/>
      <c r="BX828" s="17"/>
      <c r="BY828" s="17"/>
      <c r="BZ828" s="17"/>
      <c r="CA828" s="17"/>
      <c r="CB828" s="17"/>
      <c r="CC828" s="17"/>
      <c r="CD828" s="17"/>
      <c r="CE828" s="17"/>
    </row>
    <row r="829" spans="1:83" x14ac:dyDescent="0.25">
      <c r="A829" s="31"/>
      <c r="B829" s="30"/>
      <c r="C829" s="30"/>
      <c r="BW829" s="17"/>
      <c r="BX829" s="17"/>
      <c r="BY829" s="17"/>
      <c r="BZ829" s="17"/>
      <c r="CA829" s="17"/>
      <c r="CB829" s="17"/>
      <c r="CC829" s="17"/>
      <c r="CD829" s="17"/>
      <c r="CE829" s="17"/>
    </row>
    <row r="830" spans="1:83" x14ac:dyDescent="0.25">
      <c r="A830" s="31"/>
      <c r="B830" s="30"/>
      <c r="C830" s="30"/>
      <c r="BW830" s="17"/>
      <c r="BX830" s="17"/>
      <c r="BY830" s="17"/>
      <c r="BZ830" s="17"/>
      <c r="CA830" s="17"/>
      <c r="CB830" s="17"/>
      <c r="CC830" s="17"/>
      <c r="CD830" s="17"/>
      <c r="CE830" s="17"/>
    </row>
    <row r="831" spans="1:83" x14ac:dyDescent="0.25">
      <c r="A831" s="31"/>
      <c r="B831" s="30"/>
      <c r="C831" s="30"/>
      <c r="BW831" s="17"/>
      <c r="BX831" s="17"/>
      <c r="BY831" s="17"/>
      <c r="BZ831" s="17"/>
      <c r="CA831" s="17"/>
      <c r="CB831" s="17"/>
      <c r="CC831" s="17"/>
      <c r="CD831" s="17"/>
      <c r="CE831" s="17"/>
    </row>
    <row r="832" spans="1:83" x14ac:dyDescent="0.25">
      <c r="A832" s="31"/>
      <c r="B832" s="30"/>
      <c r="C832" s="30"/>
      <c r="BW832" s="17"/>
      <c r="BX832" s="17"/>
      <c r="BY832" s="17"/>
      <c r="BZ832" s="17"/>
      <c r="CA832" s="17"/>
      <c r="CB832" s="17"/>
      <c r="CC832" s="17"/>
      <c r="CD832" s="17"/>
      <c r="CE832" s="17"/>
    </row>
    <row r="833" spans="1:83" x14ac:dyDescent="0.25">
      <c r="A833" s="31"/>
      <c r="B833" s="30"/>
      <c r="C833" s="30"/>
      <c r="BW833" s="17"/>
      <c r="BX833" s="17"/>
      <c r="BY833" s="17"/>
      <c r="BZ833" s="17"/>
      <c r="CA833" s="17"/>
      <c r="CB833" s="17"/>
      <c r="CC833" s="17"/>
      <c r="CD833" s="17"/>
      <c r="CE833" s="17"/>
    </row>
    <row r="834" spans="1:83" x14ac:dyDescent="0.25">
      <c r="A834" s="31"/>
      <c r="B834" s="30"/>
      <c r="C834" s="30"/>
      <c r="BW834" s="17"/>
      <c r="BX834" s="17"/>
      <c r="BY834" s="17"/>
      <c r="BZ834" s="17"/>
      <c r="CA834" s="17"/>
      <c r="CB834" s="17"/>
      <c r="CC834" s="17"/>
      <c r="CD834" s="17"/>
      <c r="CE834" s="17"/>
    </row>
    <row r="835" spans="1:83" x14ac:dyDescent="0.25">
      <c r="A835" s="31"/>
      <c r="B835" s="30"/>
      <c r="C835" s="30"/>
      <c r="BW835" s="17"/>
      <c r="BX835" s="17"/>
      <c r="BY835" s="17"/>
      <c r="BZ835" s="17"/>
      <c r="CA835" s="17"/>
      <c r="CB835" s="17"/>
      <c r="CC835" s="17"/>
      <c r="CD835" s="17"/>
      <c r="CE835" s="17"/>
    </row>
    <row r="836" spans="1:83" x14ac:dyDescent="0.25">
      <c r="A836" s="31"/>
      <c r="B836" s="30"/>
      <c r="C836" s="30"/>
      <c r="BW836" s="17"/>
      <c r="BX836" s="17"/>
      <c r="BY836" s="17"/>
      <c r="BZ836" s="17"/>
      <c r="CA836" s="17"/>
      <c r="CB836" s="17"/>
      <c r="CC836" s="17"/>
      <c r="CD836" s="17"/>
      <c r="CE836" s="17"/>
    </row>
    <row r="837" spans="1:83" x14ac:dyDescent="0.25">
      <c r="A837" s="31"/>
      <c r="B837" s="30"/>
      <c r="C837" s="30"/>
      <c r="BW837" s="17"/>
      <c r="BX837" s="17"/>
      <c r="BY837" s="17"/>
      <c r="BZ837" s="17"/>
      <c r="CA837" s="17"/>
      <c r="CB837" s="17"/>
      <c r="CC837" s="17"/>
      <c r="CD837" s="17"/>
      <c r="CE837" s="17"/>
    </row>
    <row r="838" spans="1:83" x14ac:dyDescent="0.25">
      <c r="A838" s="31"/>
      <c r="B838" s="30"/>
      <c r="C838" s="30"/>
      <c r="BW838" s="17"/>
      <c r="BX838" s="17"/>
      <c r="BY838" s="17"/>
      <c r="BZ838" s="17"/>
      <c r="CA838" s="17"/>
      <c r="CB838" s="17"/>
      <c r="CC838" s="17"/>
      <c r="CD838" s="17"/>
      <c r="CE838" s="17"/>
    </row>
    <row r="839" spans="1:83" x14ac:dyDescent="0.25">
      <c r="A839" s="31"/>
      <c r="B839" s="30"/>
      <c r="C839" s="30"/>
      <c r="BW839" s="17"/>
      <c r="BX839" s="17"/>
      <c r="BY839" s="17"/>
      <c r="BZ839" s="17"/>
      <c r="CA839" s="17"/>
      <c r="CB839" s="17"/>
      <c r="CC839" s="17"/>
      <c r="CD839" s="17"/>
      <c r="CE839" s="17"/>
    </row>
    <row r="840" spans="1:83" x14ac:dyDescent="0.25">
      <c r="A840" s="31"/>
      <c r="B840" s="30"/>
      <c r="C840" s="30"/>
      <c r="BW840" s="17"/>
      <c r="BX840" s="17"/>
      <c r="BY840" s="17"/>
      <c r="BZ840" s="17"/>
      <c r="CA840" s="17"/>
      <c r="CB840" s="17"/>
      <c r="CC840" s="17"/>
      <c r="CD840" s="17"/>
      <c r="CE840" s="17"/>
    </row>
    <row r="841" spans="1:83" x14ac:dyDescent="0.25">
      <c r="A841" s="31"/>
      <c r="B841" s="30"/>
      <c r="C841" s="30"/>
      <c r="BW841" s="17"/>
      <c r="BX841" s="17"/>
      <c r="BY841" s="17"/>
      <c r="BZ841" s="17"/>
      <c r="CA841" s="17"/>
      <c r="CB841" s="17"/>
      <c r="CC841" s="17"/>
      <c r="CD841" s="17"/>
      <c r="CE841" s="17"/>
    </row>
    <row r="842" spans="1:83" x14ac:dyDescent="0.25">
      <c r="A842" s="31"/>
      <c r="B842" s="30"/>
      <c r="C842" s="30"/>
      <c r="BW842" s="17"/>
      <c r="BX842" s="17"/>
      <c r="BY842" s="17"/>
      <c r="BZ842" s="17"/>
      <c r="CA842" s="17"/>
      <c r="CB842" s="17"/>
      <c r="CC842" s="17"/>
      <c r="CD842" s="17"/>
      <c r="CE842" s="17"/>
    </row>
    <row r="843" spans="1:83" x14ac:dyDescent="0.25">
      <c r="A843" s="31"/>
      <c r="B843" s="30"/>
      <c r="C843" s="30"/>
      <c r="BW843" s="17"/>
      <c r="BX843" s="17"/>
      <c r="BY843" s="17"/>
      <c r="BZ843" s="17"/>
      <c r="CA843" s="17"/>
      <c r="CB843" s="17"/>
      <c r="CC843" s="17"/>
      <c r="CD843" s="17"/>
      <c r="CE843" s="17"/>
    </row>
    <row r="844" spans="1:83" x14ac:dyDescent="0.25">
      <c r="A844" s="31"/>
      <c r="B844" s="30"/>
      <c r="C844" s="30"/>
      <c r="BW844" s="17"/>
      <c r="BX844" s="17"/>
      <c r="BY844" s="17"/>
      <c r="BZ844" s="17"/>
      <c r="CA844" s="17"/>
      <c r="CB844" s="17"/>
      <c r="CC844" s="17"/>
      <c r="CD844" s="17"/>
      <c r="CE844" s="17"/>
    </row>
    <row r="845" spans="1:83" x14ac:dyDescent="0.25">
      <c r="A845" s="31"/>
      <c r="B845" s="30"/>
      <c r="C845" s="30"/>
      <c r="BW845" s="17"/>
      <c r="BX845" s="17"/>
      <c r="BY845" s="17"/>
      <c r="BZ845" s="17"/>
      <c r="CA845" s="17"/>
      <c r="CB845" s="17"/>
      <c r="CC845" s="17"/>
      <c r="CD845" s="17"/>
      <c r="CE845" s="17"/>
    </row>
    <row r="846" spans="1:83" x14ac:dyDescent="0.25">
      <c r="A846" s="31"/>
      <c r="B846" s="30"/>
      <c r="C846" s="30"/>
      <c r="BW846" s="17"/>
      <c r="BX846" s="17"/>
      <c r="BY846" s="17"/>
      <c r="BZ846" s="17"/>
      <c r="CA846" s="17"/>
      <c r="CB846" s="17"/>
      <c r="CC846" s="17"/>
      <c r="CD846" s="17"/>
      <c r="CE846" s="17"/>
    </row>
    <row r="847" spans="1:83" x14ac:dyDescent="0.25">
      <c r="A847" s="31"/>
      <c r="B847" s="30"/>
      <c r="C847" s="30"/>
      <c r="BW847" s="17"/>
      <c r="BX847" s="17"/>
      <c r="BY847" s="17"/>
      <c r="BZ847" s="17"/>
      <c r="CA847" s="17"/>
      <c r="CB847" s="17"/>
      <c r="CC847" s="17"/>
      <c r="CD847" s="17"/>
      <c r="CE847" s="17"/>
    </row>
    <row r="848" spans="1:83" x14ac:dyDescent="0.25">
      <c r="A848" s="31"/>
      <c r="B848" s="30"/>
      <c r="C848" s="30"/>
      <c r="BW848" s="17"/>
      <c r="BX848" s="17"/>
      <c r="BY848" s="17"/>
      <c r="BZ848" s="17"/>
      <c r="CA848" s="17"/>
      <c r="CB848" s="17"/>
      <c r="CC848" s="17"/>
      <c r="CD848" s="17"/>
      <c r="CE848" s="17"/>
    </row>
    <row r="849" spans="1:83" x14ac:dyDescent="0.25">
      <c r="A849" s="31"/>
      <c r="B849" s="30"/>
      <c r="C849" s="30"/>
      <c r="BW849" s="17"/>
      <c r="BX849" s="17"/>
      <c r="BY849" s="17"/>
      <c r="BZ849" s="17"/>
      <c r="CA849" s="17"/>
      <c r="CB849" s="17"/>
      <c r="CC849" s="17"/>
      <c r="CD849" s="17"/>
      <c r="CE849" s="17"/>
    </row>
    <row r="850" spans="1:83" x14ac:dyDescent="0.25">
      <c r="A850" s="31"/>
      <c r="B850" s="30"/>
      <c r="C850" s="30"/>
      <c r="BW850" s="17"/>
      <c r="BX850" s="17"/>
      <c r="BY850" s="17"/>
      <c r="BZ850" s="17"/>
      <c r="CA850" s="17"/>
      <c r="CB850" s="17"/>
      <c r="CC850" s="17"/>
      <c r="CD850" s="17"/>
      <c r="CE850" s="17"/>
    </row>
    <row r="851" spans="1:83" x14ac:dyDescent="0.25">
      <c r="A851" s="31"/>
      <c r="B851" s="30"/>
      <c r="C851" s="30"/>
      <c r="BW851" s="17"/>
      <c r="BX851" s="17"/>
      <c r="BY851" s="17"/>
      <c r="BZ851" s="17"/>
      <c r="CA851" s="17"/>
      <c r="CB851" s="17"/>
      <c r="CC851" s="17"/>
      <c r="CD851" s="17"/>
      <c r="CE851" s="17"/>
    </row>
    <row r="852" spans="1:83" x14ac:dyDescent="0.25">
      <c r="A852" s="31"/>
      <c r="B852" s="30"/>
      <c r="C852" s="30"/>
      <c r="BW852" s="17"/>
      <c r="BX852" s="17"/>
      <c r="BY852" s="17"/>
      <c r="BZ852" s="17"/>
      <c r="CA852" s="17"/>
      <c r="CB852" s="17"/>
      <c r="CC852" s="17"/>
      <c r="CD852" s="17"/>
      <c r="CE852" s="17"/>
    </row>
    <row r="853" spans="1:83" x14ac:dyDescent="0.25">
      <c r="A853" s="31"/>
      <c r="B853" s="30"/>
      <c r="C853" s="30"/>
      <c r="BW853" s="17"/>
      <c r="BX853" s="17"/>
      <c r="BY853" s="17"/>
      <c r="BZ853" s="17"/>
      <c r="CA853" s="17"/>
      <c r="CB853" s="17"/>
      <c r="CC853" s="17"/>
      <c r="CD853" s="17"/>
      <c r="CE853" s="17"/>
    </row>
    <row r="854" spans="1:83" x14ac:dyDescent="0.25">
      <c r="A854" s="31"/>
      <c r="B854" s="30"/>
      <c r="C854" s="30"/>
      <c r="BW854" s="17"/>
      <c r="BX854" s="17"/>
      <c r="BY854" s="17"/>
      <c r="BZ854" s="17"/>
      <c r="CA854" s="17"/>
      <c r="CB854" s="17"/>
      <c r="CC854" s="17"/>
      <c r="CD854" s="17"/>
      <c r="CE854" s="17"/>
    </row>
    <row r="855" spans="1:83" x14ac:dyDescent="0.25">
      <c r="A855" s="31"/>
      <c r="B855" s="30"/>
      <c r="C855" s="30"/>
      <c r="BW855" s="17"/>
      <c r="BX855" s="17"/>
      <c r="BY855" s="17"/>
      <c r="BZ855" s="17"/>
      <c r="CA855" s="17"/>
      <c r="CB855" s="17"/>
      <c r="CC855" s="17"/>
      <c r="CD855" s="17"/>
      <c r="CE855" s="17"/>
    </row>
    <row r="856" spans="1:83" x14ac:dyDescent="0.25">
      <c r="A856" s="31"/>
      <c r="B856" s="30"/>
      <c r="C856" s="30"/>
      <c r="BW856" s="17"/>
      <c r="BX856" s="17"/>
      <c r="BY856" s="17"/>
      <c r="BZ856" s="17"/>
      <c r="CA856" s="17"/>
      <c r="CB856" s="17"/>
      <c r="CC856" s="17"/>
      <c r="CD856" s="17"/>
      <c r="CE856" s="17"/>
    </row>
    <row r="857" spans="1:83" x14ac:dyDescent="0.25">
      <c r="A857" s="31"/>
      <c r="B857" s="30"/>
      <c r="C857" s="30"/>
      <c r="BW857" s="17"/>
      <c r="BX857" s="17"/>
      <c r="BY857" s="17"/>
      <c r="BZ857" s="17"/>
      <c r="CA857" s="17"/>
      <c r="CB857" s="17"/>
      <c r="CC857" s="17"/>
      <c r="CD857" s="17"/>
      <c r="CE857" s="17"/>
    </row>
    <row r="858" spans="1:83" x14ac:dyDescent="0.25">
      <c r="A858" s="31"/>
      <c r="B858" s="30"/>
      <c r="C858" s="30"/>
      <c r="BW858" s="17"/>
      <c r="BX858" s="17"/>
      <c r="BY858" s="17"/>
      <c r="BZ858" s="17"/>
      <c r="CA858" s="17"/>
      <c r="CB858" s="17"/>
      <c r="CC858" s="17"/>
      <c r="CD858" s="17"/>
      <c r="CE858" s="17"/>
    </row>
    <row r="859" spans="1:83" x14ac:dyDescent="0.25">
      <c r="A859" s="31"/>
      <c r="B859" s="30"/>
      <c r="C859" s="30"/>
      <c r="BW859" s="17"/>
      <c r="BX859" s="17"/>
      <c r="BY859" s="17"/>
      <c r="BZ859" s="17"/>
      <c r="CA859" s="17"/>
      <c r="CB859" s="17"/>
      <c r="CC859" s="17"/>
      <c r="CD859" s="17"/>
      <c r="CE859" s="17"/>
    </row>
    <row r="860" spans="1:83" x14ac:dyDescent="0.25">
      <c r="A860" s="31"/>
      <c r="B860" s="30"/>
      <c r="C860" s="30"/>
      <c r="BW860" s="17"/>
      <c r="BX860" s="17"/>
      <c r="BY860" s="17"/>
      <c r="BZ860" s="17"/>
      <c r="CA860" s="17"/>
      <c r="CB860" s="17"/>
      <c r="CC860" s="17"/>
      <c r="CD860" s="17"/>
      <c r="CE860" s="17"/>
    </row>
    <row r="861" spans="1:83" x14ac:dyDescent="0.25">
      <c r="A861" s="31"/>
      <c r="B861" s="30"/>
      <c r="C861" s="30"/>
      <c r="BW861" s="17"/>
      <c r="BX861" s="17"/>
      <c r="BY861" s="17"/>
      <c r="BZ861" s="17"/>
      <c r="CA861" s="17"/>
      <c r="CB861" s="17"/>
      <c r="CC861" s="17"/>
      <c r="CD861" s="17"/>
      <c r="CE861" s="17"/>
    </row>
    <row r="862" spans="1:83" x14ac:dyDescent="0.25">
      <c r="A862" s="31"/>
      <c r="B862" s="30"/>
      <c r="C862" s="30"/>
      <c r="BW862" s="17"/>
      <c r="BX862" s="17"/>
      <c r="BY862" s="17"/>
      <c r="BZ862" s="17"/>
      <c r="CA862" s="17"/>
      <c r="CB862" s="17"/>
      <c r="CC862" s="17"/>
      <c r="CD862" s="17"/>
      <c r="CE862" s="17"/>
    </row>
    <row r="863" spans="1:83" x14ac:dyDescent="0.25">
      <c r="A863" s="31"/>
      <c r="B863" s="30"/>
      <c r="C863" s="30"/>
      <c r="BW863" s="17"/>
      <c r="BX863" s="17"/>
      <c r="BY863" s="17"/>
      <c r="BZ863" s="17"/>
      <c r="CA863" s="17"/>
      <c r="CB863" s="17"/>
      <c r="CC863" s="17"/>
      <c r="CD863" s="17"/>
      <c r="CE863" s="17"/>
    </row>
    <row r="864" spans="1:83" x14ac:dyDescent="0.25">
      <c r="A864" s="31"/>
      <c r="B864" s="30"/>
      <c r="C864" s="30"/>
      <c r="BW864" s="17"/>
      <c r="BX864" s="17"/>
      <c r="BY864" s="17"/>
      <c r="BZ864" s="17"/>
      <c r="CA864" s="17"/>
      <c r="CB864" s="17"/>
      <c r="CC864" s="17"/>
      <c r="CD864" s="17"/>
      <c r="CE864" s="17"/>
    </row>
    <row r="865" spans="1:83" x14ac:dyDescent="0.25">
      <c r="A865" s="31"/>
      <c r="B865" s="30"/>
      <c r="C865" s="30"/>
      <c r="BW865" s="17"/>
      <c r="BX865" s="17"/>
      <c r="BY865" s="17"/>
      <c r="BZ865" s="17"/>
      <c r="CA865" s="17"/>
      <c r="CB865" s="17"/>
      <c r="CC865" s="17"/>
      <c r="CD865" s="17"/>
      <c r="CE865" s="17"/>
    </row>
    <row r="866" spans="1:83" x14ac:dyDescent="0.25">
      <c r="A866" s="31"/>
      <c r="B866" s="30"/>
      <c r="C866" s="30"/>
      <c r="BW866" s="17"/>
      <c r="BX866" s="17"/>
      <c r="BY866" s="17"/>
      <c r="BZ866" s="17"/>
      <c r="CA866" s="17"/>
      <c r="CB866" s="17"/>
      <c r="CC866" s="17"/>
      <c r="CD866" s="17"/>
      <c r="CE866" s="17"/>
    </row>
    <row r="867" spans="1:83" x14ac:dyDescent="0.25">
      <c r="A867" s="31"/>
      <c r="B867" s="30"/>
      <c r="C867" s="30"/>
      <c r="BW867" s="17"/>
      <c r="BX867" s="17"/>
      <c r="BY867" s="17"/>
      <c r="BZ867" s="17"/>
      <c r="CA867" s="17"/>
      <c r="CB867" s="17"/>
      <c r="CC867" s="17"/>
      <c r="CD867" s="17"/>
      <c r="CE867" s="17"/>
    </row>
    <row r="868" spans="1:83" x14ac:dyDescent="0.25">
      <c r="A868" s="31"/>
      <c r="B868" s="30"/>
      <c r="C868" s="30"/>
      <c r="BW868" s="17"/>
      <c r="BX868" s="17"/>
      <c r="BY868" s="17"/>
      <c r="BZ868" s="17"/>
      <c r="CA868" s="17"/>
      <c r="CB868" s="17"/>
      <c r="CC868" s="17"/>
      <c r="CD868" s="17"/>
      <c r="CE868" s="17"/>
    </row>
    <row r="869" spans="1:83" x14ac:dyDescent="0.25">
      <c r="A869" s="31"/>
      <c r="B869" s="30"/>
      <c r="C869" s="30"/>
      <c r="BW869" s="17"/>
      <c r="BX869" s="17"/>
      <c r="BY869" s="17"/>
      <c r="BZ869" s="17"/>
      <c r="CA869" s="17"/>
      <c r="CB869" s="17"/>
      <c r="CC869" s="17"/>
      <c r="CD869" s="17"/>
      <c r="CE869" s="17"/>
    </row>
    <row r="870" spans="1:83" x14ac:dyDescent="0.25">
      <c r="A870" s="31"/>
      <c r="B870" s="30"/>
      <c r="C870" s="30"/>
      <c r="BW870" s="17"/>
      <c r="BX870" s="17"/>
      <c r="BY870" s="17"/>
      <c r="BZ870" s="17"/>
      <c r="CA870" s="17"/>
      <c r="CB870" s="17"/>
      <c r="CC870" s="17"/>
      <c r="CD870" s="17"/>
      <c r="CE870" s="17"/>
    </row>
    <row r="871" spans="1:83" x14ac:dyDescent="0.25">
      <c r="A871" s="31"/>
      <c r="B871" s="30"/>
      <c r="C871" s="30"/>
      <c r="BW871" s="17"/>
      <c r="BX871" s="17"/>
      <c r="BY871" s="17"/>
      <c r="BZ871" s="17"/>
      <c r="CA871" s="17"/>
      <c r="CB871" s="17"/>
      <c r="CC871" s="17"/>
      <c r="CD871" s="17"/>
      <c r="CE871" s="17"/>
    </row>
    <row r="872" spans="1:83" x14ac:dyDescent="0.25">
      <c r="A872" s="31"/>
      <c r="B872" s="30"/>
      <c r="C872" s="30"/>
      <c r="BW872" s="17"/>
      <c r="BX872" s="17"/>
      <c r="BY872" s="17"/>
      <c r="BZ872" s="17"/>
      <c r="CA872" s="17"/>
      <c r="CB872" s="17"/>
      <c r="CC872" s="17"/>
      <c r="CD872" s="17"/>
      <c r="CE872" s="17"/>
    </row>
    <row r="873" spans="1:83" x14ac:dyDescent="0.25">
      <c r="A873" s="31"/>
      <c r="B873" s="30"/>
      <c r="C873" s="30"/>
      <c r="BW873" s="17"/>
      <c r="BX873" s="17"/>
      <c r="BY873" s="17"/>
      <c r="BZ873" s="17"/>
      <c r="CA873" s="17"/>
      <c r="CB873" s="17"/>
      <c r="CC873" s="17"/>
      <c r="CD873" s="17"/>
      <c r="CE873" s="17"/>
    </row>
    <row r="874" spans="1:83" x14ac:dyDescent="0.25">
      <c r="A874" s="31"/>
      <c r="B874" s="30"/>
      <c r="C874" s="30"/>
      <c r="BW874" s="17"/>
      <c r="BX874" s="17"/>
      <c r="BY874" s="17"/>
      <c r="BZ874" s="17"/>
      <c r="CA874" s="17"/>
      <c r="CB874" s="17"/>
      <c r="CC874" s="17"/>
      <c r="CD874" s="17"/>
      <c r="CE874" s="17"/>
    </row>
    <row r="875" spans="1:83" x14ac:dyDescent="0.25">
      <c r="A875" s="31"/>
      <c r="B875" s="30"/>
      <c r="C875" s="30"/>
      <c r="BW875" s="17"/>
      <c r="BX875" s="17"/>
      <c r="BY875" s="17"/>
      <c r="BZ875" s="17"/>
      <c r="CA875" s="17"/>
      <c r="CB875" s="17"/>
      <c r="CC875" s="17"/>
      <c r="CD875" s="17"/>
      <c r="CE875" s="17"/>
    </row>
    <row r="876" spans="1:83" x14ac:dyDescent="0.25">
      <c r="A876" s="31"/>
      <c r="B876" s="30"/>
      <c r="C876" s="30"/>
      <c r="BW876" s="17"/>
      <c r="BX876" s="17"/>
      <c r="BY876" s="17"/>
      <c r="BZ876" s="17"/>
      <c r="CA876" s="17"/>
      <c r="CB876" s="17"/>
      <c r="CC876" s="17"/>
      <c r="CD876" s="17"/>
      <c r="CE876" s="17"/>
    </row>
    <row r="877" spans="1:83" x14ac:dyDescent="0.25">
      <c r="A877" s="31"/>
      <c r="B877" s="30"/>
      <c r="C877" s="30"/>
      <c r="BW877" s="17"/>
      <c r="BX877" s="17"/>
      <c r="BY877" s="17"/>
      <c r="BZ877" s="17"/>
      <c r="CA877" s="17"/>
      <c r="CB877" s="17"/>
      <c r="CC877" s="17"/>
      <c r="CD877" s="17"/>
      <c r="CE877" s="17"/>
    </row>
    <row r="878" spans="1:83" x14ac:dyDescent="0.25">
      <c r="A878" s="31"/>
      <c r="B878" s="30"/>
      <c r="C878" s="30"/>
      <c r="BW878" s="17"/>
      <c r="BX878" s="17"/>
      <c r="BY878" s="17"/>
      <c r="BZ878" s="17"/>
      <c r="CA878" s="17"/>
      <c r="CB878" s="17"/>
      <c r="CC878" s="17"/>
      <c r="CD878" s="17"/>
      <c r="CE878" s="17"/>
    </row>
    <row r="879" spans="1:83" x14ac:dyDescent="0.25">
      <c r="A879" s="31"/>
      <c r="B879" s="30"/>
      <c r="C879" s="30"/>
      <c r="BW879" s="17"/>
      <c r="BX879" s="17"/>
      <c r="BY879" s="17"/>
      <c r="BZ879" s="17"/>
      <c r="CA879" s="17"/>
      <c r="CB879" s="17"/>
      <c r="CC879" s="17"/>
      <c r="CD879" s="17"/>
      <c r="CE879" s="17"/>
    </row>
    <row r="880" spans="1:83" x14ac:dyDescent="0.25">
      <c r="A880" s="31"/>
      <c r="B880" s="30"/>
      <c r="C880" s="30"/>
      <c r="BW880" s="17"/>
      <c r="BX880" s="17"/>
      <c r="BY880" s="17"/>
      <c r="BZ880" s="17"/>
      <c r="CA880" s="17"/>
      <c r="CB880" s="17"/>
      <c r="CC880" s="17"/>
      <c r="CD880" s="17"/>
      <c r="CE880" s="17"/>
    </row>
    <row r="881" spans="1:83" x14ac:dyDescent="0.25">
      <c r="A881" s="31"/>
      <c r="B881" s="30"/>
      <c r="C881" s="30"/>
      <c r="BW881" s="17"/>
      <c r="BX881" s="17"/>
      <c r="BY881" s="17"/>
      <c r="BZ881" s="17"/>
      <c r="CA881" s="17"/>
      <c r="CB881" s="17"/>
      <c r="CC881" s="17"/>
      <c r="CD881" s="17"/>
      <c r="CE881" s="17"/>
    </row>
    <row r="882" spans="1:83" x14ac:dyDescent="0.25">
      <c r="A882" s="31"/>
      <c r="B882" s="30"/>
      <c r="C882" s="30"/>
      <c r="BW882" s="17"/>
      <c r="BX882" s="17"/>
      <c r="BY882" s="17"/>
      <c r="BZ882" s="17"/>
      <c r="CA882" s="17"/>
      <c r="CB882" s="17"/>
      <c r="CC882" s="17"/>
      <c r="CD882" s="17"/>
      <c r="CE882" s="17"/>
    </row>
    <row r="883" spans="1:83" x14ac:dyDescent="0.25">
      <c r="A883" s="31"/>
      <c r="B883" s="30"/>
      <c r="C883" s="30"/>
      <c r="BW883" s="17"/>
      <c r="BX883" s="17"/>
      <c r="BY883" s="17"/>
      <c r="BZ883" s="17"/>
      <c r="CA883" s="17"/>
      <c r="CB883" s="17"/>
      <c r="CC883" s="17"/>
      <c r="CD883" s="17"/>
      <c r="CE883" s="17"/>
    </row>
    <row r="884" spans="1:83" x14ac:dyDescent="0.25">
      <c r="A884" s="31"/>
      <c r="B884" s="30"/>
      <c r="C884" s="30"/>
      <c r="BW884" s="17"/>
      <c r="BX884" s="17"/>
      <c r="BY884" s="17"/>
      <c r="BZ884" s="17"/>
      <c r="CA884" s="17"/>
      <c r="CB884" s="17"/>
      <c r="CC884" s="17"/>
      <c r="CD884" s="17"/>
      <c r="CE884" s="17"/>
    </row>
    <row r="885" spans="1:83" x14ac:dyDescent="0.25">
      <c r="A885" s="31"/>
      <c r="B885" s="30"/>
      <c r="C885" s="30"/>
      <c r="BW885" s="17"/>
      <c r="BX885" s="17"/>
      <c r="BY885" s="17"/>
      <c r="BZ885" s="17"/>
      <c r="CA885" s="17"/>
      <c r="CB885" s="17"/>
      <c r="CC885" s="17"/>
      <c r="CD885" s="17"/>
      <c r="CE885" s="17"/>
    </row>
    <row r="886" spans="1:83" x14ac:dyDescent="0.25">
      <c r="A886" s="31"/>
      <c r="B886" s="30"/>
      <c r="C886" s="30"/>
      <c r="BW886" s="17"/>
      <c r="BX886" s="17"/>
      <c r="BY886" s="17"/>
      <c r="BZ886" s="17"/>
      <c r="CA886" s="17"/>
      <c r="CB886" s="17"/>
      <c r="CC886" s="17"/>
      <c r="CD886" s="17"/>
      <c r="CE886" s="17"/>
    </row>
    <row r="887" spans="1:83" x14ac:dyDescent="0.25">
      <c r="A887" s="31"/>
      <c r="B887" s="30"/>
      <c r="C887" s="30"/>
      <c r="BW887" s="17"/>
      <c r="BX887" s="17"/>
      <c r="BY887" s="17"/>
      <c r="BZ887" s="17"/>
      <c r="CA887" s="17"/>
      <c r="CB887" s="17"/>
      <c r="CC887" s="17"/>
      <c r="CD887" s="17"/>
      <c r="CE887" s="17"/>
    </row>
    <row r="888" spans="1:83" x14ac:dyDescent="0.25">
      <c r="A888" s="31"/>
      <c r="B888" s="30"/>
      <c r="C888" s="30"/>
      <c r="BW888" s="17"/>
      <c r="BX888" s="17"/>
      <c r="BY888" s="17"/>
      <c r="BZ888" s="17"/>
      <c r="CA888" s="17"/>
      <c r="CB888" s="17"/>
      <c r="CC888" s="17"/>
      <c r="CD888" s="17"/>
      <c r="CE888" s="17"/>
    </row>
    <row r="889" spans="1:83" x14ac:dyDescent="0.25">
      <c r="A889" s="31"/>
      <c r="B889" s="30"/>
      <c r="C889" s="30"/>
      <c r="BW889" s="17"/>
      <c r="BX889" s="17"/>
      <c r="BY889" s="17"/>
      <c r="BZ889" s="17"/>
      <c r="CA889" s="17"/>
      <c r="CB889" s="17"/>
      <c r="CC889" s="17"/>
      <c r="CD889" s="17"/>
      <c r="CE889" s="17"/>
    </row>
    <row r="890" spans="1:83" x14ac:dyDescent="0.25">
      <c r="A890" s="31"/>
      <c r="B890" s="30"/>
      <c r="C890" s="30"/>
      <c r="BW890" s="17"/>
      <c r="BX890" s="17"/>
      <c r="BY890" s="17"/>
      <c r="BZ890" s="17"/>
      <c r="CA890" s="17"/>
      <c r="CB890" s="17"/>
      <c r="CC890" s="17"/>
      <c r="CD890" s="17"/>
      <c r="CE890" s="17"/>
    </row>
    <row r="891" spans="1:83" x14ac:dyDescent="0.25">
      <c r="A891" s="31"/>
      <c r="B891" s="30"/>
      <c r="C891" s="30"/>
      <c r="BW891" s="17"/>
      <c r="BX891" s="17"/>
      <c r="BY891" s="17"/>
      <c r="BZ891" s="17"/>
      <c r="CA891" s="17"/>
      <c r="CB891" s="17"/>
      <c r="CC891" s="17"/>
      <c r="CD891" s="17"/>
      <c r="CE891" s="17"/>
    </row>
    <row r="892" spans="1:83" x14ac:dyDescent="0.25">
      <c r="A892" s="31"/>
      <c r="B892" s="30"/>
      <c r="C892" s="30"/>
      <c r="BW892" s="17"/>
      <c r="BX892" s="17"/>
      <c r="BY892" s="17"/>
      <c r="BZ892" s="17"/>
      <c r="CA892" s="17"/>
      <c r="CB892" s="17"/>
      <c r="CC892" s="17"/>
      <c r="CD892" s="17"/>
      <c r="CE892" s="17"/>
    </row>
    <row r="893" spans="1:83" x14ac:dyDescent="0.25">
      <c r="A893" s="31"/>
      <c r="B893" s="30"/>
      <c r="C893" s="30"/>
      <c r="BW893" s="17"/>
      <c r="BX893" s="17"/>
      <c r="BY893" s="17"/>
      <c r="BZ893" s="17"/>
      <c r="CA893" s="17"/>
      <c r="CB893" s="17"/>
      <c r="CC893" s="17"/>
      <c r="CD893" s="17"/>
      <c r="CE893" s="17"/>
    </row>
    <row r="894" spans="1:83" x14ac:dyDescent="0.25">
      <c r="A894" s="31"/>
      <c r="B894" s="30"/>
      <c r="C894" s="30"/>
      <c r="BW894" s="17"/>
      <c r="BX894" s="17"/>
      <c r="BY894" s="17"/>
      <c r="BZ894" s="17"/>
      <c r="CA894" s="17"/>
      <c r="CB894" s="17"/>
      <c r="CC894" s="17"/>
      <c r="CD894" s="17"/>
      <c r="CE894" s="17"/>
    </row>
    <row r="895" spans="1:83" x14ac:dyDescent="0.25">
      <c r="A895" s="31"/>
      <c r="B895" s="30"/>
      <c r="C895" s="30"/>
      <c r="BW895" s="17"/>
      <c r="BX895" s="17"/>
      <c r="BY895" s="17"/>
      <c r="BZ895" s="17"/>
      <c r="CA895" s="17"/>
      <c r="CB895" s="17"/>
      <c r="CC895" s="17"/>
      <c r="CD895" s="17"/>
      <c r="CE895" s="17"/>
    </row>
    <row r="896" spans="1:83" x14ac:dyDescent="0.25">
      <c r="A896" s="31"/>
      <c r="B896" s="30"/>
      <c r="C896" s="30"/>
      <c r="BW896" s="17"/>
      <c r="BX896" s="17"/>
      <c r="BY896" s="17"/>
      <c r="BZ896" s="17"/>
      <c r="CA896" s="17"/>
      <c r="CB896" s="17"/>
      <c r="CC896" s="17"/>
      <c r="CD896" s="17"/>
      <c r="CE896" s="17"/>
    </row>
    <row r="897" spans="1:83" x14ac:dyDescent="0.25">
      <c r="A897" s="31"/>
      <c r="B897" s="30"/>
      <c r="C897" s="30"/>
      <c r="BW897" s="17"/>
      <c r="BX897" s="17"/>
      <c r="BY897" s="17"/>
      <c r="BZ897" s="17"/>
      <c r="CA897" s="17"/>
      <c r="CB897" s="17"/>
      <c r="CC897" s="17"/>
      <c r="CD897" s="17"/>
      <c r="CE897" s="17"/>
    </row>
    <row r="898" spans="1:83" x14ac:dyDescent="0.25">
      <c r="A898" s="31"/>
      <c r="B898" s="30"/>
      <c r="C898" s="30"/>
      <c r="BW898" s="17"/>
      <c r="BX898" s="17"/>
      <c r="BY898" s="17"/>
      <c r="BZ898" s="17"/>
      <c r="CA898" s="17"/>
      <c r="CB898" s="17"/>
      <c r="CC898" s="17"/>
      <c r="CD898" s="17"/>
      <c r="CE898" s="17"/>
    </row>
    <row r="899" spans="1:83" x14ac:dyDescent="0.25">
      <c r="A899" s="31"/>
      <c r="B899" s="30"/>
      <c r="C899" s="30"/>
      <c r="BW899" s="17"/>
      <c r="BX899" s="17"/>
      <c r="BY899" s="17"/>
      <c r="BZ899" s="17"/>
      <c r="CA899" s="17"/>
      <c r="CB899" s="17"/>
      <c r="CC899" s="17"/>
      <c r="CD899" s="17"/>
      <c r="CE899" s="17"/>
    </row>
    <row r="900" spans="1:83" x14ac:dyDescent="0.25">
      <c r="A900" s="31"/>
      <c r="B900" s="30"/>
      <c r="C900" s="30"/>
      <c r="BW900" s="17"/>
      <c r="BX900" s="17"/>
      <c r="BY900" s="17"/>
      <c r="BZ900" s="17"/>
      <c r="CA900" s="17"/>
      <c r="CB900" s="17"/>
      <c r="CC900" s="17"/>
      <c r="CD900" s="17"/>
      <c r="CE900" s="17"/>
    </row>
    <row r="901" spans="1:83" x14ac:dyDescent="0.25">
      <c r="A901" s="31"/>
      <c r="B901" s="30"/>
      <c r="C901" s="30"/>
      <c r="BW901" s="17"/>
      <c r="BX901" s="17"/>
      <c r="BY901" s="17"/>
      <c r="BZ901" s="17"/>
      <c r="CA901" s="17"/>
      <c r="CB901" s="17"/>
      <c r="CC901" s="17"/>
      <c r="CD901" s="17"/>
      <c r="CE901" s="17"/>
    </row>
    <row r="902" spans="1:83" x14ac:dyDescent="0.25">
      <c r="A902" s="31"/>
      <c r="B902" s="30"/>
      <c r="C902" s="30"/>
      <c r="BW902" s="17"/>
      <c r="BX902" s="17"/>
      <c r="BY902" s="17"/>
      <c r="BZ902" s="17"/>
      <c r="CA902" s="17"/>
      <c r="CB902" s="17"/>
      <c r="CC902" s="17"/>
      <c r="CD902" s="17"/>
      <c r="CE902" s="17"/>
    </row>
    <row r="903" spans="1:83" x14ac:dyDescent="0.25">
      <c r="A903" s="31"/>
      <c r="B903" s="30"/>
      <c r="C903" s="30"/>
      <c r="BW903" s="17"/>
      <c r="BX903" s="17"/>
      <c r="BY903" s="17"/>
      <c r="BZ903" s="17"/>
      <c r="CA903" s="17"/>
      <c r="CB903" s="17"/>
      <c r="CC903" s="17"/>
      <c r="CD903" s="17"/>
      <c r="CE903" s="17"/>
    </row>
    <row r="904" spans="1:83" x14ac:dyDescent="0.25">
      <c r="A904" s="31"/>
      <c r="B904" s="30"/>
      <c r="C904" s="30"/>
      <c r="BW904" s="17"/>
      <c r="BX904" s="17"/>
      <c r="BY904" s="17"/>
      <c r="BZ904" s="17"/>
      <c r="CA904" s="17"/>
      <c r="CB904" s="17"/>
      <c r="CC904" s="17"/>
      <c r="CD904" s="17"/>
      <c r="CE904" s="17"/>
    </row>
    <row r="905" spans="1:83" x14ac:dyDescent="0.25">
      <c r="A905" s="31"/>
      <c r="B905" s="30"/>
      <c r="C905" s="30"/>
      <c r="BW905" s="17"/>
      <c r="BX905" s="17"/>
      <c r="BY905" s="17"/>
      <c r="BZ905" s="17"/>
      <c r="CA905" s="17"/>
      <c r="CB905" s="17"/>
      <c r="CC905" s="17"/>
      <c r="CD905" s="17"/>
      <c r="CE905" s="17"/>
    </row>
    <row r="906" spans="1:83" x14ac:dyDescent="0.25">
      <c r="A906" s="31"/>
      <c r="B906" s="30"/>
      <c r="C906" s="30"/>
      <c r="BW906" s="17"/>
      <c r="BX906" s="17"/>
      <c r="BY906" s="17"/>
      <c r="BZ906" s="17"/>
      <c r="CA906" s="17"/>
      <c r="CB906" s="17"/>
      <c r="CC906" s="17"/>
      <c r="CD906" s="17"/>
      <c r="CE906" s="17"/>
    </row>
    <row r="907" spans="1:83" x14ac:dyDescent="0.25">
      <c r="A907" s="31"/>
      <c r="B907" s="30"/>
      <c r="C907" s="30"/>
      <c r="BW907" s="17"/>
      <c r="BX907" s="17"/>
      <c r="BY907" s="17"/>
      <c r="BZ907" s="17"/>
      <c r="CA907" s="17"/>
      <c r="CB907" s="17"/>
      <c r="CC907" s="17"/>
      <c r="CD907" s="17"/>
      <c r="CE907" s="17"/>
    </row>
    <row r="908" spans="1:83" x14ac:dyDescent="0.25">
      <c r="A908" s="31"/>
      <c r="B908" s="30"/>
      <c r="C908" s="30"/>
      <c r="BW908" s="17"/>
      <c r="BX908" s="17"/>
      <c r="BY908" s="17"/>
      <c r="BZ908" s="17"/>
      <c r="CA908" s="17"/>
      <c r="CB908" s="17"/>
      <c r="CC908" s="17"/>
      <c r="CD908" s="17"/>
      <c r="CE908" s="17"/>
    </row>
    <row r="909" spans="1:83" x14ac:dyDescent="0.25">
      <c r="A909" s="31"/>
      <c r="B909" s="30"/>
      <c r="C909" s="30"/>
      <c r="BW909" s="17"/>
      <c r="BX909" s="17"/>
      <c r="BY909" s="17"/>
      <c r="BZ909" s="17"/>
      <c r="CA909" s="17"/>
      <c r="CB909" s="17"/>
      <c r="CC909" s="17"/>
      <c r="CD909" s="17"/>
      <c r="CE909" s="17"/>
    </row>
    <row r="910" spans="1:83" x14ac:dyDescent="0.25">
      <c r="A910" s="31"/>
      <c r="B910" s="30"/>
      <c r="C910" s="30"/>
      <c r="BW910" s="17"/>
      <c r="BX910" s="17"/>
      <c r="BY910" s="17"/>
      <c r="BZ910" s="17"/>
      <c r="CA910" s="17"/>
      <c r="CB910" s="17"/>
      <c r="CC910" s="17"/>
      <c r="CD910" s="17"/>
      <c r="CE910" s="17"/>
    </row>
    <row r="911" spans="1:83" x14ac:dyDescent="0.25">
      <c r="A911" s="31"/>
      <c r="B911" s="30"/>
      <c r="C911" s="30"/>
      <c r="BW911" s="17"/>
      <c r="BX911" s="17"/>
      <c r="BY911" s="17"/>
      <c r="BZ911" s="17"/>
      <c r="CA911" s="17"/>
      <c r="CB911" s="17"/>
      <c r="CC911" s="17"/>
      <c r="CD911" s="17"/>
      <c r="CE911" s="17"/>
    </row>
    <row r="912" spans="1:83" x14ac:dyDescent="0.25">
      <c r="A912" s="31"/>
      <c r="B912" s="30"/>
      <c r="C912" s="30"/>
      <c r="BW912" s="17"/>
      <c r="BX912" s="17"/>
      <c r="BY912" s="17"/>
      <c r="BZ912" s="17"/>
      <c r="CA912" s="17"/>
      <c r="CB912" s="17"/>
      <c r="CC912" s="17"/>
      <c r="CD912" s="17"/>
      <c r="CE912" s="17"/>
    </row>
    <row r="913" spans="1:83" x14ac:dyDescent="0.25">
      <c r="A913" s="31"/>
      <c r="B913" s="30"/>
      <c r="C913" s="30"/>
      <c r="BW913" s="17"/>
      <c r="BX913" s="17"/>
      <c r="BY913" s="17"/>
      <c r="BZ913" s="17"/>
      <c r="CA913" s="17"/>
      <c r="CB913" s="17"/>
      <c r="CC913" s="17"/>
      <c r="CD913" s="17"/>
      <c r="CE913" s="17"/>
    </row>
    <row r="914" spans="1:83" x14ac:dyDescent="0.25">
      <c r="A914" s="31"/>
      <c r="B914" s="30"/>
      <c r="C914" s="30"/>
      <c r="BW914" s="17"/>
      <c r="BX914" s="17"/>
      <c r="BY914" s="17"/>
      <c r="BZ914" s="17"/>
      <c r="CA914" s="17"/>
      <c r="CB914" s="17"/>
      <c r="CC914" s="17"/>
      <c r="CD914" s="17"/>
      <c r="CE914" s="17"/>
    </row>
    <row r="915" spans="1:83" x14ac:dyDescent="0.25">
      <c r="A915" s="31"/>
      <c r="B915" s="30"/>
      <c r="C915" s="30"/>
      <c r="BW915" s="17"/>
      <c r="BX915" s="17"/>
      <c r="BY915" s="17"/>
      <c r="BZ915" s="17"/>
      <c r="CA915" s="17"/>
      <c r="CB915" s="17"/>
      <c r="CC915" s="17"/>
      <c r="CD915" s="17"/>
      <c r="CE915" s="17"/>
    </row>
    <row r="916" spans="1:83" x14ac:dyDescent="0.25">
      <c r="A916" s="31"/>
      <c r="B916" s="30"/>
      <c r="C916" s="30"/>
      <c r="BW916" s="17"/>
      <c r="BX916" s="17"/>
      <c r="BY916" s="17"/>
      <c r="BZ916" s="17"/>
      <c r="CA916" s="17"/>
      <c r="CB916" s="17"/>
      <c r="CC916" s="17"/>
      <c r="CD916" s="17"/>
      <c r="CE916" s="17"/>
    </row>
    <row r="917" spans="1:83" x14ac:dyDescent="0.25">
      <c r="A917" s="31"/>
      <c r="B917" s="30"/>
      <c r="C917" s="30"/>
      <c r="BW917" s="17"/>
      <c r="BX917" s="17"/>
      <c r="BY917" s="17"/>
      <c r="BZ917" s="17"/>
      <c r="CA917" s="17"/>
      <c r="CB917" s="17"/>
      <c r="CC917" s="17"/>
      <c r="CD917" s="17"/>
      <c r="CE917" s="17"/>
    </row>
    <row r="918" spans="1:83" x14ac:dyDescent="0.25">
      <c r="A918" s="31"/>
      <c r="B918" s="30"/>
      <c r="C918" s="30"/>
      <c r="BW918" s="17"/>
      <c r="BX918" s="17"/>
      <c r="BY918" s="17"/>
      <c r="BZ918" s="17"/>
      <c r="CA918" s="17"/>
      <c r="CB918" s="17"/>
      <c r="CC918" s="17"/>
      <c r="CD918" s="17"/>
      <c r="CE918" s="17"/>
    </row>
    <row r="919" spans="1:83" x14ac:dyDescent="0.25">
      <c r="A919" s="31"/>
      <c r="B919" s="30"/>
      <c r="C919" s="30"/>
      <c r="BW919" s="17"/>
      <c r="BX919" s="17"/>
      <c r="BY919" s="17"/>
      <c r="BZ919" s="17"/>
      <c r="CA919" s="17"/>
      <c r="CB919" s="17"/>
      <c r="CC919" s="17"/>
      <c r="CD919" s="17"/>
      <c r="CE919" s="17"/>
    </row>
    <row r="920" spans="1:83" x14ac:dyDescent="0.25">
      <c r="A920" s="31"/>
      <c r="B920" s="30"/>
      <c r="C920" s="30"/>
      <c r="BW920" s="17"/>
      <c r="BX920" s="17"/>
      <c r="BY920" s="17"/>
      <c r="BZ920" s="17"/>
      <c r="CA920" s="17"/>
      <c r="CB920" s="17"/>
      <c r="CC920" s="17"/>
      <c r="CD920" s="17"/>
      <c r="CE920" s="17"/>
    </row>
    <row r="921" spans="1:83" x14ac:dyDescent="0.25">
      <c r="A921" s="31"/>
      <c r="B921" s="30"/>
      <c r="C921" s="30"/>
      <c r="BW921" s="17"/>
      <c r="BX921" s="17"/>
      <c r="BY921" s="17"/>
      <c r="BZ921" s="17"/>
      <c r="CA921" s="17"/>
      <c r="CB921" s="17"/>
      <c r="CC921" s="17"/>
      <c r="CD921" s="17"/>
      <c r="CE921" s="17"/>
    </row>
    <row r="922" spans="1:83" x14ac:dyDescent="0.25">
      <c r="A922" s="31"/>
      <c r="B922" s="30"/>
      <c r="C922" s="30"/>
      <c r="BW922" s="17"/>
      <c r="BX922" s="17"/>
      <c r="BY922" s="17"/>
      <c r="BZ922" s="17"/>
      <c r="CA922" s="17"/>
      <c r="CB922" s="17"/>
      <c r="CC922" s="17"/>
      <c r="CD922" s="17"/>
      <c r="CE922" s="17"/>
    </row>
    <row r="923" spans="1:83" x14ac:dyDescent="0.25">
      <c r="A923" s="31"/>
      <c r="B923" s="30"/>
      <c r="C923" s="30"/>
      <c r="BW923" s="17"/>
      <c r="BX923" s="17"/>
      <c r="BY923" s="17"/>
      <c r="BZ923" s="17"/>
      <c r="CA923" s="17"/>
      <c r="CB923" s="17"/>
      <c r="CC923" s="17"/>
      <c r="CD923" s="17"/>
      <c r="CE923" s="17"/>
    </row>
    <row r="924" spans="1:83" x14ac:dyDescent="0.25">
      <c r="A924" s="31"/>
      <c r="B924" s="30"/>
      <c r="C924" s="30"/>
      <c r="BW924" s="17"/>
      <c r="BX924" s="17"/>
      <c r="BY924" s="17"/>
      <c r="BZ924" s="17"/>
      <c r="CA924" s="17"/>
      <c r="CB924" s="17"/>
      <c r="CC924" s="17"/>
      <c r="CD924" s="17"/>
      <c r="CE924" s="17"/>
    </row>
    <row r="925" spans="1:83" x14ac:dyDescent="0.25">
      <c r="A925" s="31"/>
      <c r="B925" s="30"/>
      <c r="C925" s="30"/>
      <c r="BW925" s="17"/>
      <c r="BX925" s="17"/>
      <c r="BY925" s="17"/>
      <c r="BZ925" s="17"/>
      <c r="CA925" s="17"/>
      <c r="CB925" s="17"/>
      <c r="CC925" s="17"/>
      <c r="CD925" s="17"/>
      <c r="CE925" s="17"/>
    </row>
    <row r="926" spans="1:83" x14ac:dyDescent="0.25">
      <c r="A926" s="31"/>
      <c r="B926" s="30"/>
      <c r="C926" s="30"/>
      <c r="BW926" s="17"/>
      <c r="BX926" s="17"/>
      <c r="BY926" s="17"/>
      <c r="BZ926" s="17"/>
      <c r="CA926" s="17"/>
      <c r="CB926" s="17"/>
      <c r="CC926" s="17"/>
      <c r="CD926" s="17"/>
      <c r="CE926" s="17"/>
    </row>
    <row r="927" spans="1:83" x14ac:dyDescent="0.25">
      <c r="A927" s="31"/>
      <c r="B927" s="30"/>
      <c r="C927" s="30"/>
      <c r="BW927" s="17"/>
      <c r="BX927" s="17"/>
      <c r="BY927" s="17"/>
      <c r="BZ927" s="17"/>
      <c r="CA927" s="17"/>
      <c r="CB927" s="17"/>
      <c r="CC927" s="17"/>
      <c r="CD927" s="17"/>
      <c r="CE927" s="17"/>
    </row>
    <row r="928" spans="1:83" x14ac:dyDescent="0.25">
      <c r="A928" s="31"/>
      <c r="B928" s="30"/>
      <c r="C928" s="30"/>
      <c r="BW928" s="17"/>
      <c r="BX928" s="17"/>
      <c r="BY928" s="17"/>
      <c r="BZ928" s="17"/>
      <c r="CA928" s="17"/>
      <c r="CB928" s="17"/>
      <c r="CC928" s="17"/>
      <c r="CD928" s="17"/>
      <c r="CE928" s="17"/>
    </row>
    <row r="929" spans="1:83" x14ac:dyDescent="0.25">
      <c r="A929" s="31"/>
      <c r="B929" s="30"/>
      <c r="C929" s="30"/>
      <c r="BW929" s="17"/>
      <c r="BX929" s="17"/>
      <c r="BY929" s="17"/>
      <c r="BZ929" s="17"/>
      <c r="CA929" s="17"/>
      <c r="CB929" s="17"/>
      <c r="CC929" s="17"/>
      <c r="CD929" s="17"/>
      <c r="CE929" s="17"/>
    </row>
    <row r="930" spans="1:83" x14ac:dyDescent="0.25">
      <c r="A930" s="31"/>
      <c r="B930" s="30"/>
      <c r="C930" s="30"/>
      <c r="BW930" s="17"/>
      <c r="BX930" s="17"/>
      <c r="BY930" s="17"/>
      <c r="BZ930" s="17"/>
      <c r="CA930" s="17"/>
      <c r="CB930" s="17"/>
      <c r="CC930" s="17"/>
      <c r="CD930" s="17"/>
      <c r="CE930" s="17"/>
    </row>
    <row r="931" spans="1:83" x14ac:dyDescent="0.25">
      <c r="A931" s="31"/>
      <c r="B931" s="30"/>
      <c r="C931" s="30"/>
      <c r="BW931" s="17"/>
      <c r="BX931" s="17"/>
      <c r="BY931" s="17"/>
      <c r="BZ931" s="17"/>
      <c r="CA931" s="17"/>
      <c r="CB931" s="17"/>
      <c r="CC931" s="17"/>
      <c r="CD931" s="17"/>
      <c r="CE931" s="17"/>
    </row>
    <row r="932" spans="1:83" x14ac:dyDescent="0.25">
      <c r="A932" s="31"/>
      <c r="B932" s="30"/>
      <c r="C932" s="30"/>
      <c r="BW932" s="17"/>
      <c r="BX932" s="17"/>
      <c r="BY932" s="17"/>
      <c r="BZ932" s="17"/>
      <c r="CA932" s="17"/>
      <c r="CB932" s="17"/>
      <c r="CC932" s="17"/>
      <c r="CD932" s="17"/>
      <c r="CE932" s="17"/>
    </row>
    <row r="933" spans="1:83" x14ac:dyDescent="0.25">
      <c r="A933" s="31"/>
      <c r="B933" s="30"/>
      <c r="C933" s="30"/>
      <c r="BW933" s="17"/>
      <c r="BX933" s="17"/>
      <c r="BY933" s="17"/>
      <c r="BZ933" s="17"/>
      <c r="CA933" s="17"/>
      <c r="CB933" s="17"/>
      <c r="CC933" s="17"/>
      <c r="CD933" s="17"/>
      <c r="CE933" s="17"/>
    </row>
    <row r="934" spans="1:83" x14ac:dyDescent="0.25">
      <c r="A934" s="31"/>
      <c r="B934" s="30"/>
      <c r="C934" s="30"/>
      <c r="BW934" s="17"/>
      <c r="BX934" s="17"/>
      <c r="BY934" s="17"/>
      <c r="BZ934" s="17"/>
      <c r="CA934" s="17"/>
      <c r="CB934" s="17"/>
      <c r="CC934" s="17"/>
      <c r="CD934" s="17"/>
      <c r="CE934" s="17"/>
    </row>
    <row r="935" spans="1:83" x14ac:dyDescent="0.25">
      <c r="A935" s="31"/>
      <c r="B935" s="30"/>
      <c r="C935" s="30"/>
      <c r="BW935" s="17"/>
      <c r="BX935" s="17"/>
      <c r="BY935" s="17"/>
      <c r="BZ935" s="17"/>
      <c r="CA935" s="17"/>
      <c r="CB935" s="17"/>
      <c r="CC935" s="17"/>
      <c r="CD935" s="17"/>
      <c r="CE935" s="17"/>
    </row>
    <row r="936" spans="1:83" x14ac:dyDescent="0.25">
      <c r="A936" s="31"/>
      <c r="B936" s="30"/>
      <c r="C936" s="30"/>
      <c r="BW936" s="17"/>
      <c r="BX936" s="17"/>
      <c r="BY936" s="17"/>
      <c r="BZ936" s="17"/>
      <c r="CA936" s="17"/>
      <c r="CB936" s="17"/>
      <c r="CC936" s="17"/>
      <c r="CD936" s="17"/>
      <c r="CE936" s="17"/>
    </row>
    <row r="937" spans="1:83" x14ac:dyDescent="0.25">
      <c r="A937" s="31"/>
      <c r="B937" s="30"/>
      <c r="C937" s="30"/>
      <c r="BW937" s="17"/>
      <c r="BX937" s="17"/>
      <c r="BY937" s="17"/>
      <c r="BZ937" s="17"/>
      <c r="CA937" s="17"/>
      <c r="CB937" s="17"/>
      <c r="CC937" s="17"/>
      <c r="CD937" s="17"/>
      <c r="CE937" s="17"/>
    </row>
    <row r="938" spans="1:83" x14ac:dyDescent="0.25">
      <c r="A938" s="31"/>
      <c r="B938" s="30"/>
      <c r="C938" s="30"/>
      <c r="BW938" s="17"/>
      <c r="BX938" s="17"/>
      <c r="BY938" s="17"/>
      <c r="BZ938" s="17"/>
      <c r="CA938" s="17"/>
      <c r="CB938" s="17"/>
      <c r="CC938" s="17"/>
      <c r="CD938" s="17"/>
      <c r="CE938" s="17"/>
    </row>
    <row r="939" spans="1:83" x14ac:dyDescent="0.25">
      <c r="A939" s="31"/>
      <c r="B939" s="30"/>
      <c r="C939" s="30"/>
      <c r="BW939" s="17"/>
      <c r="BX939" s="17"/>
      <c r="BY939" s="17"/>
      <c r="BZ939" s="17"/>
      <c r="CA939" s="17"/>
      <c r="CB939" s="17"/>
      <c r="CC939" s="17"/>
      <c r="CD939" s="17"/>
      <c r="CE939" s="17"/>
    </row>
    <row r="940" spans="1:83" x14ac:dyDescent="0.25">
      <c r="A940" s="31"/>
      <c r="B940" s="30"/>
      <c r="C940" s="30"/>
      <c r="BW940" s="17"/>
      <c r="BX940" s="17"/>
      <c r="BY940" s="17"/>
      <c r="BZ940" s="17"/>
      <c r="CA940" s="17"/>
      <c r="CB940" s="17"/>
      <c r="CC940" s="17"/>
      <c r="CD940" s="17"/>
      <c r="CE940" s="17"/>
    </row>
    <row r="941" spans="1:83" x14ac:dyDescent="0.25">
      <c r="A941" s="31"/>
      <c r="B941" s="30"/>
      <c r="C941" s="30"/>
      <c r="BW941" s="17"/>
      <c r="BX941" s="17"/>
      <c r="BY941" s="17"/>
      <c r="BZ941" s="17"/>
      <c r="CA941" s="17"/>
      <c r="CB941" s="17"/>
      <c r="CC941" s="17"/>
      <c r="CD941" s="17"/>
      <c r="CE941" s="17"/>
    </row>
    <row r="942" spans="1:83" x14ac:dyDescent="0.25">
      <c r="A942" s="31"/>
      <c r="B942" s="30"/>
      <c r="C942" s="30"/>
      <c r="BW942" s="17"/>
      <c r="BX942" s="17"/>
      <c r="BY942" s="17"/>
      <c r="BZ942" s="17"/>
      <c r="CA942" s="17"/>
      <c r="CB942" s="17"/>
      <c r="CC942" s="17"/>
      <c r="CD942" s="17"/>
      <c r="CE942" s="17"/>
    </row>
    <row r="943" spans="1:83" x14ac:dyDescent="0.25">
      <c r="A943" s="31"/>
      <c r="B943" s="30"/>
      <c r="C943" s="30"/>
      <c r="BW943" s="17"/>
      <c r="BX943" s="17"/>
      <c r="BY943" s="17"/>
      <c r="BZ943" s="17"/>
      <c r="CA943" s="17"/>
      <c r="CB943" s="17"/>
      <c r="CC943" s="17"/>
      <c r="CD943" s="17"/>
      <c r="CE943" s="17"/>
    </row>
    <row r="944" spans="1:83" x14ac:dyDescent="0.25">
      <c r="A944" s="31"/>
      <c r="B944" s="30"/>
      <c r="C944" s="30"/>
      <c r="BW944" s="17"/>
      <c r="BX944" s="17"/>
      <c r="BY944" s="17"/>
      <c r="BZ944" s="17"/>
      <c r="CA944" s="17"/>
      <c r="CB944" s="17"/>
      <c r="CC944" s="17"/>
      <c r="CD944" s="17"/>
      <c r="CE944" s="17"/>
    </row>
    <row r="945" spans="1:83" x14ac:dyDescent="0.25">
      <c r="A945" s="31"/>
      <c r="B945" s="30"/>
      <c r="C945" s="30"/>
      <c r="BW945" s="17"/>
      <c r="BX945" s="17"/>
      <c r="BY945" s="17"/>
      <c r="BZ945" s="17"/>
      <c r="CA945" s="17"/>
      <c r="CB945" s="17"/>
      <c r="CC945" s="17"/>
      <c r="CD945" s="17"/>
      <c r="CE945" s="17"/>
    </row>
    <row r="946" spans="1:83" x14ac:dyDescent="0.25">
      <c r="A946" s="31"/>
      <c r="B946" s="30"/>
      <c r="C946" s="30"/>
      <c r="BW946" s="17"/>
      <c r="BX946" s="17"/>
      <c r="BY946" s="17"/>
      <c r="BZ946" s="17"/>
      <c r="CA946" s="17"/>
      <c r="CB946" s="17"/>
      <c r="CC946" s="17"/>
      <c r="CD946" s="17"/>
      <c r="CE946" s="17"/>
    </row>
    <row r="947" spans="1:83" x14ac:dyDescent="0.25">
      <c r="A947" s="31"/>
      <c r="B947" s="30"/>
      <c r="C947" s="30"/>
      <c r="BW947" s="17"/>
      <c r="BX947" s="17"/>
      <c r="BY947" s="17"/>
      <c r="BZ947" s="17"/>
      <c r="CA947" s="17"/>
      <c r="CB947" s="17"/>
      <c r="CC947" s="17"/>
      <c r="CD947" s="17"/>
      <c r="CE947" s="17"/>
    </row>
    <row r="948" spans="1:83" x14ac:dyDescent="0.25">
      <c r="A948" s="31"/>
      <c r="B948" s="30"/>
      <c r="C948" s="30"/>
      <c r="BW948" s="17"/>
      <c r="BX948" s="17"/>
      <c r="BY948" s="17"/>
      <c r="BZ948" s="17"/>
      <c r="CA948" s="17"/>
      <c r="CB948" s="17"/>
      <c r="CC948" s="17"/>
      <c r="CD948" s="17"/>
      <c r="CE948" s="17"/>
    </row>
    <row r="949" spans="1:83" x14ac:dyDescent="0.25">
      <c r="A949" s="31"/>
      <c r="B949" s="30"/>
      <c r="C949" s="30"/>
      <c r="BW949" s="17"/>
      <c r="BX949" s="17"/>
      <c r="BY949" s="17"/>
      <c r="BZ949" s="17"/>
      <c r="CA949" s="17"/>
      <c r="CB949" s="17"/>
      <c r="CC949" s="17"/>
      <c r="CD949" s="17"/>
      <c r="CE949" s="17"/>
    </row>
    <row r="950" spans="1:83" x14ac:dyDescent="0.25">
      <c r="A950" s="31"/>
      <c r="B950" s="30"/>
      <c r="C950" s="30"/>
      <c r="BW950" s="17"/>
      <c r="BX950" s="17"/>
      <c r="BY950" s="17"/>
      <c r="BZ950" s="17"/>
      <c r="CA950" s="17"/>
      <c r="CB950" s="17"/>
      <c r="CC950" s="17"/>
      <c r="CD950" s="17"/>
      <c r="CE950" s="17"/>
    </row>
    <row r="951" spans="1:83" x14ac:dyDescent="0.25">
      <c r="A951" s="31"/>
      <c r="B951" s="30"/>
      <c r="C951" s="30"/>
      <c r="BW951" s="17"/>
      <c r="BX951" s="17"/>
      <c r="BY951" s="17"/>
      <c r="BZ951" s="17"/>
      <c r="CA951" s="17"/>
      <c r="CB951" s="17"/>
      <c r="CC951" s="17"/>
      <c r="CD951" s="17"/>
      <c r="CE951" s="17"/>
    </row>
    <row r="952" spans="1:83" x14ac:dyDescent="0.25">
      <c r="A952" s="31"/>
      <c r="B952" s="30"/>
      <c r="C952" s="30"/>
      <c r="BW952" s="17"/>
      <c r="BX952" s="17"/>
      <c r="BY952" s="17"/>
      <c r="BZ952" s="17"/>
      <c r="CA952" s="17"/>
      <c r="CB952" s="17"/>
      <c r="CC952" s="17"/>
      <c r="CD952" s="17"/>
      <c r="CE952" s="17"/>
    </row>
    <row r="953" spans="1:83" x14ac:dyDescent="0.25">
      <c r="A953" s="31"/>
      <c r="B953" s="30"/>
      <c r="C953" s="30"/>
      <c r="BW953" s="17"/>
      <c r="BX953" s="17"/>
      <c r="BY953" s="17"/>
      <c r="BZ953" s="17"/>
      <c r="CA953" s="17"/>
      <c r="CB953" s="17"/>
      <c r="CC953" s="17"/>
      <c r="CD953" s="17"/>
      <c r="CE953" s="17"/>
    </row>
    <row r="954" spans="1:83" x14ac:dyDescent="0.25">
      <c r="A954" s="31"/>
      <c r="B954" s="30"/>
      <c r="C954" s="30"/>
      <c r="BW954" s="17"/>
      <c r="BX954" s="17"/>
      <c r="BY954" s="17"/>
      <c r="BZ954" s="17"/>
      <c r="CA954" s="17"/>
      <c r="CB954" s="17"/>
      <c r="CC954" s="17"/>
      <c r="CD954" s="17"/>
      <c r="CE954" s="17"/>
    </row>
    <row r="955" spans="1:83" x14ac:dyDescent="0.25">
      <c r="A955" s="31"/>
      <c r="B955" s="30"/>
      <c r="C955" s="30"/>
      <c r="BW955" s="17"/>
      <c r="BX955" s="17"/>
      <c r="BY955" s="17"/>
      <c r="BZ955" s="17"/>
      <c r="CA955" s="17"/>
      <c r="CB955" s="17"/>
      <c r="CC955" s="17"/>
      <c r="CD955" s="17"/>
      <c r="CE955" s="17"/>
    </row>
    <row r="956" spans="1:83" x14ac:dyDescent="0.25">
      <c r="A956" s="31"/>
      <c r="B956" s="30"/>
      <c r="C956" s="30"/>
      <c r="BW956" s="17"/>
      <c r="BX956" s="17"/>
      <c r="BY956" s="17"/>
      <c r="BZ956" s="17"/>
      <c r="CA956" s="17"/>
      <c r="CB956" s="17"/>
      <c r="CC956" s="17"/>
      <c r="CD956" s="17"/>
      <c r="CE956" s="17"/>
    </row>
    <row r="957" spans="1:83" x14ac:dyDescent="0.25">
      <c r="A957" s="31"/>
      <c r="B957" s="30"/>
      <c r="C957" s="30"/>
      <c r="BW957" s="17"/>
      <c r="BX957" s="17"/>
      <c r="BY957" s="17"/>
      <c r="BZ957" s="17"/>
      <c r="CA957" s="17"/>
      <c r="CB957" s="17"/>
      <c r="CC957" s="17"/>
      <c r="CD957" s="17"/>
      <c r="CE957" s="17"/>
    </row>
    <row r="958" spans="1:83" x14ac:dyDescent="0.25">
      <c r="A958" s="31"/>
      <c r="B958" s="30"/>
      <c r="C958" s="30"/>
      <c r="BW958" s="17"/>
      <c r="BX958" s="17"/>
      <c r="BY958" s="17"/>
      <c r="BZ958" s="17"/>
      <c r="CA958" s="17"/>
      <c r="CB958" s="17"/>
      <c r="CC958" s="17"/>
      <c r="CD958" s="17"/>
      <c r="CE958" s="17"/>
    </row>
    <row r="959" spans="1:83" x14ac:dyDescent="0.25">
      <c r="A959" s="31"/>
      <c r="B959" s="30"/>
      <c r="C959" s="30"/>
      <c r="BW959" s="17"/>
      <c r="BX959" s="17"/>
      <c r="BY959" s="17"/>
      <c r="BZ959" s="17"/>
      <c r="CA959" s="17"/>
      <c r="CB959" s="17"/>
      <c r="CC959" s="17"/>
      <c r="CD959" s="17"/>
      <c r="CE959" s="17"/>
    </row>
    <row r="960" spans="1:83" x14ac:dyDescent="0.25">
      <c r="A960" s="31"/>
      <c r="B960" s="30"/>
      <c r="C960" s="30"/>
      <c r="BW960" s="17"/>
      <c r="BX960" s="17"/>
      <c r="BY960" s="17"/>
      <c r="BZ960" s="17"/>
      <c r="CA960" s="17"/>
      <c r="CB960" s="17"/>
      <c r="CC960" s="17"/>
      <c r="CD960" s="17"/>
      <c r="CE960" s="17"/>
    </row>
    <row r="961" spans="1:83" x14ac:dyDescent="0.25">
      <c r="A961" s="31"/>
      <c r="B961" s="30"/>
      <c r="C961" s="30"/>
      <c r="BW961" s="17"/>
      <c r="BX961" s="17"/>
      <c r="BY961" s="17"/>
      <c r="BZ961" s="17"/>
      <c r="CA961" s="17"/>
      <c r="CB961" s="17"/>
      <c r="CC961" s="17"/>
      <c r="CD961" s="17"/>
      <c r="CE961" s="17"/>
    </row>
    <row r="962" spans="1:83" x14ac:dyDescent="0.25">
      <c r="A962" s="31"/>
      <c r="B962" s="30"/>
      <c r="C962" s="30"/>
      <c r="BW962" s="17"/>
      <c r="BX962" s="17"/>
      <c r="BY962" s="17"/>
      <c r="BZ962" s="17"/>
      <c r="CA962" s="17"/>
      <c r="CB962" s="17"/>
      <c r="CC962" s="17"/>
      <c r="CD962" s="17"/>
      <c r="CE962" s="17"/>
    </row>
    <row r="963" spans="1:83" x14ac:dyDescent="0.25">
      <c r="A963" s="31"/>
      <c r="B963" s="30"/>
      <c r="C963" s="30"/>
      <c r="BW963" s="17"/>
      <c r="BX963" s="17"/>
      <c r="BY963" s="17"/>
      <c r="BZ963" s="17"/>
      <c r="CA963" s="17"/>
      <c r="CB963" s="17"/>
      <c r="CC963" s="17"/>
      <c r="CD963" s="17"/>
      <c r="CE963" s="17"/>
    </row>
    <row r="964" spans="1:83" x14ac:dyDescent="0.25">
      <c r="A964" s="31"/>
      <c r="B964" s="30"/>
      <c r="C964" s="30"/>
      <c r="BW964" s="17"/>
      <c r="BX964" s="17"/>
      <c r="BY964" s="17"/>
      <c r="BZ964" s="17"/>
      <c r="CA964" s="17"/>
      <c r="CB964" s="17"/>
      <c r="CC964" s="17"/>
      <c r="CD964" s="17"/>
      <c r="CE964" s="17"/>
    </row>
    <row r="965" spans="1:83" x14ac:dyDescent="0.25">
      <c r="A965" s="31"/>
      <c r="B965" s="30"/>
      <c r="C965" s="30"/>
      <c r="BW965" s="17"/>
      <c r="BX965" s="17"/>
      <c r="BY965" s="17"/>
      <c r="BZ965" s="17"/>
      <c r="CA965" s="17"/>
      <c r="CB965" s="17"/>
      <c r="CC965" s="17"/>
      <c r="CD965" s="17"/>
      <c r="CE965" s="17"/>
    </row>
    <row r="966" spans="1:83" x14ac:dyDescent="0.25">
      <c r="A966" s="31"/>
      <c r="B966" s="30"/>
      <c r="C966" s="30"/>
      <c r="BW966" s="17"/>
      <c r="BX966" s="17"/>
      <c r="BY966" s="17"/>
      <c r="BZ966" s="17"/>
      <c r="CA966" s="17"/>
      <c r="CB966" s="17"/>
      <c r="CC966" s="17"/>
      <c r="CD966" s="17"/>
      <c r="CE966" s="17"/>
    </row>
    <row r="967" spans="1:83" x14ac:dyDescent="0.25">
      <c r="A967" s="31"/>
      <c r="B967" s="30"/>
      <c r="C967" s="30"/>
      <c r="BW967" s="17"/>
      <c r="BX967" s="17"/>
      <c r="BY967" s="17"/>
      <c r="BZ967" s="17"/>
      <c r="CA967" s="17"/>
      <c r="CB967" s="17"/>
      <c r="CC967" s="17"/>
      <c r="CD967" s="17"/>
      <c r="CE967" s="17"/>
    </row>
    <row r="968" spans="1:83" x14ac:dyDescent="0.25">
      <c r="A968" s="31"/>
      <c r="B968" s="30"/>
      <c r="C968" s="30"/>
      <c r="BW968" s="17"/>
      <c r="BX968" s="17"/>
      <c r="BY968" s="17"/>
      <c r="BZ968" s="17"/>
      <c r="CA968" s="17"/>
      <c r="CB968" s="17"/>
      <c r="CC968" s="17"/>
      <c r="CD968" s="17"/>
      <c r="CE968" s="17"/>
    </row>
    <row r="969" spans="1:83" x14ac:dyDescent="0.25">
      <c r="A969" s="31"/>
      <c r="B969" s="30"/>
      <c r="C969" s="30"/>
      <c r="BW969" s="17"/>
      <c r="BX969" s="17"/>
      <c r="BY969" s="17"/>
      <c r="BZ969" s="17"/>
      <c r="CA969" s="17"/>
      <c r="CB969" s="17"/>
      <c r="CC969" s="17"/>
      <c r="CD969" s="17"/>
      <c r="CE969" s="17"/>
    </row>
    <row r="970" spans="1:83" x14ac:dyDescent="0.25">
      <c r="A970" s="31"/>
      <c r="B970" s="30"/>
      <c r="C970" s="30"/>
      <c r="BW970" s="17"/>
      <c r="BX970" s="17"/>
      <c r="BY970" s="17"/>
      <c r="BZ970" s="17"/>
      <c r="CA970" s="17"/>
      <c r="CB970" s="17"/>
      <c r="CC970" s="17"/>
      <c r="CD970" s="17"/>
      <c r="CE970" s="17"/>
    </row>
    <row r="971" spans="1:83" x14ac:dyDescent="0.25">
      <c r="A971" s="31"/>
      <c r="B971" s="30"/>
      <c r="C971" s="30"/>
      <c r="BW971" s="17"/>
      <c r="BX971" s="17"/>
      <c r="BY971" s="17"/>
      <c r="BZ971" s="17"/>
      <c r="CA971" s="17"/>
      <c r="CB971" s="17"/>
      <c r="CC971" s="17"/>
      <c r="CD971" s="17"/>
      <c r="CE971" s="17"/>
    </row>
    <row r="972" spans="1:83" x14ac:dyDescent="0.25">
      <c r="A972" s="31"/>
      <c r="B972" s="30"/>
      <c r="C972" s="30"/>
      <c r="BW972" s="17"/>
      <c r="BX972" s="17"/>
      <c r="BY972" s="17"/>
      <c r="BZ972" s="17"/>
      <c r="CA972" s="17"/>
      <c r="CB972" s="17"/>
      <c r="CC972" s="17"/>
      <c r="CD972" s="17"/>
      <c r="CE972" s="17"/>
    </row>
    <row r="973" spans="1:83" x14ac:dyDescent="0.25">
      <c r="A973" s="31"/>
      <c r="B973" s="30"/>
      <c r="C973" s="30"/>
      <c r="BW973" s="17"/>
      <c r="BX973" s="17"/>
      <c r="BY973" s="17"/>
      <c r="BZ973" s="17"/>
      <c r="CA973" s="17"/>
      <c r="CB973" s="17"/>
      <c r="CC973" s="17"/>
      <c r="CD973" s="17"/>
      <c r="CE973" s="17"/>
    </row>
    <row r="974" spans="1:83" x14ac:dyDescent="0.25">
      <c r="A974" s="31"/>
      <c r="B974" s="30"/>
      <c r="C974" s="30"/>
      <c r="BW974" s="17"/>
      <c r="BX974" s="17"/>
      <c r="BY974" s="17"/>
      <c r="BZ974" s="17"/>
      <c r="CA974" s="17"/>
      <c r="CB974" s="17"/>
      <c r="CC974" s="17"/>
      <c r="CD974" s="17"/>
      <c r="CE974" s="17"/>
    </row>
    <row r="975" spans="1:83" x14ac:dyDescent="0.25">
      <c r="A975" s="31"/>
      <c r="B975" s="30"/>
      <c r="C975" s="30"/>
      <c r="BW975" s="17"/>
      <c r="BX975" s="17"/>
      <c r="BY975" s="17"/>
      <c r="BZ975" s="17"/>
      <c r="CA975" s="17"/>
      <c r="CB975" s="17"/>
      <c r="CC975" s="17"/>
      <c r="CD975" s="17"/>
      <c r="CE975" s="17"/>
    </row>
    <row r="976" spans="1:83" x14ac:dyDescent="0.25">
      <c r="A976" s="31"/>
      <c r="B976" s="30"/>
      <c r="C976" s="30"/>
      <c r="BW976" s="17"/>
      <c r="BX976" s="17"/>
      <c r="BY976" s="17"/>
      <c r="BZ976" s="17"/>
      <c r="CA976" s="17"/>
      <c r="CB976" s="17"/>
      <c r="CC976" s="17"/>
      <c r="CD976" s="17"/>
      <c r="CE976" s="17"/>
    </row>
    <row r="977" spans="1:83" x14ac:dyDescent="0.25">
      <c r="A977" s="31"/>
      <c r="B977" s="30"/>
      <c r="C977" s="30"/>
      <c r="BW977" s="17"/>
      <c r="BX977" s="17"/>
      <c r="BY977" s="17"/>
      <c r="BZ977" s="17"/>
      <c r="CA977" s="17"/>
      <c r="CB977" s="17"/>
      <c r="CC977" s="17"/>
      <c r="CD977" s="17"/>
      <c r="CE977" s="17"/>
    </row>
    <row r="978" spans="1:83" x14ac:dyDescent="0.25">
      <c r="A978" s="31"/>
      <c r="B978" s="30"/>
      <c r="C978" s="30"/>
      <c r="BW978" s="17"/>
      <c r="BX978" s="17"/>
      <c r="BY978" s="17"/>
      <c r="BZ978" s="17"/>
      <c r="CA978" s="17"/>
      <c r="CB978" s="17"/>
      <c r="CC978" s="17"/>
      <c r="CD978" s="17"/>
      <c r="CE978" s="17"/>
    </row>
    <row r="979" spans="1:83" x14ac:dyDescent="0.25">
      <c r="A979" s="31"/>
      <c r="B979" s="30"/>
      <c r="C979" s="30"/>
      <c r="BW979" s="17"/>
      <c r="BX979" s="17"/>
      <c r="BY979" s="17"/>
      <c r="BZ979" s="17"/>
      <c r="CA979" s="17"/>
      <c r="CB979" s="17"/>
      <c r="CC979" s="17"/>
      <c r="CD979" s="17"/>
      <c r="CE979" s="17"/>
    </row>
    <row r="980" spans="1:83" x14ac:dyDescent="0.25">
      <c r="A980" s="31"/>
      <c r="B980" s="30"/>
      <c r="C980" s="30"/>
      <c r="BW980" s="17"/>
      <c r="BX980" s="17"/>
      <c r="BY980" s="17"/>
      <c r="BZ980" s="17"/>
      <c r="CA980" s="17"/>
      <c r="CB980" s="17"/>
      <c r="CC980" s="17"/>
      <c r="CD980" s="17"/>
      <c r="CE980" s="17"/>
    </row>
    <row r="981" spans="1:83" x14ac:dyDescent="0.25">
      <c r="A981" s="31"/>
      <c r="B981" s="30"/>
      <c r="C981" s="30"/>
      <c r="BW981" s="17"/>
      <c r="BX981" s="17"/>
      <c r="BY981" s="17"/>
      <c r="BZ981" s="17"/>
      <c r="CA981" s="17"/>
      <c r="CB981" s="17"/>
      <c r="CC981" s="17"/>
      <c r="CD981" s="17"/>
      <c r="CE981" s="17"/>
    </row>
    <row r="982" spans="1:83" x14ac:dyDescent="0.25">
      <c r="A982" s="31"/>
      <c r="B982" s="30"/>
      <c r="C982" s="30"/>
      <c r="BW982" s="17"/>
      <c r="BX982" s="17"/>
      <c r="BY982" s="17"/>
      <c r="BZ982" s="17"/>
      <c r="CA982" s="17"/>
      <c r="CB982" s="17"/>
      <c r="CC982" s="17"/>
      <c r="CD982" s="17"/>
      <c r="CE982" s="17"/>
    </row>
    <row r="983" spans="1:83" x14ac:dyDescent="0.25">
      <c r="A983" s="31"/>
      <c r="B983" s="30"/>
      <c r="C983" s="30"/>
      <c r="BW983" s="17"/>
      <c r="BX983" s="17"/>
      <c r="BY983" s="17"/>
      <c r="BZ983" s="17"/>
      <c r="CA983" s="17"/>
      <c r="CB983" s="17"/>
      <c r="CC983" s="17"/>
      <c r="CD983" s="17"/>
      <c r="CE983" s="17"/>
    </row>
    <row r="984" spans="1:83" x14ac:dyDescent="0.25">
      <c r="A984" s="31"/>
      <c r="B984" s="30"/>
      <c r="C984" s="30"/>
      <c r="BW984" s="17"/>
      <c r="BX984" s="17"/>
      <c r="BY984" s="17"/>
      <c r="BZ984" s="17"/>
      <c r="CA984" s="17"/>
      <c r="CB984" s="17"/>
      <c r="CC984" s="17"/>
      <c r="CD984" s="17"/>
      <c r="CE984" s="17"/>
    </row>
    <row r="985" spans="1:83" x14ac:dyDescent="0.25">
      <c r="A985" s="31"/>
      <c r="B985" s="30"/>
      <c r="C985" s="30"/>
      <c r="BW985" s="17"/>
      <c r="BX985" s="17"/>
      <c r="BY985" s="17"/>
      <c r="BZ985" s="17"/>
      <c r="CA985" s="17"/>
      <c r="CB985" s="17"/>
      <c r="CC985" s="17"/>
      <c r="CD985" s="17"/>
      <c r="CE985" s="17"/>
    </row>
    <row r="986" spans="1:83" x14ac:dyDescent="0.25">
      <c r="A986" s="31"/>
      <c r="B986" s="30"/>
      <c r="C986" s="30"/>
      <c r="BW986" s="17"/>
      <c r="BX986" s="17"/>
      <c r="BY986" s="17"/>
      <c r="BZ986" s="17"/>
      <c r="CA986" s="17"/>
      <c r="CB986" s="17"/>
      <c r="CC986" s="17"/>
      <c r="CD986" s="17"/>
      <c r="CE986" s="17"/>
    </row>
    <row r="987" spans="1:83" x14ac:dyDescent="0.25">
      <c r="A987" s="31"/>
      <c r="B987" s="30"/>
      <c r="C987" s="30"/>
      <c r="BW987" s="17"/>
      <c r="BX987" s="17"/>
      <c r="BY987" s="17"/>
      <c r="BZ987" s="17"/>
      <c r="CA987" s="17"/>
      <c r="CB987" s="17"/>
      <c r="CC987" s="17"/>
      <c r="CD987" s="17"/>
      <c r="CE987" s="17"/>
    </row>
    <row r="988" spans="1:83" x14ac:dyDescent="0.25">
      <c r="A988" s="31"/>
      <c r="B988" s="30"/>
      <c r="C988" s="30"/>
      <c r="BW988" s="17"/>
      <c r="BX988" s="17"/>
      <c r="BY988" s="17"/>
      <c r="BZ988" s="17"/>
      <c r="CA988" s="17"/>
      <c r="CB988" s="17"/>
      <c r="CC988" s="17"/>
      <c r="CD988" s="17"/>
      <c r="CE988" s="17"/>
    </row>
    <row r="989" spans="1:83" x14ac:dyDescent="0.25">
      <c r="A989" s="31"/>
      <c r="B989" s="30"/>
      <c r="C989" s="30"/>
      <c r="BW989" s="17"/>
      <c r="BX989" s="17"/>
      <c r="BY989" s="17"/>
      <c r="BZ989" s="17"/>
      <c r="CA989" s="17"/>
      <c r="CB989" s="17"/>
      <c r="CC989" s="17"/>
      <c r="CD989" s="17"/>
      <c r="CE989" s="17"/>
    </row>
    <row r="990" spans="1:83" x14ac:dyDescent="0.25">
      <c r="A990" s="31"/>
      <c r="B990" s="30"/>
      <c r="C990" s="30"/>
      <c r="BW990" s="17"/>
      <c r="BX990" s="17"/>
      <c r="BY990" s="17"/>
      <c r="BZ990" s="17"/>
      <c r="CA990" s="17"/>
      <c r="CB990" s="17"/>
      <c r="CC990" s="17"/>
      <c r="CD990" s="17"/>
      <c r="CE990" s="17"/>
    </row>
    <row r="991" spans="1:83" x14ac:dyDescent="0.25">
      <c r="A991" s="31"/>
      <c r="B991" s="30"/>
      <c r="C991" s="30"/>
      <c r="BW991" s="17"/>
      <c r="BX991" s="17"/>
      <c r="BY991" s="17"/>
      <c r="BZ991" s="17"/>
      <c r="CA991" s="17"/>
      <c r="CB991" s="17"/>
      <c r="CC991" s="17"/>
      <c r="CD991" s="17"/>
      <c r="CE991" s="17"/>
    </row>
    <row r="992" spans="1:83" x14ac:dyDescent="0.25">
      <c r="A992" s="31"/>
      <c r="B992" s="30"/>
      <c r="C992" s="30"/>
      <c r="BW992" s="17"/>
      <c r="BX992" s="17"/>
      <c r="BY992" s="17"/>
      <c r="BZ992" s="17"/>
      <c r="CA992" s="17"/>
      <c r="CB992" s="17"/>
      <c r="CC992" s="17"/>
      <c r="CD992" s="17"/>
      <c r="CE992" s="17"/>
    </row>
    <row r="993" spans="1:83" x14ac:dyDescent="0.25">
      <c r="A993" s="31"/>
      <c r="B993" s="30"/>
      <c r="C993" s="30"/>
      <c r="BW993" s="17"/>
      <c r="BX993" s="17"/>
      <c r="BY993" s="17"/>
      <c r="BZ993" s="17"/>
      <c r="CA993" s="17"/>
      <c r="CB993" s="17"/>
      <c r="CC993" s="17"/>
      <c r="CD993" s="17"/>
      <c r="CE993" s="17"/>
    </row>
    <row r="994" spans="1:83" x14ac:dyDescent="0.25">
      <c r="A994" s="31"/>
      <c r="B994" s="30"/>
      <c r="C994" s="30"/>
      <c r="BW994" s="17"/>
      <c r="BX994" s="17"/>
      <c r="BY994" s="17"/>
      <c r="BZ994" s="17"/>
      <c r="CA994" s="17"/>
      <c r="CB994" s="17"/>
      <c r="CC994" s="17"/>
      <c r="CD994" s="17"/>
      <c r="CE994" s="17"/>
    </row>
    <row r="995" spans="1:83" x14ac:dyDescent="0.25">
      <c r="A995" s="31"/>
      <c r="B995" s="30"/>
      <c r="C995" s="30"/>
      <c r="BW995" s="17"/>
      <c r="BX995" s="17"/>
      <c r="BY995" s="17"/>
      <c r="BZ995" s="17"/>
      <c r="CA995" s="17"/>
      <c r="CB995" s="17"/>
      <c r="CC995" s="17"/>
      <c r="CD995" s="17"/>
      <c r="CE995" s="17"/>
    </row>
    <row r="996" spans="1:83" x14ac:dyDescent="0.25">
      <c r="A996" s="31"/>
      <c r="B996" s="30"/>
      <c r="C996" s="30"/>
      <c r="BW996" s="17"/>
      <c r="BX996" s="17"/>
      <c r="BY996" s="17"/>
      <c r="BZ996" s="17"/>
      <c r="CA996" s="17"/>
      <c r="CB996" s="17"/>
      <c r="CC996" s="17"/>
      <c r="CD996" s="17"/>
      <c r="CE996" s="17"/>
    </row>
    <row r="997" spans="1:83" x14ac:dyDescent="0.25">
      <c r="A997" s="31"/>
      <c r="B997" s="30"/>
      <c r="C997" s="30"/>
      <c r="BW997" s="17"/>
      <c r="BX997" s="17"/>
      <c r="BY997" s="17"/>
      <c r="BZ997" s="17"/>
      <c r="CA997" s="17"/>
      <c r="CB997" s="17"/>
      <c r="CC997" s="17"/>
      <c r="CD997" s="17"/>
      <c r="CE997" s="17"/>
    </row>
    <row r="998" spans="1:83" x14ac:dyDescent="0.25">
      <c r="A998" s="31"/>
      <c r="B998" s="30"/>
      <c r="C998" s="30"/>
      <c r="BW998" s="17"/>
      <c r="BX998" s="17"/>
      <c r="BY998" s="17"/>
      <c r="BZ998" s="17"/>
      <c r="CA998" s="17"/>
      <c r="CB998" s="17"/>
      <c r="CC998" s="17"/>
      <c r="CD998" s="17"/>
      <c r="CE998" s="17"/>
    </row>
    <row r="999" spans="1:83" x14ac:dyDescent="0.25">
      <c r="A999" s="31"/>
      <c r="B999" s="30"/>
      <c r="C999" s="30"/>
      <c r="BW999" s="17"/>
      <c r="BX999" s="17"/>
      <c r="BY999" s="17"/>
      <c r="BZ999" s="17"/>
      <c r="CA999" s="17"/>
      <c r="CB999" s="17"/>
      <c r="CC999" s="17"/>
      <c r="CD999" s="17"/>
      <c r="CE999" s="17"/>
    </row>
    <row r="1000" spans="1:83" x14ac:dyDescent="0.25">
      <c r="A1000" s="31"/>
      <c r="B1000" s="30"/>
      <c r="C1000" s="30"/>
      <c r="BW1000" s="17"/>
      <c r="BX1000" s="17"/>
      <c r="BY1000" s="17"/>
      <c r="BZ1000" s="17"/>
      <c r="CA1000" s="17"/>
      <c r="CB1000" s="17"/>
      <c r="CC1000" s="17"/>
      <c r="CD1000" s="17"/>
      <c r="CE1000" s="17" t="str" cm="1">
        <f t="array" ref="CE1000:CE1086">_xlfn.UNIQUE(TRANSPOSE('TALLY KG DUMP'!D1:IN1))</f>
        <v>REF SUNFLOWER OIL 1 LTR BOX</v>
      </c>
    </row>
    <row r="1001" spans="1:83" x14ac:dyDescent="0.25">
      <c r="A1001" s="31"/>
      <c r="B1001" s="30"/>
      <c r="C1001" s="30"/>
      <c r="BW1001" s="17"/>
      <c r="BX1001" s="17"/>
      <c r="BY1001" s="17"/>
      <c r="BZ1001" s="17"/>
      <c r="CA1001" s="17"/>
      <c r="CB1001" s="17"/>
      <c r="CC1001" s="17"/>
      <c r="CD1001" s="17"/>
      <c r="CE1001" s="17">
        <v>0</v>
      </c>
    </row>
    <row r="1002" spans="1:83" x14ac:dyDescent="0.25">
      <c r="A1002" s="31"/>
      <c r="B1002" s="30"/>
      <c r="C1002" s="30"/>
      <c r="BW1002" s="17"/>
      <c r="BX1002" s="17"/>
      <c r="BY1002" s="17"/>
      <c r="BZ1002" s="17"/>
      <c r="CA1002" s="17"/>
      <c r="CB1002" s="17"/>
      <c r="CC1002" s="17"/>
      <c r="CD1002" s="17"/>
      <c r="CE1002" s="17" t="str">
        <v>REF SUNFLOWER OIL 2 LTR PET BOX</v>
      </c>
    </row>
    <row r="1003" spans="1:83" x14ac:dyDescent="0.25">
      <c r="A1003" s="31"/>
      <c r="B1003" s="30"/>
      <c r="C1003" s="30"/>
      <c r="BW1003" s="17"/>
      <c r="BX1003" s="17"/>
      <c r="BY1003" s="17"/>
      <c r="BZ1003" s="17"/>
      <c r="CA1003" s="17"/>
      <c r="CB1003" s="17"/>
      <c r="CC1003" s="17"/>
      <c r="CD1003" s="17"/>
      <c r="CE1003" s="17" t="str">
        <v>REF SUNFLOWER OIL 5 LTR CAN BOX</v>
      </c>
    </row>
    <row r="1004" spans="1:83" x14ac:dyDescent="0.25">
      <c r="A1004" s="31"/>
      <c r="B1004" s="30"/>
      <c r="C1004" s="30"/>
      <c r="BW1004" s="17"/>
      <c r="BX1004" s="17"/>
      <c r="BY1004" s="17"/>
      <c r="BZ1004" s="17"/>
      <c r="CA1004" s="17"/>
      <c r="CB1004" s="17"/>
      <c r="CC1004" s="17"/>
      <c r="CD1004" s="17"/>
      <c r="CE1004" s="17" t="str">
        <v>GROUNDNUT RAW OIL 1 LTR BOX (GULAS OFFER)</v>
      </c>
    </row>
    <row r="1005" spans="1:83" x14ac:dyDescent="0.25">
      <c r="A1005" s="31"/>
      <c r="B1005" s="30"/>
      <c r="C1005" s="30"/>
      <c r="BW1005" s="17"/>
      <c r="BX1005" s="17"/>
      <c r="BY1005" s="17"/>
      <c r="BZ1005" s="17"/>
      <c r="CA1005" s="17"/>
      <c r="CB1005" s="17"/>
      <c r="CC1005" s="17"/>
      <c r="CD1005" s="17"/>
      <c r="CE1005" s="17" t="str">
        <v>NAKSHATRA POOJA OIL 1/2 LTR PET BOX (AGARBATHI)</v>
      </c>
    </row>
    <row r="1006" spans="1:83" x14ac:dyDescent="0.25">
      <c r="A1006" s="31"/>
      <c r="B1006" s="30"/>
      <c r="C1006" s="30"/>
      <c r="BW1006" s="17"/>
      <c r="BX1006" s="17"/>
      <c r="BY1006" s="17"/>
      <c r="BZ1006" s="17"/>
      <c r="CA1006" s="17"/>
      <c r="CB1006" s="17"/>
      <c r="CC1006" s="17"/>
      <c r="CD1006" s="17"/>
      <c r="CE1006" s="17" t="str">
        <v>NAKSHATRA POOJA OIL 1 LTR PET BOX (AGARBATHI)</v>
      </c>
    </row>
    <row r="1007" spans="1:83" x14ac:dyDescent="0.25">
      <c r="A1007" s="31"/>
      <c r="B1007" s="30"/>
      <c r="C1007" s="30"/>
      <c r="BW1007" s="17"/>
      <c r="BX1007" s="17"/>
      <c r="BY1007" s="17"/>
      <c r="BZ1007" s="17"/>
      <c r="CA1007" s="17"/>
      <c r="CB1007" s="17"/>
      <c r="CC1007" s="17"/>
      <c r="CD1007" s="17"/>
      <c r="CE1007" s="17" t="str">
        <v>GROUNDNUT RAW OIL 1 LTR PET BOX (GULAS OFFER)</v>
      </c>
    </row>
    <row r="1008" spans="1:83" x14ac:dyDescent="0.25">
      <c r="A1008" s="31"/>
      <c r="B1008" s="30"/>
      <c r="C1008" s="30"/>
      <c r="BW1008" s="17"/>
      <c r="BX1008" s="17"/>
      <c r="BY1008" s="17"/>
      <c r="BZ1008" s="17"/>
      <c r="CA1008" s="17"/>
      <c r="CB1008" s="17"/>
      <c r="CC1008" s="17"/>
      <c r="CD1008" s="17"/>
      <c r="CE1008" s="17" t="str">
        <v>GROUNDNUT RAW OIL 5 LTR CAN BOX</v>
      </c>
    </row>
    <row r="1009" spans="1:83" x14ac:dyDescent="0.25">
      <c r="A1009" s="31"/>
      <c r="B1009" s="30"/>
      <c r="C1009" s="30"/>
      <c r="BW1009" s="17"/>
      <c r="BX1009" s="17"/>
      <c r="BY1009" s="17"/>
      <c r="BZ1009" s="17"/>
      <c r="CA1009" s="17"/>
      <c r="CB1009" s="17"/>
      <c r="CC1009" s="17"/>
      <c r="CD1009" s="17"/>
      <c r="CE1009" s="17" t="str">
        <v>REF RICE BRAN OIL 1 LTR BOX</v>
      </c>
    </row>
    <row r="1010" spans="1:83" x14ac:dyDescent="0.25">
      <c r="A1010" s="31"/>
      <c r="B1010" s="30"/>
      <c r="C1010" s="30"/>
      <c r="BW1010" s="17"/>
      <c r="BX1010" s="17"/>
      <c r="BY1010" s="17"/>
      <c r="BZ1010" s="17"/>
      <c r="CA1010" s="17"/>
      <c r="CB1010" s="17"/>
      <c r="CC1010" s="17"/>
      <c r="CD1010" s="17"/>
      <c r="CE1010" s="17" t="str">
        <v>NAKSHATRA AGARBATTI Rs 12 PACK BOX (3in1)</v>
      </c>
    </row>
    <row r="1011" spans="1:83" x14ac:dyDescent="0.25">
      <c r="A1011" s="31"/>
      <c r="B1011" s="30"/>
      <c r="C1011" s="30"/>
      <c r="BW1011" s="17"/>
      <c r="BX1011" s="17"/>
      <c r="BY1011" s="17"/>
      <c r="BZ1011" s="17"/>
      <c r="CA1011" s="17"/>
      <c r="CB1011" s="17"/>
      <c r="CC1011" s="17"/>
      <c r="CD1011" s="17"/>
      <c r="CE1011" s="17" t="str">
        <v>GROUNDNUT RAW OIL RS.10PACK BOX (08.01.25)</v>
      </c>
    </row>
    <row r="1012" spans="1:83" x14ac:dyDescent="0.25">
      <c r="A1012" s="31"/>
      <c r="B1012" s="30"/>
      <c r="C1012" s="30"/>
      <c r="BW1012" s="17"/>
      <c r="BX1012" s="17"/>
      <c r="BY1012" s="17"/>
      <c r="BZ1012" s="17"/>
      <c r="CA1012" s="17"/>
      <c r="CB1012" s="17"/>
      <c r="CC1012" s="17"/>
      <c r="CD1012" s="17"/>
      <c r="CE1012" s="17" t="str">
        <v>GROUNDNUT RAW OIL RS.20 PACK BOX (08.01.25)</v>
      </c>
    </row>
    <row r="1013" spans="1:83" x14ac:dyDescent="0.25">
      <c r="A1013" s="31"/>
      <c r="B1013" s="30"/>
      <c r="C1013" s="30"/>
      <c r="BW1013" s="17"/>
      <c r="BX1013" s="17"/>
      <c r="BY1013" s="17"/>
      <c r="BZ1013" s="17"/>
      <c r="CA1013" s="17"/>
      <c r="CB1013" s="17"/>
      <c r="CC1013" s="17"/>
      <c r="CD1013" s="17"/>
      <c r="CE1013" s="17" t="str">
        <v>DAILY DOUBLE ROASTED RAVA 500g POUCH - 30Kg BAG</v>
      </c>
    </row>
    <row r="1014" spans="1:83" x14ac:dyDescent="0.25">
      <c r="A1014" s="31"/>
      <c r="B1014" s="30"/>
      <c r="C1014" s="30"/>
      <c r="BW1014" s="17"/>
      <c r="BX1014" s="17"/>
      <c r="BY1014" s="17"/>
      <c r="BZ1014" s="17"/>
      <c r="CA1014" s="17"/>
      <c r="CB1014" s="17"/>
      <c r="CC1014" s="17"/>
      <c r="CD1014" s="17"/>
      <c r="CE1014" s="17" t="str">
        <v>DAILY VERMICELLI (SEMIYA) 180gm PKT-3.6 Kg BAG</v>
      </c>
    </row>
    <row r="1015" spans="1:83" x14ac:dyDescent="0.25">
      <c r="A1015" s="31"/>
      <c r="B1015" s="30"/>
      <c r="C1015" s="30"/>
      <c r="BW1015" s="17"/>
      <c r="BX1015" s="17"/>
      <c r="BY1015" s="17"/>
      <c r="BZ1015" s="17"/>
      <c r="CA1015" s="17"/>
      <c r="CB1015" s="17"/>
      <c r="CC1015" s="17"/>
      <c r="CD1015" s="17"/>
      <c r="CE1015" s="17" t="str">
        <v>DAILY SAMBA  RAVA 500g POUCH - 10Kg BAG</v>
      </c>
    </row>
    <row r="1016" spans="1:83" x14ac:dyDescent="0.25">
      <c r="A1016" s="31"/>
      <c r="B1016" s="30"/>
      <c r="C1016" s="30"/>
      <c r="BW1016" s="17"/>
      <c r="BX1016" s="17"/>
      <c r="BY1016" s="17"/>
      <c r="BZ1016" s="17"/>
      <c r="CA1016" s="17"/>
      <c r="CB1016" s="17"/>
      <c r="CC1016" s="17"/>
      <c r="CD1016" s="17"/>
      <c r="CE1016" s="17" t="str">
        <v>DAILY BADAM DRINK MIX 200gm POUCH BOX</v>
      </c>
    </row>
    <row r="1017" spans="1:83" x14ac:dyDescent="0.25">
      <c r="A1017" s="31"/>
      <c r="B1017" s="30"/>
      <c r="C1017" s="30"/>
      <c r="BW1017" s="17"/>
      <c r="BX1017" s="17"/>
      <c r="BY1017" s="17"/>
      <c r="BZ1017" s="17"/>
      <c r="CA1017" s="17"/>
      <c r="CB1017" s="17"/>
      <c r="CC1017" s="17"/>
      <c r="CD1017" s="17"/>
      <c r="CE1017" s="17" t="str">
        <v>DAILY BADAM MIX Rs 10 POUCH BOX</v>
      </c>
    </row>
    <row r="1018" spans="1:83" x14ac:dyDescent="0.25">
      <c r="A1018" s="31"/>
      <c r="B1018" s="30"/>
      <c r="C1018" s="30"/>
      <c r="BW1018" s="17"/>
      <c r="BX1018" s="17"/>
      <c r="BY1018" s="17"/>
      <c r="BZ1018" s="17"/>
      <c r="CA1018" s="17"/>
      <c r="CB1018" s="17"/>
      <c r="CC1018" s="17"/>
      <c r="CD1018" s="17"/>
      <c r="CE1018" s="17" t="str">
        <v>NAKSHATRA AGARBATTI Rs 55 PACK BOX (PINEAPPLE)</v>
      </c>
    </row>
    <row r="1019" spans="1:83" x14ac:dyDescent="0.25">
      <c r="A1019" s="31"/>
      <c r="B1019" s="30"/>
      <c r="C1019" s="30"/>
      <c r="BW1019" s="17"/>
      <c r="BX1019" s="17"/>
      <c r="BY1019" s="17"/>
      <c r="BZ1019" s="17"/>
      <c r="CA1019" s="17"/>
      <c r="CB1019" s="17"/>
      <c r="CC1019" s="17"/>
      <c r="CD1019" s="17"/>
      <c r="CE1019" s="17" t="str">
        <v>NAKSHATRA AGARBATTI Rs 55 PACK BOX (VANNILA)</v>
      </c>
    </row>
    <row r="1020" spans="1:83" x14ac:dyDescent="0.25">
      <c r="A1020" s="31"/>
      <c r="B1020" s="30"/>
      <c r="C1020" s="30"/>
      <c r="BW1020" s="17"/>
      <c r="BX1020" s="17"/>
      <c r="BY1020" s="17"/>
      <c r="BZ1020" s="17"/>
      <c r="CA1020" s="17"/>
      <c r="CB1020" s="17"/>
      <c r="CC1020" s="17"/>
      <c r="CD1020" s="17"/>
      <c r="CE1020" s="17" t="str">
        <v>NAKSHATRA AGARBATTI Rs 55 PACK BOX (3 in 1)</v>
      </c>
    </row>
    <row r="1021" spans="1:83" x14ac:dyDescent="0.25">
      <c r="A1021" s="31"/>
      <c r="B1021" s="30"/>
      <c r="C1021" s="30"/>
      <c r="BW1021" s="17"/>
      <c r="BX1021" s="17"/>
      <c r="BY1021" s="17"/>
      <c r="BZ1021" s="17"/>
      <c r="CA1021" s="17"/>
      <c r="CB1021" s="17"/>
      <c r="CC1021" s="17"/>
      <c r="CD1021" s="17"/>
      <c r="CE1021" s="17" t="str">
        <v>NAKSHATRA AGARBATTI Rs 55 PACK BOX (RED ROSE)</v>
      </c>
    </row>
    <row r="1022" spans="1:83" x14ac:dyDescent="0.25">
      <c r="A1022" s="31"/>
      <c r="B1022" s="30"/>
      <c r="C1022" s="30"/>
      <c r="BW1022" s="17"/>
      <c r="BX1022" s="17"/>
      <c r="BY1022" s="17"/>
      <c r="BZ1022" s="17"/>
      <c r="CA1022" s="17"/>
      <c r="CB1022" s="17"/>
      <c r="CC1022" s="17"/>
      <c r="CD1022" s="17"/>
      <c r="CE1022" s="17" t="str">
        <v>NAKSHATRA AGARBATTI Rs 12 PACK BOX (VANNILA)</v>
      </c>
    </row>
    <row r="1023" spans="1:83" x14ac:dyDescent="0.25">
      <c r="A1023" s="31"/>
      <c r="B1023" s="30"/>
      <c r="C1023" s="30"/>
      <c r="BW1023" s="17"/>
      <c r="BX1023" s="17"/>
      <c r="BY1023" s="17"/>
      <c r="BZ1023" s="17"/>
      <c r="CA1023" s="17"/>
      <c r="CB1023" s="17"/>
      <c r="CC1023" s="17"/>
      <c r="CD1023" s="17"/>
      <c r="CE1023" s="17" t="str">
        <v>NAKSHATRA AGARBATTI Rs 12 PACK BOX (Pineapple)</v>
      </c>
    </row>
    <row r="1024" spans="1:83" x14ac:dyDescent="0.25">
      <c r="A1024" s="31"/>
      <c r="B1024" s="30"/>
      <c r="C1024" s="30"/>
      <c r="BW1024" s="17"/>
      <c r="BX1024" s="17"/>
      <c r="BY1024" s="17"/>
      <c r="BZ1024" s="17"/>
      <c r="CA1024" s="17"/>
      <c r="CB1024" s="17"/>
      <c r="CC1024" s="17"/>
      <c r="CD1024" s="17"/>
      <c r="CE1024" s="17" t="str">
        <v>NAKSHATRA AGARBATTI Rs 12 PACK BOX (Red Rose)</v>
      </c>
    </row>
    <row r="1025" spans="1:83" x14ac:dyDescent="0.25">
      <c r="A1025" s="31"/>
      <c r="B1025" s="30"/>
      <c r="C1025" s="30"/>
      <c r="BW1025" s="17"/>
      <c r="BX1025" s="17"/>
      <c r="BY1025" s="17"/>
      <c r="BZ1025" s="17"/>
      <c r="CA1025" s="17"/>
      <c r="CB1025" s="17"/>
      <c r="CC1025" s="17"/>
      <c r="CD1025" s="17"/>
      <c r="CE1025" s="17" t="str">
        <v>NAKSHATRA AGARBATTI Rs 12 PACK BOX (Floral Sandal)</v>
      </c>
    </row>
    <row r="1026" spans="1:83" x14ac:dyDescent="0.25">
      <c r="A1026" s="31"/>
      <c r="B1026" s="30"/>
      <c r="C1026" s="30"/>
      <c r="BW1026" s="17"/>
      <c r="BX1026" s="17"/>
      <c r="BY1026" s="17"/>
      <c r="BZ1026" s="17"/>
      <c r="CA1026" s="17"/>
      <c r="CB1026" s="17"/>
      <c r="CC1026" s="17"/>
      <c r="CD1026" s="17"/>
      <c r="CE1026" s="17" t="str">
        <v>NAKSHATRA AGARBATTI Rs 55 PACK BOX (Floral Sandal)</v>
      </c>
    </row>
    <row r="1027" spans="1:83" x14ac:dyDescent="0.25">
      <c r="A1027" s="31"/>
      <c r="B1027" s="30"/>
      <c r="C1027" s="30"/>
      <c r="BW1027" s="17"/>
      <c r="BX1027" s="17"/>
      <c r="BY1027" s="17"/>
      <c r="BZ1027" s="17"/>
      <c r="CA1027" s="17"/>
      <c r="CB1027" s="17"/>
      <c r="CC1027" s="17"/>
      <c r="CD1027" s="17"/>
      <c r="CE1027" s="17" t="str">
        <v>GINGELLY OIL 1/2LTR PET BOX</v>
      </c>
    </row>
    <row r="1028" spans="1:83" x14ac:dyDescent="0.25">
      <c r="A1028" s="31"/>
      <c r="B1028" s="30"/>
      <c r="C1028" s="30"/>
      <c r="BW1028" s="17"/>
      <c r="BX1028" s="17"/>
      <c r="BY1028" s="17"/>
      <c r="BZ1028" s="17"/>
      <c r="CA1028" s="17"/>
      <c r="CB1028" s="17"/>
      <c r="CC1028" s="17"/>
      <c r="CD1028" s="17"/>
      <c r="CE1028" s="17" t="str">
        <v>GINGELLY OIL 1 LTR PET BOX</v>
      </c>
    </row>
    <row r="1029" spans="1:83" x14ac:dyDescent="0.25">
      <c r="A1029" s="31"/>
      <c r="B1029" s="30"/>
      <c r="C1029" s="30"/>
      <c r="BW1029" s="17"/>
      <c r="BX1029" s="17"/>
      <c r="BY1029" s="17"/>
      <c r="BZ1029" s="17"/>
      <c r="CA1029" s="17"/>
      <c r="CB1029" s="17"/>
      <c r="CC1029" s="17"/>
      <c r="CD1029" s="17"/>
      <c r="CE1029" s="17" t="str">
        <v>SUNRAJA GULAS (JAGGERY POWDER) 1 KG POUCH BOX</v>
      </c>
    </row>
    <row r="1030" spans="1:83" x14ac:dyDescent="0.25">
      <c r="A1030" s="31"/>
      <c r="B1030" s="30"/>
      <c r="C1030" s="30"/>
      <c r="BW1030" s="17"/>
      <c r="BX1030" s="17"/>
      <c r="BY1030" s="17"/>
      <c r="BZ1030" s="17"/>
      <c r="CA1030" s="17"/>
      <c r="CB1030" s="17"/>
      <c r="CC1030" s="17"/>
      <c r="CD1030" s="17"/>
      <c r="CE1030" s="17" t="str">
        <v>REF SUNFLOWER OIL RS.10 PACK BOX (OLD 08.01.25)</v>
      </c>
    </row>
    <row r="1031" spans="1:83" x14ac:dyDescent="0.25">
      <c r="A1031" s="31"/>
      <c r="B1031" s="30"/>
      <c r="C1031" s="30"/>
      <c r="BW1031" s="17"/>
      <c r="BX1031" s="17"/>
      <c r="BY1031" s="17"/>
      <c r="BZ1031" s="17"/>
      <c r="CA1031" s="17"/>
      <c r="CB1031" s="17"/>
      <c r="CC1031" s="17"/>
      <c r="CD1031" s="17"/>
      <c r="CE1031" s="17" t="str">
        <v>REF SUNFLOWER OIL 1/2LTR BOX</v>
      </c>
    </row>
    <row r="1032" spans="1:83" x14ac:dyDescent="0.25">
      <c r="A1032" s="31"/>
      <c r="B1032" s="30"/>
      <c r="C1032" s="30"/>
      <c r="BW1032" s="17"/>
      <c r="BX1032" s="17"/>
      <c r="BY1032" s="17"/>
      <c r="BZ1032" s="17"/>
      <c r="CA1032" s="17"/>
      <c r="CB1032" s="17"/>
      <c r="CC1032" s="17"/>
      <c r="CD1032" s="17"/>
      <c r="CE1032" s="17" t="str">
        <v>REF SUNFLOWER OIL 1 LTR  PET BOX</v>
      </c>
    </row>
    <row r="1033" spans="1:83" x14ac:dyDescent="0.25">
      <c r="A1033" s="31"/>
      <c r="B1033" s="30"/>
      <c r="C1033" s="30"/>
      <c r="BW1033" s="17"/>
      <c r="BX1033" s="17"/>
      <c r="BY1033" s="17"/>
      <c r="BZ1033" s="17"/>
      <c r="CA1033" s="17"/>
      <c r="CB1033" s="17"/>
      <c r="CC1033" s="17"/>
      <c r="CD1033" s="17"/>
      <c r="CE1033" s="17" t="str">
        <v>REF SUNFLOWER OIL RS.10 PACK BOX (NEW 08.01.25)</v>
      </c>
    </row>
    <row r="1034" spans="1:83" x14ac:dyDescent="0.25">
      <c r="A1034" s="31"/>
      <c r="B1034" s="30"/>
      <c r="C1034" s="30"/>
      <c r="BW1034" s="17"/>
      <c r="BX1034" s="17"/>
      <c r="BY1034" s="17"/>
      <c r="BZ1034" s="17"/>
      <c r="CA1034" s="17"/>
      <c r="CB1034" s="17"/>
      <c r="CC1034" s="17"/>
      <c r="CD1034" s="17"/>
      <c r="CE1034" s="17" t="str">
        <v>REF SUNFLOWER OIL RS.20 PACK BOX (NEW 08.01.25)</v>
      </c>
    </row>
    <row r="1035" spans="1:83" x14ac:dyDescent="0.25">
      <c r="A1035" s="31"/>
      <c r="B1035" s="30"/>
      <c r="C1035" s="30"/>
      <c r="BW1035" s="17"/>
      <c r="BX1035" s="17"/>
      <c r="BY1035" s="17"/>
      <c r="BZ1035" s="17"/>
      <c r="CA1035" s="17"/>
      <c r="CB1035" s="17"/>
      <c r="CC1035" s="17"/>
      <c r="CD1035" s="17"/>
      <c r="CE1035" s="17" t="str">
        <v>GROUNDNUT RAW OIL 1 LTR BOX</v>
      </c>
    </row>
    <row r="1036" spans="1:83" x14ac:dyDescent="0.25">
      <c r="A1036" s="31"/>
      <c r="B1036" s="30"/>
      <c r="C1036" s="30"/>
      <c r="BW1036" s="17"/>
      <c r="BX1036" s="17"/>
      <c r="BY1036" s="17"/>
      <c r="BZ1036" s="17"/>
      <c r="CA1036" s="17"/>
      <c r="CB1036" s="17"/>
      <c r="CC1036" s="17"/>
      <c r="CD1036" s="17"/>
      <c r="CE1036" s="17" t="str">
        <v>KACHI GANI MUSTARD OIL 1/2 LTR PET BOX</v>
      </c>
    </row>
    <row r="1037" spans="1:83" x14ac:dyDescent="0.25">
      <c r="A1037" s="31"/>
      <c r="B1037" s="30"/>
      <c r="C1037" s="30"/>
      <c r="BW1037" s="17"/>
      <c r="BX1037" s="17"/>
      <c r="BY1037" s="17"/>
      <c r="BZ1037" s="17"/>
      <c r="CA1037" s="17"/>
      <c r="CB1037" s="17"/>
      <c r="CC1037" s="17"/>
      <c r="CD1037" s="17"/>
      <c r="CE1037" s="17" t="str">
        <v>KACHI GANI MUSTARD OIL 1 LTR PET BOX</v>
      </c>
    </row>
    <row r="1038" spans="1:83" x14ac:dyDescent="0.25">
      <c r="A1038" s="31"/>
      <c r="B1038" s="30"/>
      <c r="C1038" s="30"/>
      <c r="BW1038" s="17"/>
      <c r="BX1038" s="17"/>
      <c r="BY1038" s="17"/>
      <c r="BZ1038" s="17"/>
      <c r="CA1038" s="17"/>
      <c r="CB1038" s="17"/>
      <c r="CC1038" s="17"/>
      <c r="CD1038" s="17"/>
      <c r="CE1038" s="17" t="str">
        <v>KACHI GANI MUSTARD OIL 200ML PET BOX</v>
      </c>
    </row>
    <row r="1039" spans="1:83" x14ac:dyDescent="0.25">
      <c r="A1039" s="31"/>
      <c r="B1039" s="30"/>
      <c r="C1039" s="30"/>
      <c r="BW1039" s="17"/>
      <c r="BX1039" s="17"/>
      <c r="BY1039" s="17"/>
      <c r="BZ1039" s="17"/>
      <c r="CA1039" s="17"/>
      <c r="CB1039" s="17"/>
      <c r="CC1039" s="17"/>
      <c r="CD1039" s="17"/>
      <c r="CE1039" s="17" t="str">
        <v>GROUNDNUT RAW OIL 1/2 LTR BOX (GULAS OFFER)</v>
      </c>
    </row>
    <row r="1040" spans="1:83" x14ac:dyDescent="0.25">
      <c r="A1040" s="31"/>
      <c r="B1040" s="30"/>
      <c r="C1040" s="30"/>
      <c r="BW1040" s="17"/>
      <c r="BX1040" s="17"/>
      <c r="BY1040" s="17"/>
      <c r="BZ1040" s="17"/>
      <c r="CA1040" s="17"/>
      <c r="CB1040" s="17"/>
      <c r="CC1040" s="17"/>
      <c r="CD1040" s="17"/>
      <c r="CE1040" s="17" t="str">
        <v>GROUNDNUT RAW OIL 1/2 LTR PET BOX (GULAS OFFER)</v>
      </c>
    </row>
    <row r="1041" spans="1:83" x14ac:dyDescent="0.25">
      <c r="A1041" s="31"/>
      <c r="B1041" s="30"/>
      <c r="C1041" s="30"/>
      <c r="BW1041" s="17"/>
      <c r="BX1041" s="17"/>
      <c r="BY1041" s="17"/>
      <c r="BZ1041" s="17"/>
      <c r="CA1041" s="17"/>
      <c r="CB1041" s="17"/>
      <c r="CC1041" s="17"/>
      <c r="CD1041" s="17"/>
      <c r="CE1041" s="17" t="str">
        <v>SUNRAJA GULAS (JAGGERY POWDER) 500g POUCH BOX</v>
      </c>
    </row>
    <row r="1042" spans="1:83" x14ac:dyDescent="0.25">
      <c r="A1042" s="31"/>
      <c r="B1042" s="30"/>
      <c r="C1042" s="30"/>
      <c r="BW1042" s="17"/>
      <c r="BX1042" s="17"/>
      <c r="BY1042" s="17"/>
      <c r="BZ1042" s="17"/>
      <c r="CA1042" s="17"/>
      <c r="CB1042" s="17"/>
      <c r="CC1042" s="17"/>
      <c r="CD1042" s="17"/>
      <c r="CE1042" s="17" t="str">
        <v>GINGELLY OIL 1 LTR BOX</v>
      </c>
    </row>
    <row r="1043" spans="1:83" x14ac:dyDescent="0.25">
      <c r="A1043" s="31"/>
      <c r="B1043" s="30"/>
      <c r="C1043" s="30"/>
      <c r="BW1043" s="17"/>
      <c r="BX1043" s="17"/>
      <c r="BY1043" s="17"/>
      <c r="BZ1043" s="17"/>
      <c r="CA1043" s="17"/>
      <c r="CB1043" s="17"/>
      <c r="CC1043" s="17"/>
      <c r="CD1043" s="17"/>
      <c r="CE1043" s="17" t="str">
        <v>COCONUT OIL 1 LTR BOX</v>
      </c>
    </row>
    <row r="1044" spans="1:83" x14ac:dyDescent="0.25">
      <c r="A1044" s="31"/>
      <c r="B1044" s="30"/>
      <c r="C1044" s="30"/>
      <c r="BW1044" s="17"/>
      <c r="BX1044" s="17"/>
      <c r="BY1044" s="17"/>
      <c r="BZ1044" s="17"/>
      <c r="CA1044" s="17"/>
      <c r="CB1044" s="17"/>
      <c r="CC1044" s="17"/>
      <c r="CD1044" s="17"/>
      <c r="CE1044" s="17" t="str">
        <v>GINGELLY OIL 1/2 LTR BOX</v>
      </c>
    </row>
    <row r="1045" spans="1:83" x14ac:dyDescent="0.25">
      <c r="A1045" s="31"/>
      <c r="B1045" s="30"/>
      <c r="C1045" s="30"/>
      <c r="BW1045" s="17"/>
      <c r="BX1045" s="17"/>
      <c r="BY1045" s="17"/>
      <c r="BZ1045" s="17"/>
      <c r="CA1045" s="17"/>
      <c r="CB1045" s="17"/>
      <c r="CC1045" s="17"/>
      <c r="CD1045" s="17"/>
      <c r="CE1045" s="17" t="str">
        <v>NAKSHATRA POOJA OIL  Rs.10 PACK BOX (08.01.25)</v>
      </c>
    </row>
    <row r="1046" spans="1:83" x14ac:dyDescent="0.25">
      <c r="A1046" s="31"/>
      <c r="B1046" s="30"/>
      <c r="C1046" s="30"/>
      <c r="BW1046" s="17"/>
      <c r="BX1046" s="17"/>
      <c r="BY1046" s="17"/>
      <c r="BZ1046" s="17"/>
      <c r="CA1046" s="17"/>
      <c r="CB1046" s="17"/>
      <c r="CC1046" s="17"/>
      <c r="CD1046" s="17"/>
      <c r="CE1046" s="17" t="str">
        <v>NAKSHATRA POOJA OIL 1/2 LTR PET BOX (MURUGAN)</v>
      </c>
    </row>
    <row r="1047" spans="1:83" x14ac:dyDescent="0.25">
      <c r="A1047" s="31"/>
      <c r="B1047" s="30"/>
      <c r="C1047" s="30"/>
      <c r="BW1047" s="17"/>
      <c r="BX1047" s="17"/>
      <c r="BY1047" s="17"/>
      <c r="BZ1047" s="17"/>
      <c r="CA1047" s="17"/>
      <c r="CB1047" s="17"/>
      <c r="CC1047" s="17"/>
      <c r="CD1047" s="17"/>
      <c r="CE1047" s="17" t="str">
        <v>NAKSHATRA POOJA OIL 1/2 LTR PET BOX (AMMAN)</v>
      </c>
    </row>
    <row r="1048" spans="1:83" x14ac:dyDescent="0.25">
      <c r="A1048" s="31"/>
      <c r="B1048" s="30"/>
      <c r="C1048" s="30"/>
      <c r="BW1048" s="17"/>
      <c r="BX1048" s="17"/>
      <c r="BY1048" s="17"/>
      <c r="BZ1048" s="17"/>
      <c r="CA1048" s="17"/>
      <c r="CB1048" s="17"/>
      <c r="CC1048" s="17"/>
      <c r="CD1048" s="17"/>
      <c r="CE1048" s="17" t="str">
        <v>NAKSHATRA POOJA OIL 200 ML PET BOX (AGARBATHI)</v>
      </c>
    </row>
    <row r="1049" spans="1:83" x14ac:dyDescent="0.25">
      <c r="A1049" s="31"/>
      <c r="B1049" s="30"/>
      <c r="C1049" s="30"/>
      <c r="BW1049" s="17"/>
      <c r="BX1049" s="17"/>
      <c r="BY1049" s="17"/>
      <c r="BZ1049" s="17"/>
      <c r="CA1049" s="17"/>
      <c r="CB1049" s="17"/>
      <c r="CC1049" s="17"/>
      <c r="CD1049" s="17"/>
      <c r="CE1049" s="17" t="str">
        <v>NAKSHATRA POOJA OIL 1 LTR PET BOX</v>
      </c>
    </row>
    <row r="1050" spans="1:83" x14ac:dyDescent="0.25">
      <c r="A1050" s="31"/>
      <c r="B1050" s="30"/>
      <c r="C1050" s="30"/>
      <c r="BW1050" s="17"/>
      <c r="BX1050" s="17"/>
      <c r="BY1050" s="17"/>
      <c r="BZ1050" s="17"/>
      <c r="CA1050" s="17"/>
      <c r="CB1050" s="17"/>
      <c r="CC1050" s="17"/>
      <c r="CD1050" s="17"/>
      <c r="CE1050" s="17" t="str">
        <v>COCONUT OIL 1/2 LTR BOX</v>
      </c>
    </row>
    <row r="1051" spans="1:83" x14ac:dyDescent="0.25">
      <c r="A1051" s="31"/>
      <c r="B1051" s="30"/>
      <c r="C1051" s="30"/>
      <c r="BW1051" s="17"/>
      <c r="BX1051" s="17"/>
      <c r="BY1051" s="17"/>
      <c r="BZ1051" s="17"/>
      <c r="CA1051" s="17"/>
      <c r="CB1051" s="17"/>
      <c r="CC1051" s="17"/>
      <c r="CD1051" s="17"/>
      <c r="CE1051" s="17" t="str">
        <v>DAILY DOUBLE ROASTED RAVA 200g POUCH - 10Kg BAG</v>
      </c>
    </row>
    <row r="1052" spans="1:83" x14ac:dyDescent="0.25">
      <c r="A1052" s="31"/>
      <c r="B1052" s="30"/>
      <c r="C1052" s="30"/>
      <c r="BW1052" s="17"/>
      <c r="BX1052" s="17"/>
      <c r="BY1052" s="17"/>
      <c r="BZ1052" s="17"/>
      <c r="CA1052" s="17"/>
      <c r="CB1052" s="17"/>
      <c r="CC1052" s="17"/>
      <c r="CD1052" s="17"/>
      <c r="CE1052" s="17" t="str">
        <v>Mr.CASTOR OIL 100ml PET BOX</v>
      </c>
    </row>
    <row r="1053" spans="1:83" x14ac:dyDescent="0.25">
      <c r="A1053" s="31"/>
      <c r="B1053" s="30"/>
      <c r="C1053" s="30"/>
      <c r="BW1053" s="17"/>
      <c r="BX1053" s="17"/>
      <c r="BY1053" s="17"/>
      <c r="BZ1053" s="17"/>
      <c r="CA1053" s="17"/>
      <c r="CB1053" s="17"/>
      <c r="CC1053" s="17"/>
      <c r="CD1053" s="17"/>
      <c r="CE1053" s="17" t="str">
        <v>SUNRAJA GULAS (JAGGERY POWDER) Rs 5 /- PACK</v>
      </c>
    </row>
    <row r="1054" spans="1:83" x14ac:dyDescent="0.25">
      <c r="A1054" s="31"/>
      <c r="B1054" s="30"/>
      <c r="C1054" s="30"/>
      <c r="BW1054" s="17"/>
      <c r="BX1054" s="17"/>
      <c r="BY1054" s="17"/>
      <c r="BZ1054" s="17"/>
      <c r="CA1054" s="17"/>
      <c r="CB1054" s="17"/>
      <c r="CC1054" s="17"/>
      <c r="CD1054" s="17"/>
      <c r="CE1054" s="17" t="str">
        <v>SUNRAJA GULAS PALM JAGGERY POWDER 170g JAR BOX</v>
      </c>
    </row>
    <row r="1055" spans="1:83" x14ac:dyDescent="0.25">
      <c r="A1055" s="31"/>
      <c r="B1055" s="30"/>
      <c r="C1055" s="30"/>
      <c r="BW1055" s="17"/>
      <c r="BX1055" s="17"/>
      <c r="BY1055" s="17"/>
      <c r="BZ1055" s="17"/>
      <c r="CA1055" s="17"/>
      <c r="CB1055" s="17"/>
      <c r="CC1055" s="17"/>
      <c r="CD1055" s="17"/>
      <c r="CE1055" s="17" t="str">
        <v>REF SUNFLOWER OIL 3 LTR COMBO PACK (12 LTR)</v>
      </c>
    </row>
    <row r="1056" spans="1:83" x14ac:dyDescent="0.25">
      <c r="A1056" s="31"/>
      <c r="B1056" s="30"/>
      <c r="C1056" s="30"/>
      <c r="BW1056" s="17"/>
      <c r="BX1056" s="17"/>
      <c r="BY1056" s="17"/>
      <c r="BZ1056" s="17"/>
      <c r="CA1056" s="17"/>
      <c r="CB1056" s="17"/>
      <c r="CC1056" s="17"/>
      <c r="CD1056" s="17"/>
      <c r="CE1056" s="17" t="str">
        <v>REF SUNFLOWER OIL RS.20 PACK BOX (OLD 08.01.25)</v>
      </c>
    </row>
    <row r="1057" spans="1:83" x14ac:dyDescent="0.25">
      <c r="A1057" s="31"/>
      <c r="B1057" s="30"/>
      <c r="C1057" s="30"/>
      <c r="BW1057" s="17"/>
      <c r="BX1057" s="17"/>
      <c r="BY1057" s="17"/>
      <c r="BZ1057" s="17"/>
      <c r="CA1057" s="17"/>
      <c r="CB1057" s="17"/>
      <c r="CC1057" s="17"/>
      <c r="CD1057" s="17"/>
      <c r="CE1057" s="17" t="str">
        <v>NAKSHATRA POOJA OIL  Rs.20 PACK BOX (08.01.25)</v>
      </c>
    </row>
    <row r="1058" spans="1:83" x14ac:dyDescent="0.25">
      <c r="A1058" s="31"/>
      <c r="B1058" s="30"/>
      <c r="C1058" s="30"/>
      <c r="BW1058" s="17"/>
      <c r="BX1058" s="17"/>
      <c r="BY1058" s="17"/>
      <c r="BZ1058" s="17"/>
      <c r="CA1058" s="17"/>
      <c r="CB1058" s="17"/>
      <c r="CC1058" s="17"/>
      <c r="CD1058" s="17"/>
      <c r="CE1058" s="17" t="str">
        <v>REF SUNFLOWER OIL 5 LTR COMBO PACK (20 LTR)</v>
      </c>
    </row>
    <row r="1059" spans="1:83" x14ac:dyDescent="0.25">
      <c r="A1059" s="31"/>
      <c r="B1059" s="30"/>
      <c r="C1059" s="30"/>
      <c r="BW1059" s="17"/>
      <c r="BX1059" s="17"/>
      <c r="BY1059" s="17"/>
      <c r="BZ1059" s="17"/>
      <c r="CA1059" s="17"/>
      <c r="CB1059" s="17"/>
      <c r="CC1059" s="17"/>
      <c r="CD1059" s="17"/>
      <c r="CE1059" s="17" t="str">
        <v>GINGELLY OIL 1/2LTR PET BOX (OFFER)</v>
      </c>
    </row>
    <row r="1060" spans="1:83" x14ac:dyDescent="0.25">
      <c r="A1060" s="31"/>
      <c r="B1060" s="30"/>
      <c r="C1060" s="30"/>
      <c r="BW1060" s="17"/>
      <c r="BX1060" s="17"/>
      <c r="BY1060" s="17"/>
      <c r="BZ1060" s="17"/>
      <c r="CA1060" s="17"/>
      <c r="CB1060" s="17"/>
      <c r="CC1060" s="17"/>
      <c r="CD1060" s="17"/>
      <c r="CE1060" s="17" t="str">
        <v>NAKSHATRA POOJA OIL 1 LTR PET BOX (AMMAN)</v>
      </c>
    </row>
    <row r="1061" spans="1:83" x14ac:dyDescent="0.25">
      <c r="A1061" s="31"/>
      <c r="B1061" s="30"/>
      <c r="C1061" s="30"/>
      <c r="BW1061" s="17"/>
      <c r="BX1061" s="17"/>
      <c r="BY1061" s="17"/>
      <c r="BZ1061" s="17"/>
      <c r="CA1061" s="17"/>
      <c r="CB1061" s="17"/>
      <c r="CC1061" s="17"/>
      <c r="CD1061" s="17"/>
      <c r="CE1061" s="17" t="str">
        <v>NAKSHATRA POOJA OIL 1 LTR PET BOX (MURUGAN)</v>
      </c>
    </row>
    <row r="1062" spans="1:83" x14ac:dyDescent="0.25">
      <c r="A1062" s="31"/>
      <c r="B1062" s="30"/>
      <c r="C1062" s="30"/>
      <c r="BW1062" s="17"/>
      <c r="BX1062" s="17"/>
      <c r="BY1062" s="17"/>
      <c r="BZ1062" s="17"/>
      <c r="CA1062" s="17"/>
      <c r="CB1062" s="17"/>
      <c r="CC1062" s="17"/>
      <c r="CD1062" s="17"/>
      <c r="CE1062" s="17" t="str">
        <v>NAKSHATRA POOJA OIL 1 LTR PET BOX (GANESHA)</v>
      </c>
    </row>
    <row r="1063" spans="1:83" x14ac:dyDescent="0.25">
      <c r="A1063" s="31"/>
      <c r="B1063" s="30"/>
      <c r="C1063" s="30"/>
      <c r="BW1063" s="17"/>
      <c r="BX1063" s="17"/>
      <c r="BY1063" s="17"/>
      <c r="BZ1063" s="17"/>
      <c r="CA1063" s="17"/>
      <c r="CB1063" s="17"/>
      <c r="CC1063" s="17"/>
      <c r="CD1063" s="17"/>
      <c r="CE1063" s="17" t="str">
        <v>REF SUNFLOWER  OIL 3 LTR CAN BOX</v>
      </c>
    </row>
    <row r="1064" spans="1:83" x14ac:dyDescent="0.25">
      <c r="A1064" s="31"/>
      <c r="B1064" s="30"/>
      <c r="C1064" s="30"/>
      <c r="BW1064" s="17"/>
      <c r="BX1064" s="17"/>
      <c r="BY1064" s="17"/>
      <c r="BZ1064" s="17"/>
      <c r="CA1064" s="17"/>
      <c r="CB1064" s="17"/>
      <c r="CC1064" s="17"/>
      <c r="CD1064" s="17"/>
      <c r="CE1064" s="17" t="str">
        <v>GINGELLY OIL RS.15 PACK BOX (08.01.25)</v>
      </c>
    </row>
    <row r="1065" spans="1:83" x14ac:dyDescent="0.25">
      <c r="A1065" s="31"/>
      <c r="B1065" s="30"/>
      <c r="C1065" s="30"/>
      <c r="BW1065" s="17"/>
      <c r="BX1065" s="17"/>
      <c r="BY1065" s="17"/>
      <c r="BZ1065" s="17"/>
      <c r="CA1065" s="17"/>
      <c r="CB1065" s="17"/>
      <c r="CC1065" s="17"/>
      <c r="CD1065" s="17"/>
      <c r="CE1065" s="17" t="str">
        <v>REF RICE BRAN OIL RS.10 PACK BOX (08.01.25)</v>
      </c>
    </row>
    <row r="1066" spans="1:83" x14ac:dyDescent="0.25">
      <c r="A1066" s="31"/>
      <c r="B1066" s="30"/>
      <c r="C1066" s="30"/>
      <c r="BW1066" s="17"/>
      <c r="BX1066" s="17"/>
      <c r="BY1066" s="17"/>
      <c r="BZ1066" s="17"/>
      <c r="CA1066" s="17"/>
      <c r="CB1066" s="17"/>
      <c r="CC1066" s="17"/>
      <c r="CD1066" s="17"/>
      <c r="CE1066" s="17" t="str">
        <v>DAILY REFINED WHEAT FLOUR (MAIDA) - 30 Kg BAG</v>
      </c>
    </row>
    <row r="1067" spans="1:83" x14ac:dyDescent="0.25">
      <c r="A1067" s="31"/>
      <c r="B1067" s="30"/>
      <c r="C1067" s="30"/>
      <c r="BW1067" s="17"/>
      <c r="BX1067" s="17"/>
      <c r="BY1067" s="17"/>
      <c r="BZ1067" s="17"/>
      <c r="CA1067" s="17"/>
      <c r="CB1067" s="17"/>
      <c r="CC1067" s="17"/>
      <c r="CD1067" s="17"/>
      <c r="CE1067" s="17" t="str">
        <v>NAKSHATRA POOJA OIL 1/2 LTR PET BOX</v>
      </c>
    </row>
    <row r="1068" spans="1:83" x14ac:dyDescent="0.25">
      <c r="A1068" s="31"/>
      <c r="B1068" s="30"/>
      <c r="C1068" s="30"/>
      <c r="BW1068" s="17"/>
      <c r="BX1068" s="17"/>
      <c r="BY1068" s="17"/>
      <c r="BZ1068" s="17"/>
      <c r="CA1068" s="17"/>
      <c r="CB1068" s="17"/>
      <c r="CC1068" s="17"/>
      <c r="CD1068" s="17"/>
      <c r="CE1068" s="17" t="str">
        <v>COCONUT OIL 1/2 LTR PET BOX</v>
      </c>
    </row>
    <row r="1069" spans="1:83" x14ac:dyDescent="0.25">
      <c r="A1069" s="31"/>
      <c r="B1069" s="30"/>
      <c r="C1069" s="30"/>
      <c r="BW1069" s="17"/>
      <c r="BX1069" s="17"/>
      <c r="BY1069" s="17"/>
      <c r="BZ1069" s="17"/>
      <c r="CA1069" s="17"/>
      <c r="CB1069" s="17"/>
      <c r="CC1069" s="17"/>
      <c r="CD1069" s="17"/>
      <c r="CE1069" s="17" t="str">
        <v>NAKSHATRA AGARBATTI Rs 12 PACK BOX (Sa Re Ga Ma)</v>
      </c>
    </row>
    <row r="1070" spans="1:83" x14ac:dyDescent="0.25">
      <c r="A1070" s="31"/>
      <c r="B1070" s="30"/>
      <c r="C1070" s="30"/>
      <c r="BW1070" s="17"/>
      <c r="BX1070" s="17"/>
      <c r="BY1070" s="17"/>
      <c r="BZ1070" s="17"/>
      <c r="CA1070" s="17"/>
      <c r="CB1070" s="17"/>
      <c r="CC1070" s="17"/>
      <c r="CD1070" s="17"/>
      <c r="CE1070" s="17" t="str">
        <v>NAKSHATRA AGARBATTI Rs 12 PACK BOX (OG Arij)</v>
      </c>
    </row>
    <row r="1071" spans="1:83" x14ac:dyDescent="0.25">
      <c r="A1071" s="31"/>
      <c r="B1071" s="30"/>
      <c r="C1071" s="30"/>
      <c r="BW1071" s="17"/>
      <c r="BX1071" s="17"/>
      <c r="BY1071" s="17"/>
      <c r="BZ1071" s="17"/>
      <c r="CA1071" s="17"/>
      <c r="CB1071" s="17"/>
      <c r="CC1071" s="17"/>
      <c r="CD1071" s="17"/>
      <c r="CE1071" s="17" t="str">
        <v>NAKSHATRA AGARBATTI Rs 55 PACK BOX (Thazhampoo)</v>
      </c>
    </row>
    <row r="1072" spans="1:83" x14ac:dyDescent="0.25">
      <c r="A1072" s="31"/>
      <c r="B1072" s="30"/>
      <c r="C1072" s="30"/>
      <c r="BW1072" s="17"/>
      <c r="BX1072" s="17"/>
      <c r="BY1072" s="17"/>
      <c r="BZ1072" s="17"/>
      <c r="CA1072" s="17"/>
      <c r="CB1072" s="17"/>
      <c r="CC1072" s="17"/>
      <c r="CD1072" s="17"/>
      <c r="CE1072" s="17" t="str">
        <v>NAKSHATRA AGARBATTI Rs 12 PACK BOX (Magic Mango)</v>
      </c>
    </row>
    <row r="1073" spans="1:83" x14ac:dyDescent="0.25">
      <c r="A1073" s="31"/>
      <c r="B1073" s="30"/>
      <c r="C1073" s="30"/>
      <c r="BW1073" s="17"/>
      <c r="BX1073" s="17"/>
      <c r="BY1073" s="17"/>
      <c r="BZ1073" s="17"/>
      <c r="CA1073" s="17"/>
      <c r="CB1073" s="17"/>
      <c r="CC1073" s="17"/>
      <c r="CD1073" s="17"/>
      <c r="CE1073" s="17" t="str">
        <v>NAKSHATRA AGARBATTI Rs 12 PACK BOX (Lavender)</v>
      </c>
    </row>
    <row r="1074" spans="1:83" x14ac:dyDescent="0.25">
      <c r="A1074" s="31"/>
      <c r="B1074" s="30"/>
      <c r="C1074" s="30"/>
      <c r="BW1074" s="17"/>
      <c r="BX1074" s="17"/>
      <c r="BY1074" s="17"/>
      <c r="BZ1074" s="17"/>
      <c r="CA1074" s="17"/>
      <c r="CB1074" s="17"/>
      <c r="CC1074" s="17"/>
      <c r="CD1074" s="17"/>
      <c r="CE1074" s="17" t="str">
        <v>NAKSHATRA AGARBATTI Rs 55 PACK BOX (Lavender)</v>
      </c>
    </row>
    <row r="1075" spans="1:83" x14ac:dyDescent="0.25">
      <c r="A1075" s="31"/>
      <c r="B1075" s="30"/>
      <c r="C1075" s="30"/>
      <c r="BW1075" s="17"/>
      <c r="BX1075" s="17"/>
      <c r="BY1075" s="17"/>
      <c r="BZ1075" s="17"/>
      <c r="CA1075" s="17"/>
      <c r="CB1075" s="17"/>
      <c r="CC1075" s="17"/>
      <c r="CD1075" s="17"/>
      <c r="CE1075" s="17" t="str">
        <v>COCONUT OIL 1 LTR PET BOX</v>
      </c>
    </row>
    <row r="1076" spans="1:83" x14ac:dyDescent="0.25">
      <c r="A1076" s="31"/>
      <c r="B1076" s="30"/>
      <c r="C1076" s="30"/>
      <c r="BW1076" s="17"/>
      <c r="BX1076" s="17"/>
      <c r="BY1076" s="17"/>
      <c r="BZ1076" s="17"/>
      <c r="CA1076" s="17"/>
      <c r="CB1076" s="17"/>
      <c r="CC1076" s="17"/>
      <c r="CD1076" s="17"/>
      <c r="CE1076" s="17" t="str">
        <v>NAKSHATRA POOJA OIL 200 ML PET BOX (HILLS)</v>
      </c>
    </row>
    <row r="1077" spans="1:83" x14ac:dyDescent="0.25">
      <c r="A1077" s="31"/>
      <c r="B1077" s="30"/>
      <c r="C1077" s="30"/>
      <c r="BW1077" s="17"/>
      <c r="BX1077" s="17"/>
      <c r="BY1077" s="17"/>
      <c r="BZ1077" s="17"/>
      <c r="CA1077" s="17"/>
      <c r="CB1077" s="17"/>
      <c r="CC1077" s="17"/>
      <c r="CD1077" s="17"/>
      <c r="CE1077" s="17" t="str">
        <v>REF RICE BRAN OIL 1 LTR PET BOX</v>
      </c>
    </row>
    <row r="1078" spans="1:83" x14ac:dyDescent="0.25">
      <c r="A1078" s="31"/>
      <c r="B1078" s="30"/>
      <c r="C1078" s="30"/>
      <c r="BW1078" s="17"/>
      <c r="BX1078" s="17"/>
      <c r="BY1078" s="17"/>
      <c r="BZ1078" s="17"/>
      <c r="CA1078" s="17"/>
      <c r="CB1078" s="17"/>
      <c r="CC1078" s="17"/>
      <c r="CD1078" s="17"/>
      <c r="CE1078" s="17" t="str">
        <v>GINGELLY OIL 100 ML PET BOX</v>
      </c>
    </row>
    <row r="1079" spans="1:83" x14ac:dyDescent="0.25">
      <c r="A1079" s="31"/>
      <c r="B1079" s="30"/>
      <c r="C1079" s="30"/>
      <c r="BW1079" s="17"/>
      <c r="BX1079" s="17"/>
      <c r="BY1079" s="17"/>
      <c r="BZ1079" s="17"/>
      <c r="CA1079" s="17"/>
      <c r="CB1079" s="17"/>
      <c r="CC1079" s="17"/>
      <c r="CD1079" s="17"/>
      <c r="CE1079" s="17" t="str">
        <v>GINGELLY OIL 1/2 LTR BOX (OFFER)</v>
      </c>
    </row>
    <row r="1080" spans="1:83" x14ac:dyDescent="0.25">
      <c r="A1080" s="31"/>
      <c r="B1080" s="30"/>
      <c r="C1080" s="30"/>
      <c r="BW1080" s="17"/>
      <c r="BX1080" s="17"/>
      <c r="BY1080" s="17"/>
      <c r="BZ1080" s="17"/>
      <c r="CA1080" s="17"/>
      <c r="CB1080" s="17"/>
      <c r="CC1080" s="17"/>
      <c r="CD1080" s="17"/>
      <c r="CE1080" s="17" t="str">
        <v>REF PALMOLEIN  OIL 1/2 LTR BOX (Mr.PALM)</v>
      </c>
    </row>
    <row r="1081" spans="1:83" x14ac:dyDescent="0.25">
      <c r="A1081" s="31"/>
      <c r="B1081" s="30"/>
      <c r="C1081" s="30"/>
      <c r="BW1081" s="17"/>
      <c r="BX1081" s="17"/>
      <c r="BY1081" s="17"/>
      <c r="BZ1081" s="17"/>
      <c r="CA1081" s="17"/>
      <c r="CB1081" s="17"/>
      <c r="CC1081" s="17"/>
      <c r="CD1081" s="17"/>
      <c r="CE1081" s="17" t="str">
        <v>REF PALMOLEIN  OIL 1 LTR BOX (Mr.PALM)</v>
      </c>
    </row>
    <row r="1082" spans="1:83" x14ac:dyDescent="0.25">
      <c r="A1082" s="31"/>
      <c r="B1082" s="30"/>
      <c r="C1082" s="30"/>
      <c r="BW1082" s="17"/>
      <c r="BX1082" s="17"/>
      <c r="BY1082" s="17"/>
      <c r="BZ1082" s="17"/>
      <c r="CA1082" s="17"/>
      <c r="CB1082" s="17"/>
      <c r="CC1082" s="17"/>
      <c r="CD1082" s="17"/>
      <c r="CE1082" s="17" t="str">
        <v>NAKSHATRA POOJA OIL 1/2 LTR POUCH BOX</v>
      </c>
    </row>
    <row r="1083" spans="1:83" x14ac:dyDescent="0.25">
      <c r="A1083" s="31"/>
      <c r="B1083" s="30"/>
      <c r="C1083" s="30"/>
      <c r="BW1083" s="17"/>
      <c r="BX1083" s="17"/>
      <c r="BY1083" s="17"/>
      <c r="BZ1083" s="17"/>
      <c r="CA1083" s="17"/>
      <c r="CB1083" s="17"/>
      <c r="CC1083" s="17"/>
      <c r="CD1083" s="17"/>
      <c r="CE1083" s="17" t="str">
        <v>NAKSHATRA POOJA OIL 1 LTR POUCH BOX</v>
      </c>
    </row>
    <row r="1084" spans="1:83" x14ac:dyDescent="0.25">
      <c r="A1084" s="31"/>
      <c r="B1084" s="30"/>
      <c r="C1084" s="30"/>
      <c r="BW1084" s="17"/>
      <c r="BX1084" s="17"/>
      <c r="BY1084" s="17"/>
      <c r="BZ1084" s="17"/>
      <c r="CA1084" s="17"/>
      <c r="CB1084" s="17"/>
      <c r="CC1084" s="17"/>
      <c r="CD1084" s="17"/>
      <c r="CE1084" s="17" t="str">
        <v>SUNRAJA GULAS (JAGGERY POWDER) Rs 5 /- PACK BOX</v>
      </c>
    </row>
    <row r="1085" spans="1:83" x14ac:dyDescent="0.25">
      <c r="A1085" s="31"/>
      <c r="B1085" s="30"/>
      <c r="C1085" s="30"/>
      <c r="BW1085" s="17"/>
      <c r="BX1085" s="17"/>
      <c r="BY1085" s="17"/>
      <c r="BZ1085" s="17"/>
      <c r="CA1085" s="17"/>
      <c r="CB1085" s="17"/>
      <c r="CC1085" s="17"/>
      <c r="CD1085" s="17"/>
      <c r="CE1085" s="17" t="str">
        <v>COCONUT OIL 200 ML PET BOX</v>
      </c>
    </row>
    <row r="1086" spans="1:83" x14ac:dyDescent="0.25">
      <c r="A1086" s="31"/>
      <c r="B1086" s="30"/>
      <c r="C1086" s="30"/>
      <c r="BW1086" s="17"/>
      <c r="BX1086" s="17"/>
      <c r="BY1086" s="17"/>
      <c r="BZ1086" s="17"/>
      <c r="CA1086" s="17"/>
      <c r="CB1086" s="17"/>
      <c r="CC1086" s="17"/>
      <c r="CD1086" s="17"/>
      <c r="CE1086" s="17" t="str">
        <v>Total</v>
      </c>
    </row>
    <row r="1087" spans="1:83" x14ac:dyDescent="0.25">
      <c r="A1087" s="31"/>
      <c r="B1087" s="30"/>
      <c r="C1087" s="30"/>
      <c r="BW1087" s="17"/>
      <c r="BX1087" s="17"/>
      <c r="BY1087" s="17"/>
      <c r="BZ1087" s="17"/>
      <c r="CA1087" s="17"/>
      <c r="CB1087" s="17"/>
      <c r="CC1087" s="17"/>
      <c r="CD1087" s="17"/>
      <c r="CE1087" s="17"/>
    </row>
    <row r="1088" spans="1:83" x14ac:dyDescent="0.25">
      <c r="A1088" s="31"/>
      <c r="B1088" s="30"/>
      <c r="C1088" s="30"/>
      <c r="BW1088" s="17"/>
      <c r="BX1088" s="17"/>
      <c r="BY1088" s="17"/>
      <c r="BZ1088" s="17"/>
      <c r="CA1088" s="17"/>
      <c r="CB1088" s="17"/>
      <c r="CC1088" s="17"/>
      <c r="CD1088" s="17"/>
      <c r="CE1088" s="17"/>
    </row>
    <row r="1089" spans="1:83" x14ac:dyDescent="0.25">
      <c r="A1089" s="31"/>
      <c r="B1089" s="30"/>
      <c r="C1089" s="30"/>
      <c r="BW1089" s="17"/>
      <c r="BX1089" s="17"/>
      <c r="BY1089" s="17"/>
      <c r="BZ1089" s="17"/>
      <c r="CA1089" s="17"/>
      <c r="CB1089" s="17"/>
      <c r="CC1089" s="17"/>
      <c r="CD1089" s="17"/>
      <c r="CE1089" s="17"/>
    </row>
    <row r="1090" spans="1:83" x14ac:dyDescent="0.25">
      <c r="A1090" s="31"/>
      <c r="B1090" s="30"/>
      <c r="C1090" s="30"/>
      <c r="BW1090" s="17"/>
      <c r="BX1090" s="17"/>
      <c r="BY1090" s="17"/>
      <c r="BZ1090" s="17"/>
      <c r="CA1090" s="17"/>
      <c r="CB1090" s="17"/>
      <c r="CC1090" s="17"/>
      <c r="CD1090" s="17"/>
      <c r="CE1090" s="17"/>
    </row>
    <row r="1091" spans="1:83" x14ac:dyDescent="0.25">
      <c r="A1091" s="31"/>
      <c r="B1091" s="30"/>
      <c r="C1091" s="30"/>
      <c r="BW1091" s="17"/>
      <c r="BX1091" s="17"/>
      <c r="BY1091" s="17"/>
      <c r="BZ1091" s="17"/>
      <c r="CA1091" s="17"/>
      <c r="CB1091" s="17"/>
      <c r="CC1091" s="17"/>
      <c r="CD1091" s="17"/>
      <c r="CE1091" s="17"/>
    </row>
    <row r="1092" spans="1:83" x14ac:dyDescent="0.25">
      <c r="A1092" s="31"/>
      <c r="B1092" s="30"/>
      <c r="C1092" s="30"/>
      <c r="BW1092" s="17"/>
      <c r="BX1092" s="17"/>
      <c r="BY1092" s="17"/>
      <c r="BZ1092" s="17"/>
      <c r="CA1092" s="17"/>
      <c r="CB1092" s="17"/>
      <c r="CC1092" s="17"/>
      <c r="CD1092" s="17"/>
      <c r="CE1092" s="17"/>
    </row>
    <row r="1093" spans="1:83" x14ac:dyDescent="0.25">
      <c r="A1093" s="31"/>
      <c r="B1093" s="30"/>
      <c r="C1093" s="30"/>
      <c r="BW1093" s="17"/>
      <c r="BX1093" s="17"/>
      <c r="BY1093" s="17"/>
      <c r="BZ1093" s="17"/>
      <c r="CA1093" s="17"/>
      <c r="CB1093" s="17"/>
      <c r="CC1093" s="17"/>
      <c r="CD1093" s="17"/>
      <c r="CE1093" s="17"/>
    </row>
    <row r="1094" spans="1:83" x14ac:dyDescent="0.25">
      <c r="A1094" s="31"/>
      <c r="B1094" s="30"/>
      <c r="C1094" s="30"/>
      <c r="BW1094" s="17"/>
      <c r="BX1094" s="17"/>
      <c r="BY1094" s="17"/>
      <c r="BZ1094" s="17"/>
      <c r="CA1094" s="17"/>
      <c r="CB1094" s="17"/>
      <c r="CC1094" s="17"/>
      <c r="CD1094" s="17"/>
      <c r="CE1094" s="17"/>
    </row>
    <row r="1095" spans="1:83" x14ac:dyDescent="0.25">
      <c r="A1095" s="31"/>
      <c r="B1095" s="30"/>
      <c r="C1095" s="30"/>
      <c r="BW1095" s="17"/>
      <c r="BX1095" s="17"/>
      <c r="BY1095" s="17"/>
      <c r="BZ1095" s="17"/>
      <c r="CA1095" s="17"/>
      <c r="CB1095" s="17"/>
      <c r="CC1095" s="17"/>
      <c r="CD1095" s="17"/>
      <c r="CE1095" s="17"/>
    </row>
    <row r="1096" spans="1:83" x14ac:dyDescent="0.25">
      <c r="A1096" s="31"/>
      <c r="B1096" s="30"/>
      <c r="C1096" s="30"/>
      <c r="BW1096" s="17"/>
      <c r="BX1096" s="17"/>
      <c r="BY1096" s="17"/>
      <c r="BZ1096" s="17"/>
      <c r="CA1096" s="17"/>
      <c r="CB1096" s="17"/>
      <c r="CC1096" s="17"/>
      <c r="CD1096" s="17"/>
      <c r="CE1096" s="17"/>
    </row>
    <row r="1097" spans="1:83" x14ac:dyDescent="0.25">
      <c r="A1097" s="31"/>
      <c r="B1097" s="30"/>
      <c r="C1097" s="30"/>
      <c r="BW1097" s="17"/>
      <c r="BX1097" s="17"/>
      <c r="BY1097" s="17"/>
      <c r="BZ1097" s="17"/>
      <c r="CA1097" s="17"/>
      <c r="CB1097" s="17"/>
      <c r="CC1097" s="17"/>
      <c r="CD1097" s="17"/>
      <c r="CE1097" s="17"/>
    </row>
    <row r="1098" spans="1:83" x14ac:dyDescent="0.25">
      <c r="A1098" s="31"/>
      <c r="B1098" s="30"/>
      <c r="C1098" s="30"/>
      <c r="BW1098" s="17"/>
      <c r="BX1098" s="17"/>
      <c r="BY1098" s="17"/>
      <c r="BZ1098" s="17"/>
      <c r="CA1098" s="17"/>
      <c r="CB1098" s="17"/>
      <c r="CC1098" s="17"/>
      <c r="CD1098" s="17"/>
      <c r="CE1098" s="17"/>
    </row>
    <row r="1099" spans="1:83" x14ac:dyDescent="0.25">
      <c r="A1099" s="31"/>
      <c r="B1099" s="30"/>
      <c r="C1099" s="30"/>
      <c r="BW1099" s="17"/>
      <c r="BX1099" s="17"/>
      <c r="BY1099" s="17"/>
      <c r="BZ1099" s="17"/>
      <c r="CA1099" s="17"/>
      <c r="CB1099" s="17"/>
      <c r="CC1099" s="17"/>
      <c r="CD1099" s="17"/>
      <c r="CE1099" s="17"/>
    </row>
    <row r="1100" spans="1:83" x14ac:dyDescent="0.25">
      <c r="A1100" s="31"/>
      <c r="B1100" s="30"/>
      <c r="C1100" s="30"/>
      <c r="BW1100" s="17"/>
      <c r="BX1100" s="17"/>
      <c r="BY1100" s="17"/>
      <c r="BZ1100" s="17"/>
      <c r="CA1100" s="17"/>
      <c r="CB1100" s="17"/>
      <c r="CC1100" s="17"/>
      <c r="CD1100" s="17"/>
      <c r="CE1100" s="17"/>
    </row>
    <row r="1101" spans="1:83" x14ac:dyDescent="0.25">
      <c r="A1101" s="31"/>
      <c r="B1101" s="30"/>
      <c r="C1101" s="30"/>
      <c r="BW1101" s="17"/>
      <c r="BX1101" s="17"/>
      <c r="BY1101" s="17"/>
      <c r="BZ1101" s="17"/>
      <c r="CA1101" s="17"/>
      <c r="CB1101" s="17"/>
      <c r="CC1101" s="17"/>
      <c r="CD1101" s="17"/>
      <c r="CE1101" s="17"/>
    </row>
    <row r="1102" spans="1:83" x14ac:dyDescent="0.25">
      <c r="A1102" s="31"/>
      <c r="B1102" s="30"/>
      <c r="C1102" s="30"/>
      <c r="BW1102" s="17"/>
      <c r="BX1102" s="17"/>
      <c r="BY1102" s="17"/>
      <c r="BZ1102" s="17"/>
      <c r="CA1102" s="17"/>
      <c r="CB1102" s="17"/>
      <c r="CC1102" s="17"/>
      <c r="CD1102" s="17"/>
      <c r="CE1102" s="17"/>
    </row>
    <row r="1103" spans="1:83" x14ac:dyDescent="0.25">
      <c r="A1103" s="31"/>
      <c r="B1103" s="30"/>
      <c r="C1103" s="30"/>
      <c r="BW1103" s="17"/>
      <c r="BX1103" s="17"/>
      <c r="BY1103" s="17"/>
      <c r="BZ1103" s="17"/>
      <c r="CA1103" s="17"/>
      <c r="CB1103" s="17"/>
      <c r="CC1103" s="17"/>
      <c r="CD1103" s="17"/>
      <c r="CE1103" s="17"/>
    </row>
    <row r="1104" spans="1:83" x14ac:dyDescent="0.25">
      <c r="A1104" s="31"/>
      <c r="B1104" s="30"/>
      <c r="C1104" s="30"/>
      <c r="BW1104" s="17"/>
      <c r="BX1104" s="17"/>
      <c r="BY1104" s="17"/>
      <c r="BZ1104" s="17"/>
      <c r="CA1104" s="17"/>
      <c r="CB1104" s="17"/>
      <c r="CC1104" s="17"/>
      <c r="CD1104" s="17"/>
      <c r="CE1104" s="17"/>
    </row>
    <row r="1105" spans="1:83" x14ac:dyDescent="0.25">
      <c r="A1105" s="31"/>
      <c r="B1105" s="30"/>
      <c r="C1105" s="30"/>
      <c r="BW1105" s="17"/>
      <c r="BX1105" s="17"/>
      <c r="BY1105" s="17"/>
      <c r="BZ1105" s="17"/>
      <c r="CA1105" s="17"/>
      <c r="CB1105" s="17"/>
      <c r="CC1105" s="17"/>
      <c r="CD1105" s="17"/>
      <c r="CE1105" s="17"/>
    </row>
    <row r="1106" spans="1:83" x14ac:dyDescent="0.25">
      <c r="A1106" s="31"/>
      <c r="B1106" s="30"/>
      <c r="C1106" s="30"/>
      <c r="BW1106" s="17"/>
      <c r="BX1106" s="17"/>
      <c r="BY1106" s="17"/>
      <c r="BZ1106" s="17"/>
      <c r="CA1106" s="17"/>
      <c r="CB1106" s="17"/>
      <c r="CC1106" s="17"/>
      <c r="CD1106" s="17"/>
      <c r="CE1106" s="17"/>
    </row>
    <row r="1107" spans="1:83" x14ac:dyDescent="0.25">
      <c r="A1107" s="31"/>
      <c r="B1107" s="30"/>
      <c r="C1107" s="30"/>
      <c r="BW1107" s="17"/>
      <c r="BX1107" s="17"/>
      <c r="BY1107" s="17"/>
      <c r="BZ1107" s="17"/>
      <c r="CA1107" s="17"/>
      <c r="CB1107" s="17"/>
      <c r="CC1107" s="17"/>
      <c r="CD1107" s="17"/>
      <c r="CE1107" s="17"/>
    </row>
    <row r="1108" spans="1:83" x14ac:dyDescent="0.25">
      <c r="A1108" s="31"/>
      <c r="B1108" s="30"/>
      <c r="C1108" s="30"/>
      <c r="BW1108" s="17"/>
      <c r="BX1108" s="17"/>
      <c r="BY1108" s="17"/>
      <c r="BZ1108" s="17"/>
      <c r="CA1108" s="17"/>
      <c r="CB1108" s="17"/>
      <c r="CC1108" s="17"/>
      <c r="CD1108" s="17"/>
      <c r="CE1108" s="17"/>
    </row>
    <row r="1109" spans="1:83" x14ac:dyDescent="0.25">
      <c r="A1109" s="31"/>
      <c r="B1109" s="30"/>
      <c r="C1109" s="30"/>
      <c r="BW1109" s="17"/>
      <c r="BX1109" s="17"/>
      <c r="BY1109" s="17"/>
      <c r="BZ1109" s="17"/>
      <c r="CA1109" s="17"/>
      <c r="CB1109" s="17"/>
      <c r="CC1109" s="17"/>
      <c r="CD1109" s="17"/>
      <c r="CE1109" s="17"/>
    </row>
    <row r="1110" spans="1:83" x14ac:dyDescent="0.25">
      <c r="A1110" s="31"/>
      <c r="B1110" s="30"/>
      <c r="C1110" s="30"/>
      <c r="BW1110" s="17"/>
      <c r="BX1110" s="17"/>
      <c r="BY1110" s="17"/>
      <c r="BZ1110" s="17"/>
      <c r="CA1110" s="17"/>
      <c r="CB1110" s="17"/>
      <c r="CC1110" s="17"/>
      <c r="CD1110" s="17"/>
      <c r="CE1110" s="17"/>
    </row>
    <row r="1111" spans="1:83" x14ac:dyDescent="0.25">
      <c r="A1111" s="31"/>
      <c r="B1111" s="30"/>
      <c r="C1111" s="30"/>
      <c r="BW1111" s="17"/>
      <c r="BX1111" s="17"/>
      <c r="BY1111" s="17"/>
      <c r="BZ1111" s="17"/>
      <c r="CA1111" s="17"/>
      <c r="CB1111" s="17"/>
      <c r="CC1111" s="17"/>
      <c r="CD1111" s="17"/>
      <c r="CE1111" s="17"/>
    </row>
    <row r="1112" spans="1:83" x14ac:dyDescent="0.25">
      <c r="A1112" s="31"/>
      <c r="B1112" s="30"/>
      <c r="C1112" s="30"/>
      <c r="BW1112" s="17"/>
      <c r="BX1112" s="17"/>
      <c r="BY1112" s="17"/>
      <c r="BZ1112" s="17"/>
      <c r="CA1112" s="17"/>
      <c r="CB1112" s="17"/>
      <c r="CC1112" s="17"/>
      <c r="CD1112" s="17"/>
      <c r="CE1112" s="17"/>
    </row>
    <row r="1113" spans="1:83" x14ac:dyDescent="0.25">
      <c r="A1113" s="31"/>
      <c r="B1113" s="30"/>
      <c r="C1113" s="30"/>
      <c r="BW1113" s="17"/>
      <c r="BX1113" s="17"/>
      <c r="BY1113" s="17"/>
      <c r="BZ1113" s="17"/>
      <c r="CA1113" s="17"/>
      <c r="CB1113" s="17"/>
      <c r="CC1113" s="17"/>
      <c r="CD1113" s="17"/>
      <c r="CE1113" s="17"/>
    </row>
    <row r="1114" spans="1:83" x14ac:dyDescent="0.25">
      <c r="A1114" s="31"/>
      <c r="B1114" s="30"/>
      <c r="C1114" s="30"/>
      <c r="BW1114" s="17"/>
      <c r="BX1114" s="17"/>
      <c r="BY1114" s="17"/>
      <c r="BZ1114" s="17"/>
      <c r="CA1114" s="17"/>
      <c r="CB1114" s="17"/>
      <c r="CC1114" s="17"/>
      <c r="CD1114" s="17"/>
      <c r="CE1114" s="17"/>
    </row>
    <row r="1115" spans="1:83" x14ac:dyDescent="0.25">
      <c r="A1115" s="31"/>
      <c r="B1115" s="30"/>
      <c r="C1115" s="30"/>
      <c r="BW1115" s="17"/>
      <c r="BX1115" s="17"/>
      <c r="BY1115" s="17"/>
      <c r="BZ1115" s="17"/>
      <c r="CA1115" s="17"/>
      <c r="CB1115" s="17"/>
      <c r="CC1115" s="17"/>
      <c r="CD1115" s="17"/>
      <c r="CE1115" s="17"/>
    </row>
    <row r="1116" spans="1:83" x14ac:dyDescent="0.25">
      <c r="A1116" s="31"/>
      <c r="B1116" s="30"/>
      <c r="C1116" s="30"/>
      <c r="BW1116" s="17"/>
      <c r="BX1116" s="17"/>
      <c r="BY1116" s="17"/>
      <c r="BZ1116" s="17"/>
      <c r="CA1116" s="17"/>
      <c r="CB1116" s="17"/>
      <c r="CC1116" s="17"/>
      <c r="CD1116" s="17"/>
      <c r="CE1116" s="17"/>
    </row>
    <row r="1117" spans="1:83" x14ac:dyDescent="0.25">
      <c r="A1117" s="31"/>
      <c r="B1117" s="30"/>
      <c r="C1117" s="30"/>
      <c r="BW1117" s="17"/>
      <c r="BX1117" s="17"/>
      <c r="BY1117" s="17"/>
      <c r="BZ1117" s="17"/>
      <c r="CA1117" s="17"/>
      <c r="CB1117" s="17"/>
      <c r="CC1117" s="17"/>
      <c r="CD1117" s="17"/>
      <c r="CE1117" s="17"/>
    </row>
    <row r="1118" spans="1:83" x14ac:dyDescent="0.25">
      <c r="A1118" s="31"/>
      <c r="B1118" s="30"/>
      <c r="C1118" s="30"/>
      <c r="BW1118" s="17"/>
      <c r="BX1118" s="17"/>
      <c r="BY1118" s="17"/>
      <c r="BZ1118" s="17"/>
      <c r="CA1118" s="17"/>
      <c r="CB1118" s="17"/>
      <c r="CC1118" s="17"/>
      <c r="CD1118" s="17"/>
      <c r="CE1118" s="17"/>
    </row>
    <row r="1119" spans="1:83" x14ac:dyDescent="0.25">
      <c r="A1119" s="31"/>
      <c r="B1119" s="30"/>
      <c r="C1119" s="30"/>
      <c r="BW1119" s="17"/>
      <c r="BX1119" s="17"/>
      <c r="BY1119" s="17"/>
      <c r="BZ1119" s="17"/>
      <c r="CA1119" s="17"/>
      <c r="CB1119" s="17"/>
      <c r="CC1119" s="17"/>
      <c r="CD1119" s="17"/>
      <c r="CE1119" s="17"/>
    </row>
    <row r="1120" spans="1:83" x14ac:dyDescent="0.25">
      <c r="A1120" s="31"/>
      <c r="B1120" s="30"/>
      <c r="C1120" s="30"/>
      <c r="BW1120" s="17"/>
      <c r="BX1120" s="17"/>
      <c r="BY1120" s="17"/>
      <c r="BZ1120" s="17"/>
      <c r="CA1120" s="17"/>
      <c r="CB1120" s="17"/>
      <c r="CC1120" s="17"/>
      <c r="CD1120" s="17"/>
      <c r="CE1120" s="17"/>
    </row>
    <row r="1121" spans="1:83" x14ac:dyDescent="0.25">
      <c r="A1121" s="31"/>
      <c r="B1121" s="30"/>
      <c r="C1121" s="30"/>
      <c r="BW1121" s="17"/>
      <c r="BX1121" s="17"/>
      <c r="BY1121" s="17"/>
      <c r="BZ1121" s="17"/>
      <c r="CA1121" s="17"/>
      <c r="CB1121" s="17"/>
      <c r="CC1121" s="17"/>
      <c r="CD1121" s="17"/>
      <c r="CE1121" s="17"/>
    </row>
    <row r="1122" spans="1:83" x14ac:dyDescent="0.25">
      <c r="A1122" s="31"/>
      <c r="B1122" s="30"/>
      <c r="C1122" s="30"/>
      <c r="BW1122" s="17"/>
      <c r="BX1122" s="17"/>
      <c r="BY1122" s="17"/>
      <c r="BZ1122" s="17"/>
      <c r="CA1122" s="17"/>
      <c r="CB1122" s="17"/>
      <c r="CC1122" s="17"/>
      <c r="CD1122" s="17"/>
      <c r="CE1122" s="17"/>
    </row>
    <row r="1123" spans="1:83" x14ac:dyDescent="0.25">
      <c r="A1123" s="31"/>
      <c r="B1123" s="30"/>
      <c r="C1123" s="30"/>
      <c r="BW1123" s="17"/>
      <c r="BX1123" s="17"/>
      <c r="BY1123" s="17"/>
      <c r="BZ1123" s="17"/>
      <c r="CA1123" s="17"/>
      <c r="CB1123" s="17"/>
      <c r="CC1123" s="17"/>
      <c r="CD1123" s="17"/>
      <c r="CE1123" s="17"/>
    </row>
    <row r="1124" spans="1:83" x14ac:dyDescent="0.25">
      <c r="A1124" s="31"/>
      <c r="B1124" s="30"/>
      <c r="C1124" s="30"/>
      <c r="BW1124" s="17"/>
      <c r="BX1124" s="17"/>
      <c r="BY1124" s="17"/>
      <c r="BZ1124" s="17"/>
      <c r="CA1124" s="17"/>
      <c r="CB1124" s="17"/>
      <c r="CC1124" s="17"/>
      <c r="CD1124" s="17"/>
      <c r="CE1124" s="17"/>
    </row>
    <row r="1125" spans="1:83" x14ac:dyDescent="0.25">
      <c r="A1125" s="31"/>
      <c r="B1125" s="30"/>
      <c r="C1125" s="30"/>
      <c r="BW1125" s="17"/>
      <c r="BX1125" s="17"/>
      <c r="BY1125" s="17"/>
      <c r="BZ1125" s="17"/>
      <c r="CA1125" s="17"/>
      <c r="CB1125" s="17"/>
      <c r="CC1125" s="17"/>
      <c r="CD1125" s="17"/>
      <c r="CE1125" s="17"/>
    </row>
    <row r="1126" spans="1:83" x14ac:dyDescent="0.25">
      <c r="A1126" s="31"/>
      <c r="B1126" s="30"/>
      <c r="C1126" s="30"/>
      <c r="BW1126" s="17"/>
      <c r="BX1126" s="17"/>
      <c r="BY1126" s="17"/>
      <c r="BZ1126" s="17"/>
      <c r="CA1126" s="17"/>
      <c r="CB1126" s="17"/>
      <c r="CC1126" s="17"/>
      <c r="CD1126" s="17"/>
      <c r="CE1126" s="17"/>
    </row>
    <row r="1127" spans="1:83" x14ac:dyDescent="0.25">
      <c r="A1127" s="31"/>
      <c r="B1127" s="30"/>
      <c r="C1127" s="30"/>
      <c r="BW1127" s="17"/>
      <c r="BX1127" s="17"/>
      <c r="BY1127" s="17"/>
      <c r="BZ1127" s="17"/>
      <c r="CA1127" s="17"/>
      <c r="CB1127" s="17"/>
      <c r="CC1127" s="17"/>
      <c r="CD1127" s="17"/>
      <c r="CE1127" s="17"/>
    </row>
    <row r="1128" spans="1:83" x14ac:dyDescent="0.25">
      <c r="A1128" s="31"/>
      <c r="B1128" s="30"/>
      <c r="C1128" s="30"/>
      <c r="BW1128" s="17"/>
      <c r="BX1128" s="17"/>
      <c r="BY1128" s="17"/>
      <c r="BZ1128" s="17"/>
      <c r="CA1128" s="17"/>
      <c r="CB1128" s="17"/>
      <c r="CC1128" s="17"/>
      <c r="CD1128" s="17"/>
      <c r="CE1128" s="17"/>
    </row>
    <row r="1129" spans="1:83" x14ac:dyDescent="0.25">
      <c r="A1129" s="31"/>
      <c r="B1129" s="30"/>
      <c r="C1129" s="30"/>
      <c r="BW1129" s="17"/>
      <c r="BX1129" s="17"/>
      <c r="BY1129" s="17"/>
      <c r="BZ1129" s="17"/>
      <c r="CA1129" s="17"/>
      <c r="CB1129" s="17"/>
      <c r="CC1129" s="17"/>
      <c r="CD1129" s="17"/>
      <c r="CE1129" s="17"/>
    </row>
    <row r="1130" spans="1:83" x14ac:dyDescent="0.25">
      <c r="A1130" s="31"/>
      <c r="B1130" s="30"/>
      <c r="C1130" s="30"/>
      <c r="BW1130" s="17"/>
      <c r="BX1130" s="17"/>
      <c r="BY1130" s="17"/>
      <c r="BZ1130" s="17"/>
      <c r="CA1130" s="17"/>
      <c r="CB1130" s="17"/>
      <c r="CC1130" s="17"/>
      <c r="CD1130" s="17"/>
      <c r="CE1130" s="17"/>
    </row>
    <row r="1131" spans="1:83" x14ac:dyDescent="0.25">
      <c r="A1131" s="31"/>
      <c r="B1131" s="30"/>
      <c r="C1131" s="30"/>
      <c r="BW1131" s="17"/>
      <c r="BX1131" s="17"/>
      <c r="BY1131" s="17"/>
      <c r="BZ1131" s="17"/>
      <c r="CA1131" s="17"/>
      <c r="CB1131" s="17"/>
      <c r="CC1131" s="17"/>
      <c r="CD1131" s="17"/>
      <c r="CE1131" s="17"/>
    </row>
    <row r="1132" spans="1:83" x14ac:dyDescent="0.25">
      <c r="A1132" s="31"/>
      <c r="B1132" s="30"/>
      <c r="C1132" s="30"/>
      <c r="BW1132" s="17"/>
      <c r="BX1132" s="17"/>
      <c r="BY1132" s="17"/>
      <c r="BZ1132" s="17"/>
      <c r="CA1132" s="17"/>
      <c r="CB1132" s="17"/>
      <c r="CC1132" s="17"/>
      <c r="CD1132" s="17"/>
      <c r="CE1132" s="17"/>
    </row>
    <row r="1133" spans="1:83" x14ac:dyDescent="0.25">
      <c r="A1133" s="31"/>
      <c r="B1133" s="30"/>
      <c r="C1133" s="30"/>
      <c r="BW1133" s="17"/>
      <c r="BX1133" s="17"/>
      <c r="BY1133" s="17"/>
      <c r="BZ1133" s="17"/>
      <c r="CA1133" s="17"/>
      <c r="CB1133" s="17"/>
      <c r="CC1133" s="17"/>
      <c r="CD1133" s="17"/>
      <c r="CE1133" s="17"/>
    </row>
    <row r="1134" spans="1:83" x14ac:dyDescent="0.25">
      <c r="A1134" s="31"/>
      <c r="B1134" s="30"/>
      <c r="C1134" s="30"/>
      <c r="BW1134" s="17"/>
      <c r="BX1134" s="17"/>
      <c r="BY1134" s="17"/>
      <c r="BZ1134" s="17"/>
      <c r="CA1134" s="17"/>
      <c r="CB1134" s="17"/>
      <c r="CC1134" s="17"/>
      <c r="CD1134" s="17"/>
      <c r="CE1134" s="17"/>
    </row>
    <row r="1135" spans="1:83" x14ac:dyDescent="0.25">
      <c r="A1135" s="31"/>
      <c r="B1135" s="30"/>
      <c r="C1135" s="30"/>
      <c r="BW1135" s="17"/>
      <c r="BX1135" s="17"/>
      <c r="BY1135" s="17"/>
      <c r="BZ1135" s="17"/>
      <c r="CA1135" s="17"/>
      <c r="CB1135" s="17"/>
      <c r="CC1135" s="17"/>
      <c r="CD1135" s="17"/>
      <c r="CE1135" s="17"/>
    </row>
    <row r="1136" spans="1:83" x14ac:dyDescent="0.25">
      <c r="A1136" s="31"/>
      <c r="B1136" s="30"/>
      <c r="C1136" s="30"/>
      <c r="BW1136" s="17"/>
      <c r="BX1136" s="17"/>
      <c r="BY1136" s="17"/>
      <c r="BZ1136" s="17"/>
      <c r="CA1136" s="17"/>
      <c r="CB1136" s="17"/>
      <c r="CC1136" s="17"/>
      <c r="CD1136" s="17"/>
      <c r="CE1136" s="17"/>
    </row>
    <row r="1137" spans="1:83" x14ac:dyDescent="0.25">
      <c r="A1137" s="31"/>
      <c r="B1137" s="30"/>
      <c r="C1137" s="30"/>
      <c r="BW1137" s="17"/>
      <c r="BX1137" s="17"/>
      <c r="BY1137" s="17"/>
      <c r="BZ1137" s="17"/>
      <c r="CA1137" s="17"/>
      <c r="CB1137" s="17"/>
      <c r="CC1137" s="17"/>
      <c r="CD1137" s="17"/>
      <c r="CE1137" s="17"/>
    </row>
    <row r="1138" spans="1:83" x14ac:dyDescent="0.25">
      <c r="A1138" s="31"/>
      <c r="B1138" s="30"/>
      <c r="C1138" s="30"/>
      <c r="BW1138" s="17"/>
      <c r="BX1138" s="17"/>
      <c r="BY1138" s="17"/>
      <c r="BZ1138" s="17"/>
      <c r="CA1138" s="17"/>
      <c r="CB1138" s="17"/>
      <c r="CC1138" s="17"/>
      <c r="CD1138" s="17"/>
      <c r="CE1138" s="17"/>
    </row>
    <row r="1139" spans="1:83" x14ac:dyDescent="0.25">
      <c r="A1139" s="31"/>
      <c r="B1139" s="30"/>
      <c r="C1139" s="30"/>
      <c r="BW1139" s="17"/>
      <c r="BX1139" s="17"/>
      <c r="BY1139" s="17"/>
      <c r="BZ1139" s="17"/>
      <c r="CA1139" s="17"/>
      <c r="CB1139" s="17"/>
      <c r="CC1139" s="17"/>
      <c r="CD1139" s="17"/>
      <c r="CE1139" s="17"/>
    </row>
    <row r="1140" spans="1:83" x14ac:dyDescent="0.25">
      <c r="A1140" s="31"/>
      <c r="B1140" s="30"/>
      <c r="C1140" s="30"/>
      <c r="BW1140" s="17"/>
      <c r="BX1140" s="17"/>
      <c r="BY1140" s="17"/>
      <c r="BZ1140" s="17"/>
      <c r="CA1140" s="17"/>
      <c r="CB1140" s="17"/>
      <c r="CC1140" s="17"/>
      <c r="CD1140" s="17"/>
      <c r="CE1140" s="17"/>
    </row>
    <row r="1141" spans="1:83" x14ac:dyDescent="0.25">
      <c r="A1141" s="31"/>
      <c r="B1141" s="30"/>
      <c r="C1141" s="30"/>
      <c r="BW1141" s="17"/>
      <c r="BX1141" s="17"/>
      <c r="BY1141" s="17"/>
      <c r="BZ1141" s="17"/>
      <c r="CA1141" s="17"/>
      <c r="CB1141" s="17"/>
      <c r="CC1141" s="17"/>
      <c r="CD1141" s="17"/>
      <c r="CE1141" s="17"/>
    </row>
    <row r="1142" spans="1:83" x14ac:dyDescent="0.25">
      <c r="A1142" s="31"/>
      <c r="B1142" s="30"/>
      <c r="C1142" s="30"/>
      <c r="BW1142" s="17"/>
      <c r="BX1142" s="17"/>
      <c r="BY1142" s="17"/>
      <c r="BZ1142" s="17"/>
      <c r="CA1142" s="17"/>
      <c r="CB1142" s="17"/>
      <c r="CC1142" s="17"/>
      <c r="CD1142" s="17"/>
      <c r="CE1142" s="17"/>
    </row>
    <row r="1143" spans="1:83" x14ac:dyDescent="0.25">
      <c r="A1143" s="31"/>
      <c r="B1143" s="30"/>
      <c r="C1143" s="30"/>
      <c r="BW1143" s="17"/>
      <c r="BX1143" s="17"/>
      <c r="BY1143" s="17"/>
      <c r="BZ1143" s="17"/>
      <c r="CA1143" s="17"/>
      <c r="CB1143" s="17"/>
      <c r="CC1143" s="17"/>
      <c r="CD1143" s="17"/>
      <c r="CE1143" s="17"/>
    </row>
    <row r="1144" spans="1:83" x14ac:dyDescent="0.25">
      <c r="A1144" s="31"/>
      <c r="B1144" s="30"/>
      <c r="C1144" s="30"/>
      <c r="BW1144" s="17"/>
      <c r="BX1144" s="17"/>
      <c r="BY1144" s="17"/>
      <c r="BZ1144" s="17"/>
      <c r="CA1144" s="17"/>
      <c r="CB1144" s="17"/>
      <c r="CC1144" s="17"/>
      <c r="CD1144" s="17"/>
      <c r="CE1144" s="17"/>
    </row>
    <row r="1145" spans="1:83" x14ac:dyDescent="0.25">
      <c r="A1145" s="31"/>
      <c r="B1145" s="30"/>
      <c r="C1145" s="30"/>
      <c r="BW1145" s="17"/>
      <c r="BX1145" s="17"/>
      <c r="BY1145" s="17"/>
      <c r="BZ1145" s="17"/>
      <c r="CA1145" s="17"/>
      <c r="CB1145" s="17"/>
      <c r="CC1145" s="17"/>
      <c r="CD1145" s="17"/>
      <c r="CE1145" s="17"/>
    </row>
    <row r="1146" spans="1:83" x14ac:dyDescent="0.25">
      <c r="A1146" s="31"/>
      <c r="B1146" s="30"/>
      <c r="C1146" s="30"/>
      <c r="BW1146" s="17"/>
      <c r="BX1146" s="17"/>
      <c r="BY1146" s="17"/>
      <c r="BZ1146" s="17"/>
      <c r="CA1146" s="17"/>
      <c r="CB1146" s="17"/>
      <c r="CC1146" s="17"/>
      <c r="CD1146" s="17"/>
      <c r="CE1146" s="17"/>
    </row>
    <row r="1147" spans="1:83" x14ac:dyDescent="0.25">
      <c r="A1147" s="31"/>
      <c r="B1147" s="30"/>
      <c r="C1147" s="30"/>
      <c r="BW1147" s="17"/>
      <c r="BX1147" s="17"/>
      <c r="BY1147" s="17"/>
      <c r="BZ1147" s="17"/>
      <c r="CA1147" s="17"/>
      <c r="CB1147" s="17"/>
      <c r="CC1147" s="17"/>
      <c r="CD1147" s="17"/>
      <c r="CE1147" s="17"/>
    </row>
    <row r="1148" spans="1:83" x14ac:dyDescent="0.25">
      <c r="A1148" s="31"/>
      <c r="B1148" s="30"/>
      <c r="C1148" s="30"/>
      <c r="BW1148" s="17"/>
      <c r="BX1148" s="17"/>
      <c r="BY1148" s="17"/>
      <c r="BZ1148" s="17"/>
      <c r="CA1148" s="17"/>
      <c r="CB1148" s="17"/>
      <c r="CC1148" s="17"/>
      <c r="CD1148" s="17"/>
      <c r="CE1148" s="17"/>
    </row>
    <row r="1149" spans="1:83" x14ac:dyDescent="0.25">
      <c r="A1149" s="31"/>
      <c r="B1149" s="30"/>
      <c r="C1149" s="30"/>
      <c r="BW1149" s="17"/>
      <c r="BX1149" s="17"/>
      <c r="BY1149" s="17"/>
      <c r="BZ1149" s="17"/>
      <c r="CA1149" s="17"/>
      <c r="CB1149" s="17"/>
      <c r="CC1149" s="17"/>
      <c r="CD1149" s="17"/>
      <c r="CE1149" s="17"/>
    </row>
    <row r="1150" spans="1:83" x14ac:dyDescent="0.25">
      <c r="A1150" s="31"/>
      <c r="B1150" s="30"/>
      <c r="C1150" s="30"/>
      <c r="BW1150" s="17"/>
      <c r="BX1150" s="17"/>
      <c r="BY1150" s="17"/>
      <c r="BZ1150" s="17"/>
      <c r="CA1150" s="17"/>
      <c r="CB1150" s="17"/>
      <c r="CC1150" s="17"/>
      <c r="CD1150" s="17"/>
      <c r="CE1150" s="17"/>
    </row>
    <row r="1151" spans="1:83" x14ac:dyDescent="0.25">
      <c r="A1151" s="31"/>
      <c r="B1151" s="30"/>
      <c r="C1151" s="30"/>
      <c r="BW1151" s="17"/>
      <c r="BX1151" s="17"/>
      <c r="BY1151" s="17"/>
      <c r="BZ1151" s="17"/>
      <c r="CA1151" s="17"/>
      <c r="CB1151" s="17"/>
      <c r="CC1151" s="17"/>
      <c r="CD1151" s="17"/>
      <c r="CE1151" s="17"/>
    </row>
    <row r="1152" spans="1:83" x14ac:dyDescent="0.25">
      <c r="A1152" s="31"/>
      <c r="B1152" s="30"/>
      <c r="C1152" s="30"/>
      <c r="BW1152" s="17"/>
      <c r="BX1152" s="17"/>
      <c r="BY1152" s="17"/>
      <c r="BZ1152" s="17"/>
      <c r="CA1152" s="17"/>
      <c r="CB1152" s="17"/>
      <c r="CC1152" s="17"/>
      <c r="CD1152" s="17"/>
      <c r="CE1152" s="17"/>
    </row>
    <row r="1153" spans="1:83" x14ac:dyDescent="0.25">
      <c r="A1153" s="31"/>
      <c r="B1153" s="30"/>
      <c r="C1153" s="30"/>
      <c r="BW1153" s="17"/>
      <c r="BX1153" s="17"/>
      <c r="BY1153" s="17"/>
      <c r="BZ1153" s="17"/>
      <c r="CA1153" s="17"/>
      <c r="CB1153" s="17"/>
      <c r="CC1153" s="17"/>
      <c r="CD1153" s="17"/>
      <c r="CE1153" s="17"/>
    </row>
    <row r="1154" spans="1:83" x14ac:dyDescent="0.25">
      <c r="A1154" s="31"/>
      <c r="B1154" s="30"/>
      <c r="C1154" s="30"/>
      <c r="BW1154" s="17"/>
      <c r="BX1154" s="17"/>
      <c r="BY1154" s="17"/>
      <c r="BZ1154" s="17"/>
      <c r="CA1154" s="17"/>
      <c r="CB1154" s="17"/>
      <c r="CC1154" s="17"/>
      <c r="CD1154" s="17"/>
      <c r="CE1154" s="17"/>
    </row>
    <row r="1155" spans="1:83" x14ac:dyDescent="0.25">
      <c r="A1155" s="31"/>
      <c r="B1155" s="30"/>
      <c r="C1155" s="30"/>
      <c r="BW1155" s="17"/>
      <c r="BX1155" s="17"/>
      <c r="BY1155" s="17"/>
      <c r="BZ1155" s="17"/>
      <c r="CA1155" s="17"/>
      <c r="CB1155" s="17"/>
      <c r="CC1155" s="17"/>
      <c r="CD1155" s="17"/>
      <c r="CE1155" s="17"/>
    </row>
    <row r="1156" spans="1:83" x14ac:dyDescent="0.25">
      <c r="A1156" s="31"/>
      <c r="B1156" s="30"/>
      <c r="C1156" s="30"/>
      <c r="BW1156" s="17"/>
      <c r="BX1156" s="17"/>
      <c r="BY1156" s="17"/>
      <c r="BZ1156" s="17"/>
      <c r="CA1156" s="17"/>
      <c r="CB1156" s="17"/>
      <c r="CC1156" s="17"/>
      <c r="CD1156" s="17"/>
      <c r="CE1156" s="17"/>
    </row>
    <row r="1157" spans="1:83" x14ac:dyDescent="0.25">
      <c r="A1157" s="31"/>
      <c r="B1157" s="30"/>
      <c r="C1157" s="30"/>
      <c r="BW1157" s="17"/>
      <c r="BX1157" s="17"/>
      <c r="BY1157" s="17"/>
      <c r="BZ1157" s="17"/>
      <c r="CA1157" s="17"/>
      <c r="CB1157" s="17"/>
      <c r="CC1157" s="17"/>
      <c r="CD1157" s="17"/>
      <c r="CE1157" s="17"/>
    </row>
    <row r="1158" spans="1:83" x14ac:dyDescent="0.25">
      <c r="A1158" s="31"/>
      <c r="B1158" s="30"/>
      <c r="C1158" s="30"/>
      <c r="BW1158" s="17"/>
      <c r="BX1158" s="17"/>
      <c r="BY1158" s="17"/>
      <c r="BZ1158" s="17"/>
      <c r="CA1158" s="17"/>
      <c r="CB1158" s="17"/>
      <c r="CC1158" s="17"/>
      <c r="CD1158" s="17"/>
      <c r="CE1158" s="17"/>
    </row>
    <row r="1159" spans="1:83" x14ac:dyDescent="0.25">
      <c r="A1159" s="31"/>
      <c r="B1159" s="30"/>
      <c r="C1159" s="30"/>
      <c r="BW1159" s="17"/>
      <c r="BX1159" s="17"/>
      <c r="BY1159" s="17"/>
      <c r="BZ1159" s="17"/>
      <c r="CA1159" s="17"/>
      <c r="CB1159" s="17"/>
      <c r="CC1159" s="17"/>
      <c r="CD1159" s="17"/>
      <c r="CE1159" s="17"/>
    </row>
    <row r="1160" spans="1:83" x14ac:dyDescent="0.25">
      <c r="A1160" s="31"/>
      <c r="B1160" s="30"/>
      <c r="C1160" s="30"/>
      <c r="BW1160" s="17"/>
      <c r="BX1160" s="17"/>
      <c r="BY1160" s="17"/>
      <c r="BZ1160" s="17"/>
      <c r="CA1160" s="17"/>
      <c r="CB1160" s="17"/>
      <c r="CC1160" s="17"/>
      <c r="CD1160" s="17"/>
      <c r="CE1160" s="17"/>
    </row>
    <row r="1161" spans="1:83" x14ac:dyDescent="0.25">
      <c r="A1161" s="31"/>
      <c r="B1161" s="30"/>
      <c r="C1161" s="30"/>
      <c r="BW1161" s="17"/>
      <c r="BX1161" s="17"/>
      <c r="BY1161" s="17"/>
      <c r="BZ1161" s="17"/>
      <c r="CA1161" s="17"/>
      <c r="CB1161" s="17"/>
      <c r="CC1161" s="17"/>
      <c r="CD1161" s="17"/>
      <c r="CE1161" s="17"/>
    </row>
    <row r="1162" spans="1:83" x14ac:dyDescent="0.25">
      <c r="A1162" s="31"/>
      <c r="B1162" s="30"/>
      <c r="C1162" s="30"/>
      <c r="BW1162" s="17"/>
      <c r="BX1162" s="17"/>
      <c r="BY1162" s="17"/>
      <c r="BZ1162" s="17"/>
      <c r="CA1162" s="17"/>
      <c r="CB1162" s="17"/>
      <c r="CC1162" s="17"/>
      <c r="CD1162" s="17"/>
      <c r="CE1162" s="17"/>
    </row>
    <row r="1163" spans="1:83" x14ac:dyDescent="0.25">
      <c r="A1163" s="31"/>
      <c r="B1163" s="30"/>
      <c r="C1163" s="30"/>
      <c r="BW1163" s="17"/>
      <c r="BX1163" s="17"/>
      <c r="BY1163" s="17"/>
      <c r="BZ1163" s="17"/>
      <c r="CA1163" s="17"/>
      <c r="CB1163" s="17"/>
      <c r="CC1163" s="17"/>
      <c r="CD1163" s="17"/>
      <c r="CE1163" s="17"/>
    </row>
    <row r="1164" spans="1:83" x14ac:dyDescent="0.25">
      <c r="A1164" s="31"/>
      <c r="B1164" s="30"/>
      <c r="C1164" s="30"/>
      <c r="BW1164" s="17"/>
      <c r="BX1164" s="17"/>
      <c r="BY1164" s="17"/>
      <c r="BZ1164" s="17"/>
      <c r="CA1164" s="17"/>
      <c r="CB1164" s="17"/>
      <c r="CC1164" s="17"/>
      <c r="CD1164" s="17"/>
      <c r="CE1164" s="17"/>
    </row>
    <row r="1165" spans="1:83" x14ac:dyDescent="0.25">
      <c r="A1165" s="31"/>
      <c r="B1165" s="30"/>
      <c r="C1165" s="30"/>
      <c r="BW1165" s="17"/>
      <c r="BX1165" s="17"/>
      <c r="BY1165" s="17"/>
      <c r="BZ1165" s="17"/>
      <c r="CA1165" s="17"/>
      <c r="CB1165" s="17"/>
      <c r="CC1165" s="17"/>
      <c r="CD1165" s="17"/>
      <c r="CE1165" s="17"/>
    </row>
    <row r="1166" spans="1:83" x14ac:dyDescent="0.25">
      <c r="A1166" s="31"/>
      <c r="B1166" s="30"/>
      <c r="C1166" s="30"/>
      <c r="BW1166" s="17"/>
      <c r="BX1166" s="17"/>
      <c r="BY1166" s="17"/>
      <c r="BZ1166" s="17"/>
      <c r="CA1166" s="17"/>
      <c r="CB1166" s="17"/>
      <c r="CC1166" s="17"/>
      <c r="CD1166" s="17"/>
      <c r="CE1166" s="17"/>
    </row>
    <row r="1167" spans="1:83" x14ac:dyDescent="0.25">
      <c r="A1167" s="31"/>
      <c r="B1167" s="30"/>
      <c r="C1167" s="30"/>
      <c r="BW1167" s="17"/>
      <c r="BX1167" s="17"/>
      <c r="BY1167" s="17"/>
      <c r="BZ1167" s="17"/>
      <c r="CA1167" s="17"/>
      <c r="CB1167" s="17"/>
      <c r="CC1167" s="17"/>
      <c r="CD1167" s="17"/>
      <c r="CE1167" s="17"/>
    </row>
    <row r="1168" spans="1:83" x14ac:dyDescent="0.25">
      <c r="A1168" s="31"/>
      <c r="B1168" s="30"/>
      <c r="C1168" s="30"/>
      <c r="BW1168" s="17"/>
      <c r="BX1168" s="17"/>
      <c r="BY1168" s="17"/>
      <c r="BZ1168" s="17"/>
      <c r="CA1168" s="17"/>
      <c r="CB1168" s="17"/>
      <c r="CC1168" s="17"/>
      <c r="CD1168" s="17"/>
      <c r="CE1168" s="17"/>
    </row>
    <row r="1169" spans="1:83" x14ac:dyDescent="0.25">
      <c r="A1169" s="31"/>
      <c r="B1169" s="30"/>
      <c r="C1169" s="30"/>
      <c r="BW1169" s="17"/>
      <c r="BX1169" s="17"/>
      <c r="BY1169" s="17"/>
      <c r="BZ1169" s="17"/>
      <c r="CA1169" s="17"/>
      <c r="CB1169" s="17"/>
      <c r="CC1169" s="17"/>
      <c r="CD1169" s="17"/>
      <c r="CE1169" s="17"/>
    </row>
    <row r="1170" spans="1:83" x14ac:dyDescent="0.25">
      <c r="A1170" s="31"/>
      <c r="B1170" s="30"/>
      <c r="C1170" s="30"/>
      <c r="BW1170" s="17"/>
      <c r="BX1170" s="17"/>
      <c r="BY1170" s="17"/>
      <c r="BZ1170" s="17"/>
      <c r="CA1170" s="17"/>
      <c r="CB1170" s="17"/>
      <c r="CC1170" s="17"/>
      <c r="CD1170" s="17"/>
      <c r="CE1170" s="17"/>
    </row>
    <row r="1171" spans="1:83" x14ac:dyDescent="0.25">
      <c r="A1171" s="31"/>
      <c r="B1171" s="30"/>
      <c r="C1171" s="30"/>
      <c r="BW1171" s="17"/>
      <c r="BX1171" s="17"/>
      <c r="BY1171" s="17"/>
      <c r="BZ1171" s="17"/>
      <c r="CA1171" s="17"/>
      <c r="CB1171" s="17"/>
      <c r="CC1171" s="17"/>
      <c r="CD1171" s="17"/>
      <c r="CE1171" s="17"/>
    </row>
    <row r="1172" spans="1:83" x14ac:dyDescent="0.25">
      <c r="A1172" s="31"/>
      <c r="B1172" s="30"/>
      <c r="C1172" s="30"/>
      <c r="BW1172" s="17"/>
      <c r="BX1172" s="17"/>
      <c r="BY1172" s="17"/>
      <c r="BZ1172" s="17"/>
      <c r="CA1172" s="17"/>
      <c r="CB1172" s="17"/>
      <c r="CC1172" s="17"/>
      <c r="CD1172" s="17"/>
      <c r="CE1172" s="17"/>
    </row>
    <row r="1173" spans="1:83" x14ac:dyDescent="0.25">
      <c r="A1173" s="31"/>
      <c r="B1173" s="30"/>
      <c r="C1173" s="30"/>
      <c r="BW1173" s="17"/>
      <c r="BX1173" s="17"/>
      <c r="BY1173" s="17"/>
      <c r="BZ1173" s="17"/>
      <c r="CA1173" s="17"/>
      <c r="CB1173" s="17"/>
      <c r="CC1173" s="17"/>
      <c r="CD1173" s="17"/>
      <c r="CE1173" s="17"/>
    </row>
    <row r="1174" spans="1:83" x14ac:dyDescent="0.25">
      <c r="A1174" s="31"/>
      <c r="B1174" s="30"/>
      <c r="C1174" s="30"/>
      <c r="BW1174" s="17"/>
      <c r="BX1174" s="17"/>
      <c r="BY1174" s="17"/>
      <c r="BZ1174" s="17"/>
      <c r="CA1174" s="17"/>
      <c r="CB1174" s="17"/>
      <c r="CC1174" s="17"/>
      <c r="CD1174" s="17"/>
      <c r="CE1174" s="17"/>
    </row>
    <row r="1175" spans="1:83" x14ac:dyDescent="0.25">
      <c r="A1175" s="31"/>
      <c r="B1175" s="30"/>
      <c r="C1175" s="30"/>
      <c r="BW1175" s="17"/>
      <c r="BX1175" s="17"/>
      <c r="BY1175" s="17"/>
      <c r="BZ1175" s="17"/>
      <c r="CA1175" s="17"/>
      <c r="CB1175" s="17"/>
      <c r="CC1175" s="17"/>
      <c r="CD1175" s="17"/>
      <c r="CE1175" s="17"/>
    </row>
    <row r="1176" spans="1:83" x14ac:dyDescent="0.25">
      <c r="A1176" s="31"/>
      <c r="B1176" s="30"/>
      <c r="C1176" s="30"/>
      <c r="BW1176" s="17"/>
      <c r="BX1176" s="17"/>
      <c r="BY1176" s="17"/>
      <c r="BZ1176" s="17"/>
      <c r="CA1176" s="17"/>
      <c r="CB1176" s="17"/>
      <c r="CC1176" s="17"/>
      <c r="CD1176" s="17"/>
      <c r="CE1176" s="17"/>
    </row>
    <row r="1177" spans="1:83" x14ac:dyDescent="0.25">
      <c r="A1177" s="31"/>
      <c r="B1177" s="30"/>
      <c r="C1177" s="30"/>
      <c r="BW1177" s="17"/>
      <c r="BX1177" s="17"/>
      <c r="BY1177" s="17"/>
      <c r="BZ1177" s="17"/>
      <c r="CA1177" s="17"/>
      <c r="CB1177" s="17"/>
      <c r="CC1177" s="17"/>
      <c r="CD1177" s="17"/>
      <c r="CE1177" s="17"/>
    </row>
    <row r="1178" spans="1:83" x14ac:dyDescent="0.25">
      <c r="A1178" s="31"/>
      <c r="B1178" s="30"/>
      <c r="C1178" s="30"/>
      <c r="BW1178" s="17"/>
      <c r="BX1178" s="17"/>
      <c r="BY1178" s="17"/>
      <c r="BZ1178" s="17"/>
      <c r="CA1178" s="17"/>
      <c r="CB1178" s="17"/>
      <c r="CC1178" s="17"/>
      <c r="CD1178" s="17"/>
      <c r="CE1178" s="17"/>
    </row>
    <row r="1179" spans="1:83" x14ac:dyDescent="0.25">
      <c r="A1179" s="31"/>
      <c r="B1179" s="30"/>
      <c r="C1179" s="30"/>
      <c r="BW1179" s="17"/>
      <c r="BX1179" s="17"/>
      <c r="BY1179" s="17"/>
      <c r="BZ1179" s="17"/>
      <c r="CA1179" s="17"/>
      <c r="CB1179" s="17"/>
      <c r="CC1179" s="17"/>
      <c r="CD1179" s="17"/>
      <c r="CE1179" s="17"/>
    </row>
    <row r="1180" spans="1:83" x14ac:dyDescent="0.25">
      <c r="A1180" s="31"/>
      <c r="B1180" s="30"/>
      <c r="C1180" s="30"/>
      <c r="BW1180" s="17"/>
      <c r="BX1180" s="17"/>
      <c r="BY1180" s="17"/>
      <c r="BZ1180" s="17"/>
      <c r="CA1180" s="17"/>
      <c r="CB1180" s="17"/>
      <c r="CC1180" s="17"/>
      <c r="CD1180" s="17"/>
      <c r="CE1180" s="17"/>
    </row>
    <row r="1181" spans="1:83" x14ac:dyDescent="0.25">
      <c r="A1181" s="31"/>
      <c r="B1181" s="30"/>
      <c r="C1181" s="30"/>
      <c r="BW1181" s="17"/>
      <c r="BX1181" s="17"/>
      <c r="BY1181" s="17"/>
      <c r="BZ1181" s="17"/>
      <c r="CA1181" s="17"/>
      <c r="CB1181" s="17"/>
      <c r="CC1181" s="17"/>
      <c r="CD1181" s="17"/>
      <c r="CE1181" s="17"/>
    </row>
    <row r="1182" spans="1:83" x14ac:dyDescent="0.25">
      <c r="A1182" s="31"/>
      <c r="B1182" s="30"/>
      <c r="C1182" s="30"/>
      <c r="BW1182" s="17"/>
      <c r="BX1182" s="17"/>
      <c r="BY1182" s="17"/>
      <c r="BZ1182" s="17"/>
      <c r="CA1182" s="17"/>
      <c r="CB1182" s="17"/>
      <c r="CC1182" s="17"/>
      <c r="CD1182" s="17"/>
      <c r="CE1182" s="17"/>
    </row>
    <row r="1183" spans="1:83" x14ac:dyDescent="0.25">
      <c r="A1183" s="31"/>
      <c r="B1183" s="30"/>
      <c r="C1183" s="30"/>
      <c r="BW1183" s="17"/>
      <c r="BX1183" s="17"/>
      <c r="BY1183" s="17"/>
      <c r="BZ1183" s="17"/>
      <c r="CA1183" s="17"/>
      <c r="CB1183" s="17"/>
      <c r="CC1183" s="17"/>
      <c r="CD1183" s="17"/>
      <c r="CE1183" s="17"/>
    </row>
    <row r="1184" spans="1:83" x14ac:dyDescent="0.25">
      <c r="A1184" s="31"/>
      <c r="B1184" s="30"/>
      <c r="C1184" s="30"/>
      <c r="BW1184" s="17"/>
      <c r="BX1184" s="17"/>
      <c r="BY1184" s="17"/>
      <c r="BZ1184" s="17"/>
      <c r="CA1184" s="17"/>
      <c r="CB1184" s="17"/>
      <c r="CC1184" s="17"/>
      <c r="CD1184" s="17"/>
      <c r="CE1184" s="17"/>
    </row>
    <row r="1185" spans="1:83" x14ac:dyDescent="0.25">
      <c r="A1185" s="31"/>
      <c r="B1185" s="30"/>
      <c r="C1185" s="30"/>
      <c r="BW1185" s="17"/>
      <c r="BX1185" s="17"/>
      <c r="BY1185" s="17"/>
      <c r="BZ1185" s="17"/>
      <c r="CA1185" s="17"/>
      <c r="CB1185" s="17"/>
      <c r="CC1185" s="17"/>
      <c r="CD1185" s="17"/>
      <c r="CE1185" s="17"/>
    </row>
    <row r="1186" spans="1:83" x14ac:dyDescent="0.25">
      <c r="A1186" s="31"/>
      <c r="B1186" s="30"/>
      <c r="C1186" s="30"/>
      <c r="BW1186" s="17"/>
      <c r="BX1186" s="17"/>
      <c r="BY1186" s="17"/>
      <c r="BZ1186" s="17"/>
      <c r="CA1186" s="17"/>
      <c r="CB1186" s="17"/>
      <c r="CC1186" s="17"/>
      <c r="CD1186" s="17"/>
      <c r="CE1186" s="17"/>
    </row>
    <row r="1187" spans="1:83" x14ac:dyDescent="0.25">
      <c r="A1187" s="31"/>
      <c r="B1187" s="30"/>
      <c r="C1187" s="30"/>
      <c r="BW1187" s="17"/>
      <c r="BX1187" s="17"/>
      <c r="BY1187" s="17"/>
      <c r="BZ1187" s="17"/>
      <c r="CA1187" s="17"/>
      <c r="CB1187" s="17"/>
      <c r="CC1187" s="17"/>
      <c r="CD1187" s="17"/>
      <c r="CE1187" s="17"/>
    </row>
    <row r="1188" spans="1:83" x14ac:dyDescent="0.25">
      <c r="A1188" s="31"/>
      <c r="B1188" s="30"/>
      <c r="C1188" s="30"/>
      <c r="BW1188" s="17"/>
      <c r="BX1188" s="17"/>
      <c r="BY1188" s="17"/>
      <c r="BZ1188" s="17"/>
      <c r="CA1188" s="17"/>
      <c r="CB1188" s="17"/>
      <c r="CC1188" s="17"/>
      <c r="CD1188" s="17"/>
      <c r="CE1188" s="17"/>
    </row>
    <row r="1189" spans="1:83" x14ac:dyDescent="0.25">
      <c r="A1189" s="31"/>
      <c r="B1189" s="30"/>
      <c r="C1189" s="30"/>
      <c r="BW1189" s="17"/>
      <c r="BX1189" s="17"/>
      <c r="BY1189" s="17"/>
      <c r="BZ1189" s="17"/>
      <c r="CA1189" s="17"/>
      <c r="CB1189" s="17"/>
      <c r="CC1189" s="17"/>
      <c r="CD1189" s="17"/>
      <c r="CE1189" s="17"/>
    </row>
    <row r="1190" spans="1:83" x14ac:dyDescent="0.25">
      <c r="A1190" s="31"/>
      <c r="B1190" s="30"/>
      <c r="C1190" s="30"/>
      <c r="BW1190" s="17"/>
      <c r="BX1190" s="17"/>
      <c r="BY1190" s="17"/>
      <c r="BZ1190" s="17"/>
      <c r="CA1190" s="17"/>
      <c r="CB1190" s="17"/>
      <c r="CC1190" s="17"/>
      <c r="CD1190" s="17"/>
      <c r="CE1190" s="17"/>
    </row>
    <row r="1191" spans="1:83" x14ac:dyDescent="0.25">
      <c r="A1191" s="31"/>
      <c r="B1191" s="30"/>
      <c r="C1191" s="30"/>
      <c r="BW1191" s="17"/>
      <c r="BX1191" s="17"/>
      <c r="BY1191" s="17"/>
      <c r="BZ1191" s="17"/>
      <c r="CA1191" s="17"/>
      <c r="CB1191" s="17"/>
      <c r="CC1191" s="17"/>
      <c r="CD1191" s="17"/>
      <c r="CE1191" s="17"/>
    </row>
    <row r="1192" spans="1:83" x14ac:dyDescent="0.25">
      <c r="A1192" s="31"/>
      <c r="B1192" s="30"/>
      <c r="C1192" s="30"/>
      <c r="BW1192" s="17"/>
      <c r="BX1192" s="17"/>
      <c r="BY1192" s="17"/>
      <c r="BZ1192" s="17"/>
      <c r="CA1192" s="17"/>
      <c r="CB1192" s="17"/>
      <c r="CC1192" s="17"/>
      <c r="CD1192" s="17"/>
      <c r="CE1192" s="17"/>
    </row>
    <row r="1193" spans="1:83" x14ac:dyDescent="0.25">
      <c r="A1193" s="31"/>
      <c r="B1193" s="30"/>
      <c r="C1193" s="30"/>
      <c r="BW1193" s="17"/>
      <c r="BX1193" s="17"/>
      <c r="BY1193" s="17"/>
      <c r="BZ1193" s="17"/>
      <c r="CA1193" s="17"/>
      <c r="CB1193" s="17"/>
      <c r="CC1193" s="17"/>
      <c r="CD1193" s="17"/>
      <c r="CE1193" s="17"/>
    </row>
    <row r="1194" spans="1:83" x14ac:dyDescent="0.25">
      <c r="A1194" s="31"/>
      <c r="B1194" s="30"/>
      <c r="C1194" s="30"/>
      <c r="BW1194" s="17"/>
      <c r="BX1194" s="17"/>
      <c r="BY1194" s="17"/>
      <c r="BZ1194" s="17"/>
      <c r="CA1194" s="17"/>
      <c r="CB1194" s="17"/>
      <c r="CC1194" s="17"/>
      <c r="CD1194" s="17"/>
      <c r="CE1194" s="17"/>
    </row>
    <row r="1195" spans="1:83" x14ac:dyDescent="0.25">
      <c r="A1195" s="31"/>
      <c r="B1195" s="30"/>
      <c r="C1195" s="30"/>
      <c r="BW1195" s="17"/>
      <c r="BX1195" s="17"/>
      <c r="BY1195" s="17"/>
      <c r="BZ1195" s="17"/>
      <c r="CA1195" s="17"/>
      <c r="CB1195" s="17"/>
      <c r="CC1195" s="17"/>
      <c r="CD1195" s="17"/>
      <c r="CE1195" s="17"/>
    </row>
    <row r="1196" spans="1:83" x14ac:dyDescent="0.25">
      <c r="A1196" s="31"/>
      <c r="B1196" s="30"/>
      <c r="C1196" s="30"/>
      <c r="BW1196" s="17"/>
      <c r="BX1196" s="17"/>
      <c r="BY1196" s="17"/>
      <c r="BZ1196" s="17"/>
      <c r="CA1196" s="17"/>
      <c r="CB1196" s="17"/>
      <c r="CC1196" s="17"/>
      <c r="CD1196" s="17"/>
      <c r="CE1196" s="17"/>
    </row>
    <row r="1197" spans="1:83" x14ac:dyDescent="0.25">
      <c r="A1197" s="31"/>
      <c r="B1197" s="30"/>
      <c r="C1197" s="30"/>
      <c r="BW1197" s="17"/>
      <c r="BX1197" s="17"/>
      <c r="BY1197" s="17"/>
      <c r="BZ1197" s="17"/>
      <c r="CA1197" s="17"/>
      <c r="CB1197" s="17"/>
      <c r="CC1197" s="17"/>
      <c r="CD1197" s="17"/>
      <c r="CE1197" s="17"/>
    </row>
    <row r="1198" spans="1:83" x14ac:dyDescent="0.25">
      <c r="A1198" s="31"/>
      <c r="B1198" s="30"/>
      <c r="C1198" s="30"/>
      <c r="BW1198" s="17"/>
      <c r="BX1198" s="17"/>
      <c r="BY1198" s="17"/>
      <c r="BZ1198" s="17"/>
      <c r="CA1198" s="17"/>
      <c r="CB1198" s="17"/>
      <c r="CC1198" s="17"/>
      <c r="CD1198" s="17"/>
      <c r="CE1198" s="17"/>
    </row>
    <row r="1199" spans="1:83" x14ac:dyDescent="0.25">
      <c r="A1199" s="31"/>
      <c r="B1199" s="30"/>
      <c r="C1199" s="30"/>
      <c r="BW1199" s="17"/>
      <c r="BX1199" s="17"/>
      <c r="BY1199" s="17"/>
      <c r="BZ1199" s="17"/>
      <c r="CA1199" s="17"/>
      <c r="CB1199" s="17"/>
      <c r="CC1199" s="17"/>
      <c r="CD1199" s="17"/>
      <c r="CE1199" s="17"/>
    </row>
    <row r="1200" spans="1:83" x14ac:dyDescent="0.25">
      <c r="A1200" s="31"/>
      <c r="B1200" s="30"/>
      <c r="C1200" s="30"/>
      <c r="BW1200" s="17"/>
      <c r="BX1200" s="17"/>
      <c r="BY1200" s="17"/>
      <c r="BZ1200" s="17"/>
      <c r="CA1200" s="17"/>
      <c r="CB1200" s="17"/>
      <c r="CC1200" s="17"/>
      <c r="CD1200" s="17"/>
      <c r="CE1200" s="17"/>
    </row>
    <row r="1201" spans="1:83" x14ac:dyDescent="0.25">
      <c r="A1201" s="31"/>
      <c r="B1201" s="30"/>
      <c r="C1201" s="30"/>
      <c r="BW1201" s="17"/>
      <c r="BX1201" s="17"/>
      <c r="BY1201" s="17"/>
      <c r="BZ1201" s="17"/>
      <c r="CA1201" s="17"/>
      <c r="CB1201" s="17"/>
      <c r="CC1201" s="17"/>
      <c r="CD1201" s="17"/>
      <c r="CE1201" s="17"/>
    </row>
    <row r="1202" spans="1:83" x14ac:dyDescent="0.25">
      <c r="A1202" s="31"/>
      <c r="B1202" s="30"/>
      <c r="C1202" s="30"/>
      <c r="BW1202" s="17"/>
      <c r="BX1202" s="17"/>
      <c r="BY1202" s="17"/>
      <c r="BZ1202" s="17"/>
      <c r="CA1202" s="17"/>
      <c r="CB1202" s="17"/>
      <c r="CC1202" s="17"/>
      <c r="CD1202" s="17"/>
      <c r="CE1202" s="17"/>
    </row>
    <row r="1203" spans="1:83" x14ac:dyDescent="0.25">
      <c r="A1203" s="31"/>
      <c r="B1203" s="30"/>
      <c r="C1203" s="30"/>
      <c r="BW1203" s="17"/>
      <c r="BX1203" s="17"/>
      <c r="BY1203" s="17"/>
      <c r="BZ1203" s="17"/>
      <c r="CA1203" s="17"/>
      <c r="CB1203" s="17"/>
      <c r="CC1203" s="17"/>
      <c r="CD1203" s="17"/>
      <c r="CE1203" s="17"/>
    </row>
    <row r="1204" spans="1:83" x14ac:dyDescent="0.25">
      <c r="A1204" s="31"/>
      <c r="B1204" s="30"/>
      <c r="C1204" s="30"/>
      <c r="BW1204" s="17"/>
      <c r="BX1204" s="17"/>
      <c r="BY1204" s="17"/>
      <c r="BZ1204" s="17"/>
      <c r="CA1204" s="17"/>
      <c r="CB1204" s="17"/>
      <c r="CC1204" s="17"/>
      <c r="CD1204" s="17"/>
      <c r="CE1204" s="17"/>
    </row>
    <row r="1205" spans="1:83" x14ac:dyDescent="0.25">
      <c r="A1205" s="31"/>
      <c r="B1205" s="30"/>
      <c r="C1205" s="30"/>
      <c r="BW1205" s="17"/>
      <c r="BX1205" s="17"/>
      <c r="BY1205" s="17"/>
      <c r="BZ1205" s="17"/>
      <c r="CA1205" s="17"/>
      <c r="CB1205" s="17"/>
      <c r="CC1205" s="17"/>
      <c r="CD1205" s="17"/>
      <c r="CE1205" s="17"/>
    </row>
    <row r="1206" spans="1:83" x14ac:dyDescent="0.25">
      <c r="A1206" s="31"/>
      <c r="B1206" s="30"/>
      <c r="C1206" s="30"/>
      <c r="BW1206" s="17"/>
      <c r="BX1206" s="17"/>
      <c r="BY1206" s="17"/>
      <c r="BZ1206" s="17"/>
      <c r="CA1206" s="17"/>
      <c r="CB1206" s="17"/>
      <c r="CC1206" s="17"/>
      <c r="CD1206" s="17"/>
      <c r="CE1206" s="17"/>
    </row>
    <row r="1207" spans="1:83" x14ac:dyDescent="0.25">
      <c r="A1207" s="31"/>
      <c r="B1207" s="30"/>
      <c r="C1207" s="30"/>
      <c r="BW1207" s="17"/>
      <c r="BX1207" s="17"/>
      <c r="BY1207" s="17"/>
      <c r="BZ1207" s="17"/>
      <c r="CA1207" s="17"/>
      <c r="CB1207" s="17"/>
      <c r="CC1207" s="17"/>
      <c r="CD1207" s="17"/>
      <c r="CE1207" s="17"/>
    </row>
    <row r="1208" spans="1:83" x14ac:dyDescent="0.25">
      <c r="A1208" s="31"/>
      <c r="B1208" s="30"/>
      <c r="C1208" s="30"/>
      <c r="BW1208" s="17"/>
      <c r="BX1208" s="17"/>
      <c r="BY1208" s="17"/>
      <c r="BZ1208" s="17"/>
      <c r="CA1208" s="17"/>
      <c r="CB1208" s="17"/>
      <c r="CC1208" s="17"/>
      <c r="CD1208" s="17"/>
      <c r="CE1208" s="17"/>
    </row>
    <row r="1209" spans="1:83" x14ac:dyDescent="0.25">
      <c r="A1209" s="31"/>
      <c r="B1209" s="30"/>
      <c r="C1209" s="30"/>
      <c r="BW1209" s="17"/>
      <c r="BX1209" s="17"/>
      <c r="BY1209" s="17"/>
      <c r="BZ1209" s="17"/>
      <c r="CA1209" s="17"/>
      <c r="CB1209" s="17"/>
      <c r="CC1209" s="17"/>
      <c r="CD1209" s="17"/>
      <c r="CE1209" s="17"/>
    </row>
    <row r="1210" spans="1:83" x14ac:dyDescent="0.25">
      <c r="A1210" s="31"/>
      <c r="B1210" s="30"/>
      <c r="C1210" s="30"/>
      <c r="BW1210" s="17"/>
      <c r="BX1210" s="17"/>
      <c r="BY1210" s="17"/>
      <c r="BZ1210" s="17"/>
      <c r="CA1210" s="17"/>
      <c r="CB1210" s="17"/>
      <c r="CC1210" s="17"/>
      <c r="CD1210" s="17"/>
      <c r="CE1210" s="17"/>
    </row>
    <row r="1211" spans="1:83" x14ac:dyDescent="0.25">
      <c r="A1211" s="31"/>
      <c r="B1211" s="30"/>
      <c r="C1211" s="30"/>
      <c r="BW1211" s="17"/>
      <c r="BX1211" s="17"/>
      <c r="BY1211" s="17"/>
      <c r="BZ1211" s="17"/>
      <c r="CA1211" s="17"/>
      <c r="CB1211" s="17"/>
      <c r="CC1211" s="17"/>
      <c r="CD1211" s="17"/>
      <c r="CE1211" s="17"/>
    </row>
    <row r="1212" spans="1:83" x14ac:dyDescent="0.25">
      <c r="A1212" s="31"/>
      <c r="B1212" s="30"/>
      <c r="C1212" s="30"/>
      <c r="BW1212" s="17"/>
      <c r="BX1212" s="17"/>
      <c r="BY1212" s="17"/>
      <c r="BZ1212" s="17"/>
      <c r="CA1212" s="17"/>
      <c r="CB1212" s="17"/>
      <c r="CC1212" s="17"/>
      <c r="CD1212" s="17"/>
      <c r="CE1212" s="17"/>
    </row>
    <row r="1213" spans="1:83" x14ac:dyDescent="0.25">
      <c r="A1213" s="31"/>
      <c r="B1213" s="30"/>
      <c r="C1213" s="30"/>
      <c r="BW1213" s="17"/>
      <c r="BX1213" s="17"/>
      <c r="BY1213" s="17"/>
      <c r="BZ1213" s="17"/>
      <c r="CA1213" s="17"/>
      <c r="CB1213" s="17"/>
      <c r="CC1213" s="17"/>
      <c r="CD1213" s="17"/>
      <c r="CE1213" s="17"/>
    </row>
    <row r="1214" spans="1:83" x14ac:dyDescent="0.25">
      <c r="A1214" s="31"/>
      <c r="B1214" s="30"/>
      <c r="C1214" s="30"/>
      <c r="BW1214" s="17"/>
      <c r="BX1214" s="17"/>
      <c r="BY1214" s="17"/>
      <c r="BZ1214" s="17"/>
      <c r="CA1214" s="17"/>
      <c r="CB1214" s="17"/>
      <c r="CC1214" s="17"/>
      <c r="CD1214" s="17"/>
      <c r="CE1214" s="17"/>
    </row>
    <row r="1215" spans="1:83" x14ac:dyDescent="0.25">
      <c r="A1215" s="31"/>
      <c r="B1215" s="30"/>
      <c r="C1215" s="30"/>
      <c r="BW1215" s="17"/>
      <c r="BX1215" s="17"/>
      <c r="BY1215" s="17"/>
      <c r="BZ1215" s="17"/>
      <c r="CA1215" s="17"/>
      <c r="CB1215" s="17"/>
      <c r="CC1215" s="17"/>
      <c r="CD1215" s="17"/>
      <c r="CE1215" s="17"/>
    </row>
    <row r="1216" spans="1:83" x14ac:dyDescent="0.25">
      <c r="A1216" s="31"/>
      <c r="B1216" s="30"/>
      <c r="C1216" s="30"/>
      <c r="BW1216" s="17"/>
      <c r="BX1216" s="17"/>
      <c r="BY1216" s="17"/>
      <c r="BZ1216" s="17"/>
      <c r="CA1216" s="17"/>
      <c r="CB1216" s="17"/>
      <c r="CC1216" s="17"/>
      <c r="CD1216" s="17"/>
      <c r="CE1216" s="17"/>
    </row>
    <row r="1217" spans="1:83" x14ac:dyDescent="0.25">
      <c r="A1217" s="31"/>
      <c r="B1217" s="30"/>
      <c r="C1217" s="30"/>
      <c r="BW1217" s="17"/>
      <c r="BX1217" s="17"/>
      <c r="BY1217" s="17"/>
      <c r="BZ1217" s="17"/>
      <c r="CA1217" s="17"/>
      <c r="CB1217" s="17"/>
      <c r="CC1217" s="17"/>
      <c r="CD1217" s="17"/>
      <c r="CE1217" s="17"/>
    </row>
    <row r="1218" spans="1:83" x14ac:dyDescent="0.25">
      <c r="A1218" s="31"/>
      <c r="B1218" s="30"/>
      <c r="C1218" s="30"/>
      <c r="BW1218" s="17"/>
      <c r="BX1218" s="17"/>
      <c r="BY1218" s="17"/>
      <c r="BZ1218" s="17"/>
      <c r="CA1218" s="17"/>
      <c r="CB1218" s="17"/>
      <c r="CC1218" s="17"/>
      <c r="CD1218" s="17"/>
      <c r="CE1218" s="17"/>
    </row>
    <row r="1219" spans="1:83" x14ac:dyDescent="0.25">
      <c r="A1219" s="31"/>
      <c r="B1219" s="30"/>
      <c r="C1219" s="30"/>
      <c r="BW1219" s="17"/>
      <c r="BX1219" s="17"/>
      <c r="BY1219" s="17"/>
      <c r="BZ1219" s="17"/>
      <c r="CA1219" s="17"/>
      <c r="CB1219" s="17"/>
      <c r="CC1219" s="17"/>
      <c r="CD1219" s="17"/>
      <c r="CE1219" s="17"/>
    </row>
    <row r="1220" spans="1:83" x14ac:dyDescent="0.25">
      <c r="A1220" s="31"/>
      <c r="B1220" s="30"/>
      <c r="C1220" s="30"/>
      <c r="BW1220" s="17"/>
      <c r="BX1220" s="17"/>
      <c r="BY1220" s="17"/>
      <c r="BZ1220" s="17"/>
      <c r="CA1220" s="17"/>
      <c r="CB1220" s="17"/>
      <c r="CC1220" s="17"/>
      <c r="CD1220" s="17"/>
      <c r="CE1220" s="17"/>
    </row>
    <row r="1221" spans="1:83" x14ac:dyDescent="0.25">
      <c r="A1221" s="31"/>
      <c r="B1221" s="30"/>
      <c r="C1221" s="30"/>
      <c r="BW1221" s="17"/>
      <c r="BX1221" s="17"/>
      <c r="BY1221" s="17"/>
      <c r="BZ1221" s="17"/>
      <c r="CA1221" s="17"/>
      <c r="CB1221" s="17"/>
      <c r="CC1221" s="17"/>
      <c r="CD1221" s="17"/>
      <c r="CE1221" s="17"/>
    </row>
    <row r="1222" spans="1:83" x14ac:dyDescent="0.25">
      <c r="A1222" s="31"/>
      <c r="B1222" s="30"/>
      <c r="C1222" s="30"/>
      <c r="BW1222" s="17"/>
      <c r="BX1222" s="17"/>
      <c r="BY1222" s="17"/>
      <c r="BZ1222" s="17"/>
      <c r="CA1222" s="17"/>
      <c r="CB1222" s="17"/>
      <c r="CC1222" s="17"/>
      <c r="CD1222" s="17"/>
      <c r="CE1222" s="17"/>
    </row>
    <row r="1223" spans="1:83" x14ac:dyDescent="0.25">
      <c r="A1223" s="31"/>
      <c r="B1223" s="30"/>
      <c r="C1223" s="30"/>
      <c r="BW1223" s="17"/>
      <c r="BX1223" s="17"/>
      <c r="BY1223" s="17"/>
      <c r="BZ1223" s="17"/>
      <c r="CA1223" s="17"/>
      <c r="CB1223" s="17"/>
      <c r="CC1223" s="17"/>
      <c r="CD1223" s="17"/>
      <c r="CE1223" s="17"/>
    </row>
    <row r="1224" spans="1:83" x14ac:dyDescent="0.25">
      <c r="A1224" s="31"/>
      <c r="B1224" s="30"/>
      <c r="C1224" s="30"/>
      <c r="BW1224" s="17"/>
      <c r="BX1224" s="17"/>
      <c r="BY1224" s="17"/>
      <c r="BZ1224" s="17"/>
      <c r="CA1224" s="17"/>
      <c r="CB1224" s="17"/>
      <c r="CC1224" s="17"/>
      <c r="CD1224" s="17"/>
      <c r="CE1224" s="17"/>
    </row>
    <row r="1225" spans="1:83" x14ac:dyDescent="0.25">
      <c r="A1225" s="31"/>
      <c r="B1225" s="30"/>
      <c r="C1225" s="30"/>
      <c r="BW1225" s="17"/>
      <c r="BX1225" s="17"/>
      <c r="BY1225" s="17"/>
      <c r="BZ1225" s="17"/>
      <c r="CA1225" s="17"/>
      <c r="CB1225" s="17"/>
      <c r="CC1225" s="17"/>
      <c r="CD1225" s="17"/>
      <c r="CE1225" s="17"/>
    </row>
    <row r="1226" spans="1:83" x14ac:dyDescent="0.25">
      <c r="A1226" s="31"/>
      <c r="B1226" s="30"/>
      <c r="C1226" s="30"/>
      <c r="BW1226" s="17"/>
      <c r="BX1226" s="17"/>
      <c r="BY1226" s="17"/>
      <c r="BZ1226" s="17"/>
      <c r="CA1226" s="17"/>
      <c r="CB1226" s="17"/>
      <c r="CC1226" s="17"/>
      <c r="CD1226" s="17"/>
      <c r="CE1226" s="17"/>
    </row>
    <row r="1227" spans="1:83" x14ac:dyDescent="0.25">
      <c r="A1227" s="31"/>
      <c r="B1227" s="30"/>
      <c r="C1227" s="30"/>
      <c r="BW1227" s="17"/>
      <c r="BX1227" s="17"/>
      <c r="BY1227" s="17"/>
      <c r="BZ1227" s="17"/>
      <c r="CA1227" s="17"/>
      <c r="CB1227" s="17"/>
      <c r="CC1227" s="17"/>
      <c r="CD1227" s="17"/>
      <c r="CE1227" s="17"/>
    </row>
    <row r="1228" spans="1:83" x14ac:dyDescent="0.25">
      <c r="A1228" s="31"/>
      <c r="B1228" s="30"/>
      <c r="C1228" s="30"/>
      <c r="BW1228" s="17"/>
      <c r="BX1228" s="17"/>
      <c r="BY1228" s="17"/>
      <c r="BZ1228" s="17"/>
      <c r="CA1228" s="17"/>
      <c r="CB1228" s="17"/>
      <c r="CC1228" s="17"/>
      <c r="CD1228" s="17"/>
      <c r="CE1228" s="17"/>
    </row>
    <row r="1229" spans="1:83" x14ac:dyDescent="0.25">
      <c r="A1229" s="31"/>
      <c r="B1229" s="30"/>
      <c r="C1229" s="30"/>
      <c r="BW1229" s="17"/>
      <c r="BX1229" s="17"/>
      <c r="BY1229" s="17"/>
      <c r="BZ1229" s="17"/>
      <c r="CA1229" s="17"/>
      <c r="CB1229" s="17"/>
      <c r="CC1229" s="17"/>
      <c r="CD1229" s="17"/>
      <c r="CE1229" s="17"/>
    </row>
    <row r="1230" spans="1:83" x14ac:dyDescent="0.25">
      <c r="A1230" s="31"/>
      <c r="B1230" s="30"/>
      <c r="C1230" s="30"/>
      <c r="BW1230" s="17"/>
      <c r="BX1230" s="17"/>
      <c r="BY1230" s="17"/>
      <c r="BZ1230" s="17"/>
      <c r="CA1230" s="17"/>
      <c r="CB1230" s="17"/>
      <c r="CC1230" s="17"/>
      <c r="CD1230" s="17"/>
      <c r="CE1230" s="17"/>
    </row>
    <row r="1231" spans="1:83" x14ac:dyDescent="0.25">
      <c r="A1231" s="31"/>
      <c r="B1231" s="30"/>
      <c r="C1231" s="30"/>
      <c r="BW1231" s="17"/>
      <c r="BX1231" s="17"/>
      <c r="BY1231" s="17"/>
      <c r="BZ1231" s="17"/>
      <c r="CA1231" s="17"/>
      <c r="CB1231" s="17"/>
      <c r="CC1231" s="17"/>
      <c r="CD1231" s="17"/>
      <c r="CE1231" s="17"/>
    </row>
    <row r="1232" spans="1:83" x14ac:dyDescent="0.25">
      <c r="A1232" s="31"/>
      <c r="B1232" s="30"/>
      <c r="C1232" s="30"/>
      <c r="BW1232" s="17"/>
      <c r="BX1232" s="17"/>
      <c r="BY1232" s="17"/>
      <c r="BZ1232" s="17"/>
      <c r="CA1232" s="17"/>
      <c r="CB1232" s="17"/>
      <c r="CC1232" s="17"/>
      <c r="CD1232" s="17"/>
      <c r="CE1232" s="17"/>
    </row>
    <row r="1233" spans="1:83" x14ac:dyDescent="0.25">
      <c r="A1233" s="31"/>
      <c r="B1233" s="30"/>
      <c r="C1233" s="30"/>
      <c r="BW1233" s="17"/>
      <c r="BX1233" s="17"/>
      <c r="BY1233" s="17"/>
      <c r="BZ1233" s="17"/>
      <c r="CA1233" s="17"/>
      <c r="CB1233" s="17"/>
      <c r="CC1233" s="17"/>
      <c r="CD1233" s="17"/>
      <c r="CE1233" s="17"/>
    </row>
    <row r="1234" spans="1:83" x14ac:dyDescent="0.25">
      <c r="A1234" s="31"/>
      <c r="B1234" s="30"/>
      <c r="C1234" s="30"/>
      <c r="BW1234" s="17"/>
      <c r="BX1234" s="17"/>
      <c r="BY1234" s="17"/>
      <c r="BZ1234" s="17"/>
      <c r="CA1234" s="17"/>
      <c r="CB1234" s="17"/>
      <c r="CC1234" s="17"/>
      <c r="CD1234" s="17"/>
      <c r="CE1234" s="17"/>
    </row>
    <row r="1235" spans="1:83" x14ac:dyDescent="0.25">
      <c r="A1235" s="31"/>
      <c r="B1235" s="30"/>
      <c r="C1235" s="30"/>
      <c r="BW1235" s="17"/>
      <c r="BX1235" s="17"/>
      <c r="BY1235" s="17"/>
      <c r="BZ1235" s="17"/>
      <c r="CA1235" s="17"/>
      <c r="CB1235" s="17"/>
      <c r="CC1235" s="17"/>
      <c r="CD1235" s="17"/>
      <c r="CE1235" s="17"/>
    </row>
    <row r="1236" spans="1:83" x14ac:dyDescent="0.25">
      <c r="A1236" s="31"/>
      <c r="B1236" s="30"/>
      <c r="C1236" s="30"/>
      <c r="BW1236" s="17"/>
      <c r="BX1236" s="17"/>
      <c r="BY1236" s="17"/>
      <c r="BZ1236" s="17"/>
      <c r="CA1236" s="17"/>
      <c r="CB1236" s="17"/>
      <c r="CC1236" s="17"/>
      <c r="CD1236" s="17"/>
      <c r="CE1236" s="17"/>
    </row>
    <row r="1237" spans="1:83" x14ac:dyDescent="0.25">
      <c r="A1237" s="31"/>
      <c r="B1237" s="30"/>
      <c r="C1237" s="30"/>
      <c r="BW1237" s="17"/>
      <c r="BX1237" s="17"/>
      <c r="BY1237" s="17"/>
      <c r="BZ1237" s="17"/>
      <c r="CA1237" s="17"/>
      <c r="CB1237" s="17"/>
      <c r="CC1237" s="17"/>
      <c r="CD1237" s="17"/>
      <c r="CE1237" s="17"/>
    </row>
    <row r="1238" spans="1:83" x14ac:dyDescent="0.25">
      <c r="A1238" s="31"/>
      <c r="B1238" s="30"/>
      <c r="C1238" s="30"/>
      <c r="BW1238" s="17"/>
      <c r="BX1238" s="17"/>
      <c r="BY1238" s="17"/>
      <c r="BZ1238" s="17"/>
      <c r="CA1238" s="17"/>
      <c r="CB1238" s="17"/>
      <c r="CC1238" s="17"/>
      <c r="CD1238" s="17"/>
      <c r="CE1238" s="17"/>
    </row>
    <row r="1239" spans="1:83" x14ac:dyDescent="0.25">
      <c r="A1239" s="31"/>
      <c r="B1239" s="30"/>
      <c r="C1239" s="30"/>
      <c r="BW1239" s="17"/>
      <c r="BX1239" s="17"/>
      <c r="BY1239" s="17"/>
      <c r="BZ1239" s="17"/>
      <c r="CA1239" s="17"/>
      <c r="CB1239" s="17"/>
      <c r="CC1239" s="17"/>
      <c r="CD1239" s="17"/>
      <c r="CE1239" s="17"/>
    </row>
    <row r="1240" spans="1:83" x14ac:dyDescent="0.25">
      <c r="A1240" s="31"/>
      <c r="B1240" s="30"/>
      <c r="C1240" s="30"/>
      <c r="BW1240" s="17"/>
      <c r="BX1240" s="17"/>
      <c r="BY1240" s="17"/>
      <c r="BZ1240" s="17"/>
      <c r="CA1240" s="17"/>
      <c r="CB1240" s="17"/>
      <c r="CC1240" s="17"/>
      <c r="CD1240" s="17"/>
      <c r="CE1240" s="17"/>
    </row>
    <row r="1241" spans="1:83" x14ac:dyDescent="0.25">
      <c r="A1241" s="31"/>
      <c r="B1241" s="30"/>
      <c r="C1241" s="30"/>
      <c r="BW1241" s="17"/>
      <c r="BX1241" s="17"/>
      <c r="BY1241" s="17"/>
      <c r="BZ1241" s="17"/>
      <c r="CA1241" s="17"/>
      <c r="CB1241" s="17"/>
      <c r="CC1241" s="17"/>
      <c r="CD1241" s="17"/>
      <c r="CE1241" s="17"/>
    </row>
    <row r="1242" spans="1:83" x14ac:dyDescent="0.25">
      <c r="A1242" s="31"/>
      <c r="B1242" s="30"/>
      <c r="C1242" s="30"/>
      <c r="BW1242" s="17"/>
      <c r="BX1242" s="17"/>
      <c r="BY1242" s="17"/>
      <c r="BZ1242" s="17"/>
      <c r="CA1242" s="17"/>
      <c r="CB1242" s="17"/>
      <c r="CC1242" s="17"/>
      <c r="CD1242" s="17"/>
      <c r="CE1242" s="17"/>
    </row>
    <row r="1243" spans="1:83" x14ac:dyDescent="0.25">
      <c r="A1243" s="31"/>
      <c r="B1243" s="30"/>
      <c r="C1243" s="30"/>
      <c r="BW1243" s="17"/>
      <c r="BX1243" s="17"/>
      <c r="BY1243" s="17"/>
      <c r="BZ1243" s="17"/>
      <c r="CA1243" s="17"/>
      <c r="CB1243" s="17"/>
      <c r="CC1243" s="17"/>
      <c r="CD1243" s="17"/>
      <c r="CE1243" s="17"/>
    </row>
    <row r="1244" spans="1:83" x14ac:dyDescent="0.25">
      <c r="A1244" s="31"/>
      <c r="B1244" s="30"/>
      <c r="C1244" s="30"/>
      <c r="BW1244" s="17"/>
      <c r="BX1244" s="17"/>
      <c r="BY1244" s="17"/>
      <c r="BZ1244" s="17"/>
      <c r="CA1244" s="17"/>
      <c r="CB1244" s="17"/>
      <c r="CC1244" s="17"/>
      <c r="CD1244" s="17"/>
      <c r="CE1244" s="17"/>
    </row>
    <row r="1245" spans="1:83" x14ac:dyDescent="0.25">
      <c r="A1245" s="31"/>
      <c r="B1245" s="30"/>
      <c r="C1245" s="30"/>
      <c r="BW1245" s="17"/>
      <c r="BX1245" s="17"/>
      <c r="BY1245" s="17"/>
      <c r="BZ1245" s="17"/>
      <c r="CA1245" s="17"/>
      <c r="CB1245" s="17"/>
      <c r="CC1245" s="17"/>
      <c r="CD1245" s="17"/>
      <c r="CE1245" s="17"/>
    </row>
    <row r="1246" spans="1:83" x14ac:dyDescent="0.25">
      <c r="A1246" s="31"/>
      <c r="B1246" s="30"/>
      <c r="C1246" s="30"/>
      <c r="BW1246" s="17"/>
      <c r="BX1246" s="17"/>
      <c r="BY1246" s="17"/>
      <c r="BZ1246" s="17"/>
      <c r="CA1246" s="17"/>
      <c r="CB1246" s="17"/>
      <c r="CC1246" s="17"/>
      <c r="CD1246" s="17"/>
      <c r="CE1246" s="17"/>
    </row>
    <row r="1247" spans="1:83" x14ac:dyDescent="0.25">
      <c r="A1247" s="31"/>
      <c r="B1247" s="30"/>
      <c r="C1247" s="30"/>
      <c r="BW1247" s="17"/>
      <c r="BX1247" s="17"/>
      <c r="BY1247" s="17"/>
      <c r="BZ1247" s="17"/>
      <c r="CA1247" s="17"/>
      <c r="CB1247" s="17"/>
      <c r="CC1247" s="17"/>
      <c r="CD1247" s="17"/>
      <c r="CE1247" s="17"/>
    </row>
    <row r="1248" spans="1:83" x14ac:dyDescent="0.25">
      <c r="A1248" s="31"/>
      <c r="B1248" s="30"/>
      <c r="C1248" s="30"/>
      <c r="BW1248" s="17"/>
      <c r="BX1248" s="17"/>
      <c r="BY1248" s="17"/>
      <c r="BZ1248" s="17"/>
      <c r="CA1248" s="17"/>
      <c r="CB1248" s="17"/>
      <c r="CC1248" s="17"/>
      <c r="CD1248" s="17"/>
      <c r="CE1248" s="17"/>
    </row>
    <row r="1249" spans="1:83" x14ac:dyDescent="0.25">
      <c r="A1249" s="31"/>
      <c r="B1249" s="30"/>
      <c r="C1249" s="30"/>
      <c r="BW1249" s="17"/>
      <c r="BX1249" s="17"/>
      <c r="BY1249" s="17"/>
      <c r="BZ1249" s="17"/>
      <c r="CA1249" s="17"/>
      <c r="CB1249" s="17"/>
      <c r="CC1249" s="17"/>
      <c r="CD1249" s="17"/>
      <c r="CE1249" s="17"/>
    </row>
    <row r="1250" spans="1:83" x14ac:dyDescent="0.25">
      <c r="A1250" s="31"/>
      <c r="B1250" s="30"/>
      <c r="C1250" s="30"/>
      <c r="BW1250" s="17"/>
      <c r="BX1250" s="17"/>
      <c r="BY1250" s="17"/>
      <c r="BZ1250" s="17"/>
      <c r="CA1250" s="17"/>
      <c r="CB1250" s="17"/>
      <c r="CC1250" s="17"/>
      <c r="CD1250" s="17"/>
      <c r="CE1250" s="17"/>
    </row>
    <row r="1251" spans="1:83" x14ac:dyDescent="0.25">
      <c r="A1251" s="31"/>
      <c r="B1251" s="30"/>
      <c r="C1251" s="30"/>
      <c r="BW1251" s="17"/>
      <c r="BX1251" s="17"/>
      <c r="BY1251" s="17"/>
      <c r="BZ1251" s="17"/>
      <c r="CA1251" s="17"/>
      <c r="CB1251" s="17"/>
      <c r="CC1251" s="17"/>
      <c r="CD1251" s="17"/>
      <c r="CE1251" s="17"/>
    </row>
    <row r="1252" spans="1:83" x14ac:dyDescent="0.25">
      <c r="A1252" s="31"/>
      <c r="B1252" s="30"/>
      <c r="C1252" s="30"/>
      <c r="BW1252" s="17"/>
      <c r="BX1252" s="17"/>
      <c r="BY1252" s="17"/>
      <c r="BZ1252" s="17"/>
      <c r="CA1252" s="17"/>
      <c r="CB1252" s="17"/>
      <c r="CC1252" s="17"/>
      <c r="CD1252" s="17"/>
      <c r="CE1252" s="17"/>
    </row>
    <row r="1253" spans="1:83" x14ac:dyDescent="0.25">
      <c r="A1253" s="31"/>
      <c r="B1253" s="30"/>
      <c r="C1253" s="30"/>
      <c r="BW1253" s="17"/>
      <c r="BX1253" s="17"/>
      <c r="BY1253" s="17"/>
      <c r="BZ1253" s="17"/>
      <c r="CA1253" s="17"/>
      <c r="CB1253" s="17"/>
      <c r="CC1253" s="17"/>
      <c r="CD1253" s="17"/>
      <c r="CE1253" s="17"/>
    </row>
    <row r="1254" spans="1:83" x14ac:dyDescent="0.25">
      <c r="A1254" s="31"/>
      <c r="B1254" s="30"/>
      <c r="C1254" s="30"/>
      <c r="BW1254" s="17"/>
      <c r="BX1254" s="17"/>
      <c r="BY1254" s="17"/>
      <c r="BZ1254" s="17"/>
      <c r="CA1254" s="17"/>
      <c r="CB1254" s="17"/>
      <c r="CC1254" s="17"/>
      <c r="CD1254" s="17"/>
      <c r="CE1254" s="17"/>
    </row>
    <row r="1255" spans="1:83" x14ac:dyDescent="0.25">
      <c r="A1255" s="31"/>
      <c r="B1255" s="30"/>
      <c r="C1255" s="30"/>
      <c r="BW1255" s="17"/>
      <c r="BX1255" s="17"/>
      <c r="BY1255" s="17"/>
      <c r="BZ1255" s="17"/>
      <c r="CA1255" s="17"/>
      <c r="CB1255" s="17"/>
      <c r="CC1255" s="17"/>
      <c r="CD1255" s="17"/>
      <c r="CE1255" s="17"/>
    </row>
    <row r="1256" spans="1:83" x14ac:dyDescent="0.25">
      <c r="A1256" s="31"/>
      <c r="B1256" s="30"/>
      <c r="C1256" s="30"/>
      <c r="BW1256" s="17"/>
      <c r="BX1256" s="17"/>
      <c r="BY1256" s="17"/>
      <c r="BZ1256" s="17"/>
      <c r="CA1256" s="17"/>
      <c r="CB1256" s="17"/>
      <c r="CC1256" s="17"/>
      <c r="CD1256" s="17"/>
      <c r="CE1256" s="17"/>
    </row>
    <row r="1257" spans="1:83" x14ac:dyDescent="0.25">
      <c r="A1257" s="31"/>
      <c r="B1257" s="30"/>
      <c r="C1257" s="30"/>
      <c r="BW1257" s="17"/>
      <c r="BX1257" s="17"/>
      <c r="BY1257" s="17"/>
      <c r="BZ1257" s="17"/>
      <c r="CA1257" s="17"/>
      <c r="CB1257" s="17"/>
      <c r="CC1257" s="17"/>
      <c r="CD1257" s="17"/>
      <c r="CE1257" s="17"/>
    </row>
    <row r="1258" spans="1:83" x14ac:dyDescent="0.25">
      <c r="A1258" s="31"/>
      <c r="B1258" s="30"/>
      <c r="C1258" s="30"/>
      <c r="BW1258" s="17"/>
      <c r="BX1258" s="17"/>
      <c r="BY1258" s="17"/>
      <c r="BZ1258" s="17"/>
      <c r="CA1258" s="17"/>
      <c r="CB1258" s="17"/>
      <c r="CC1258" s="17"/>
      <c r="CD1258" s="17"/>
      <c r="CE1258" s="17"/>
    </row>
    <row r="1259" spans="1:83" x14ac:dyDescent="0.25">
      <c r="A1259" s="31"/>
      <c r="B1259" s="30"/>
      <c r="C1259" s="30"/>
      <c r="BW1259" s="17"/>
      <c r="BX1259" s="17"/>
      <c r="BY1259" s="17"/>
      <c r="BZ1259" s="17"/>
      <c r="CA1259" s="17"/>
      <c r="CB1259" s="17"/>
      <c r="CC1259" s="17"/>
      <c r="CD1259" s="17"/>
      <c r="CE1259" s="17"/>
    </row>
    <row r="1260" spans="1:83" x14ac:dyDescent="0.25">
      <c r="A1260" s="31"/>
      <c r="B1260" s="30"/>
      <c r="C1260" s="30"/>
      <c r="BW1260" s="17"/>
      <c r="BX1260" s="17"/>
      <c r="BY1260" s="17"/>
      <c r="BZ1260" s="17"/>
      <c r="CA1260" s="17"/>
      <c r="CB1260" s="17"/>
      <c r="CC1260" s="17"/>
      <c r="CD1260" s="17"/>
      <c r="CE1260" s="17"/>
    </row>
    <row r="1261" spans="1:83" x14ac:dyDescent="0.25">
      <c r="A1261" s="31"/>
      <c r="B1261" s="30"/>
      <c r="C1261" s="30"/>
      <c r="BW1261" s="17"/>
      <c r="BX1261" s="17"/>
      <c r="BY1261" s="17"/>
      <c r="BZ1261" s="17"/>
      <c r="CA1261" s="17"/>
      <c r="CB1261" s="17"/>
      <c r="CC1261" s="17"/>
      <c r="CD1261" s="17"/>
      <c r="CE1261" s="17"/>
    </row>
    <row r="1262" spans="1:83" x14ac:dyDescent="0.25">
      <c r="A1262" s="31"/>
      <c r="B1262" s="30"/>
      <c r="C1262" s="30"/>
      <c r="BW1262" s="17"/>
      <c r="BX1262" s="17"/>
      <c r="BY1262" s="17"/>
      <c r="BZ1262" s="17"/>
      <c r="CA1262" s="17"/>
      <c r="CB1262" s="17"/>
      <c r="CC1262" s="17"/>
      <c r="CD1262" s="17"/>
      <c r="CE1262" s="17"/>
    </row>
    <row r="1263" spans="1:83" x14ac:dyDescent="0.25">
      <c r="A1263" s="31"/>
      <c r="B1263" s="30"/>
      <c r="C1263" s="30"/>
      <c r="BW1263" s="17"/>
      <c r="BX1263" s="17"/>
      <c r="BY1263" s="17"/>
      <c r="BZ1263" s="17"/>
      <c r="CA1263" s="17"/>
      <c r="CB1263" s="17"/>
      <c r="CC1263" s="17"/>
      <c r="CD1263" s="17"/>
      <c r="CE1263" s="17"/>
    </row>
    <row r="1264" spans="1:83" x14ac:dyDescent="0.25">
      <c r="A1264" s="31"/>
      <c r="B1264" s="30"/>
      <c r="C1264" s="30"/>
      <c r="BW1264" s="17"/>
      <c r="BX1264" s="17"/>
      <c r="BY1264" s="17"/>
      <c r="BZ1264" s="17"/>
      <c r="CA1264" s="17"/>
      <c r="CB1264" s="17"/>
      <c r="CC1264" s="17"/>
      <c r="CD1264" s="17"/>
      <c r="CE1264" s="17"/>
    </row>
    <row r="1265" spans="1:83" x14ac:dyDescent="0.25">
      <c r="A1265" s="31"/>
      <c r="B1265" s="30"/>
      <c r="C1265" s="30"/>
      <c r="BW1265" s="17"/>
      <c r="BX1265" s="17"/>
      <c r="BY1265" s="17"/>
      <c r="BZ1265" s="17"/>
      <c r="CA1265" s="17"/>
      <c r="CB1265" s="17"/>
      <c r="CC1265" s="17"/>
      <c r="CD1265" s="17"/>
      <c r="CE1265" s="17"/>
    </row>
    <row r="1266" spans="1:83" x14ac:dyDescent="0.25">
      <c r="A1266" s="31"/>
      <c r="B1266" s="30"/>
      <c r="C1266" s="30"/>
      <c r="BW1266" s="17"/>
      <c r="BX1266" s="17"/>
      <c r="BY1266" s="17"/>
      <c r="BZ1266" s="17"/>
      <c r="CA1266" s="17"/>
      <c r="CB1266" s="17"/>
      <c r="CC1266" s="17"/>
      <c r="CD1266" s="17"/>
      <c r="CE1266" s="17"/>
    </row>
    <row r="1267" spans="1:83" x14ac:dyDescent="0.25">
      <c r="A1267" s="31"/>
      <c r="B1267" s="30"/>
      <c r="C1267" s="30"/>
      <c r="BW1267" s="17"/>
      <c r="BX1267" s="17"/>
      <c r="BY1267" s="17"/>
      <c r="BZ1267" s="17"/>
      <c r="CA1267" s="17"/>
      <c r="CB1267" s="17"/>
      <c r="CC1267" s="17"/>
      <c r="CD1267" s="17"/>
      <c r="CE1267" s="17"/>
    </row>
    <row r="1268" spans="1:83" x14ac:dyDescent="0.25">
      <c r="A1268" s="31"/>
      <c r="B1268" s="30"/>
      <c r="C1268" s="30"/>
      <c r="BW1268" s="17"/>
      <c r="BX1268" s="17"/>
      <c r="BY1268" s="17"/>
      <c r="BZ1268" s="17"/>
      <c r="CA1268" s="17"/>
      <c r="CB1268" s="17"/>
      <c r="CC1268" s="17"/>
      <c r="CD1268" s="17"/>
      <c r="CE1268" s="17"/>
    </row>
    <row r="1269" spans="1:83" x14ac:dyDescent="0.25">
      <c r="A1269" s="31"/>
      <c r="B1269" s="30"/>
      <c r="C1269" s="30"/>
      <c r="BW1269" s="17"/>
      <c r="BX1269" s="17"/>
      <c r="BY1269" s="17"/>
      <c r="BZ1269" s="17"/>
      <c r="CA1269" s="17"/>
      <c r="CB1269" s="17"/>
      <c r="CC1269" s="17"/>
      <c r="CD1269" s="17"/>
      <c r="CE1269" s="17"/>
    </row>
    <row r="1270" spans="1:83" x14ac:dyDescent="0.25">
      <c r="A1270" s="31"/>
      <c r="B1270" s="30"/>
      <c r="C1270" s="30"/>
      <c r="BW1270" s="17"/>
      <c r="BX1270" s="17"/>
      <c r="BY1270" s="17"/>
      <c r="BZ1270" s="17"/>
      <c r="CA1270" s="17"/>
      <c r="CB1270" s="17"/>
      <c r="CC1270" s="17"/>
      <c r="CD1270" s="17"/>
      <c r="CE1270" s="17"/>
    </row>
    <row r="1271" spans="1:83" x14ac:dyDescent="0.25">
      <c r="A1271" s="31"/>
      <c r="B1271" s="30"/>
      <c r="C1271" s="30"/>
      <c r="BW1271" s="17"/>
      <c r="BX1271" s="17"/>
      <c r="BY1271" s="17"/>
      <c r="BZ1271" s="17"/>
      <c r="CA1271" s="17"/>
      <c r="CB1271" s="17"/>
      <c r="CC1271" s="17"/>
      <c r="CD1271" s="17"/>
      <c r="CE1271" s="17"/>
    </row>
    <row r="1272" spans="1:83" x14ac:dyDescent="0.25">
      <c r="A1272" s="31"/>
      <c r="B1272" s="30"/>
      <c r="C1272" s="30"/>
      <c r="BW1272" s="17"/>
      <c r="BX1272" s="17"/>
      <c r="BY1272" s="17"/>
      <c r="BZ1272" s="17"/>
      <c r="CA1272" s="17"/>
      <c r="CB1272" s="17"/>
      <c r="CC1272" s="17"/>
      <c r="CD1272" s="17"/>
      <c r="CE1272" s="17"/>
    </row>
    <row r="1273" spans="1:83" x14ac:dyDescent="0.25">
      <c r="A1273" s="31"/>
      <c r="B1273" s="30"/>
      <c r="C1273" s="30"/>
      <c r="BW1273" s="17"/>
      <c r="BX1273" s="17"/>
      <c r="BY1273" s="17"/>
      <c r="BZ1273" s="17"/>
      <c r="CA1273" s="17"/>
      <c r="CB1273" s="17"/>
      <c r="CC1273" s="17"/>
      <c r="CD1273" s="17"/>
      <c r="CE1273" s="17"/>
    </row>
    <row r="1274" spans="1:83" x14ac:dyDescent="0.25">
      <c r="A1274" s="31"/>
      <c r="B1274" s="30"/>
      <c r="C1274" s="30"/>
      <c r="BW1274" s="17"/>
      <c r="BX1274" s="17"/>
      <c r="BY1274" s="17"/>
      <c r="BZ1274" s="17"/>
      <c r="CA1274" s="17"/>
      <c r="CB1274" s="17"/>
      <c r="CC1274" s="17"/>
      <c r="CD1274" s="17"/>
      <c r="CE1274" s="17"/>
    </row>
    <row r="1275" spans="1:83" x14ac:dyDescent="0.25">
      <c r="A1275" s="31"/>
      <c r="B1275" s="30"/>
      <c r="C1275" s="30"/>
      <c r="BW1275" s="17"/>
      <c r="BX1275" s="17"/>
      <c r="BY1275" s="17"/>
      <c r="BZ1275" s="17"/>
      <c r="CA1275" s="17"/>
      <c r="CB1275" s="17"/>
      <c r="CC1275" s="17"/>
      <c r="CD1275" s="17"/>
      <c r="CE1275" s="17"/>
    </row>
    <row r="1276" spans="1:83" x14ac:dyDescent="0.25">
      <c r="A1276" s="31"/>
      <c r="B1276" s="30"/>
      <c r="C1276" s="30"/>
      <c r="BW1276" s="17"/>
      <c r="BX1276" s="17"/>
      <c r="BY1276" s="17"/>
      <c r="BZ1276" s="17"/>
      <c r="CA1276" s="17"/>
      <c r="CB1276" s="17"/>
      <c r="CC1276" s="17"/>
      <c r="CD1276" s="17"/>
      <c r="CE1276" s="17"/>
    </row>
    <row r="1277" spans="1:83" x14ac:dyDescent="0.25">
      <c r="A1277" s="31"/>
      <c r="B1277" s="30"/>
      <c r="C1277" s="30"/>
      <c r="BW1277" s="17"/>
      <c r="BX1277" s="17"/>
      <c r="BY1277" s="17"/>
      <c r="BZ1277" s="17"/>
      <c r="CA1277" s="17"/>
      <c r="CB1277" s="17"/>
      <c r="CC1277" s="17"/>
      <c r="CD1277" s="17"/>
      <c r="CE1277" s="17"/>
    </row>
    <row r="1278" spans="1:83" x14ac:dyDescent="0.25">
      <c r="A1278" s="31"/>
      <c r="B1278" s="30"/>
      <c r="C1278" s="30"/>
      <c r="BW1278" s="17"/>
      <c r="BX1278" s="17"/>
      <c r="BY1278" s="17"/>
      <c r="BZ1278" s="17"/>
      <c r="CA1278" s="17"/>
      <c r="CB1278" s="17"/>
      <c r="CC1278" s="17"/>
      <c r="CD1278" s="17"/>
      <c r="CE1278" s="17"/>
    </row>
    <row r="1279" spans="1:83" x14ac:dyDescent="0.25">
      <c r="A1279" s="31"/>
      <c r="B1279" s="30"/>
      <c r="C1279" s="30"/>
      <c r="BW1279" s="17"/>
      <c r="BX1279" s="17"/>
      <c r="BY1279" s="17"/>
      <c r="BZ1279" s="17"/>
      <c r="CA1279" s="17"/>
      <c r="CB1279" s="17"/>
      <c r="CC1279" s="17"/>
      <c r="CD1279" s="17"/>
      <c r="CE1279" s="17"/>
    </row>
    <row r="1280" spans="1:83" x14ac:dyDescent="0.25">
      <c r="A1280" s="31"/>
      <c r="B1280" s="30"/>
      <c r="C1280" s="30"/>
      <c r="BW1280" s="17"/>
      <c r="BX1280" s="17"/>
      <c r="BY1280" s="17"/>
      <c r="BZ1280" s="17"/>
      <c r="CA1280" s="17"/>
      <c r="CB1280" s="17"/>
      <c r="CC1280" s="17"/>
      <c r="CD1280" s="17"/>
      <c r="CE1280" s="17"/>
    </row>
    <row r="1281" spans="1:83" x14ac:dyDescent="0.25">
      <c r="A1281" s="31"/>
      <c r="B1281" s="30"/>
      <c r="C1281" s="30"/>
      <c r="BW1281" s="17"/>
      <c r="BX1281" s="17"/>
      <c r="BY1281" s="17"/>
      <c r="BZ1281" s="17"/>
      <c r="CA1281" s="17"/>
      <c r="CB1281" s="17"/>
      <c r="CC1281" s="17"/>
      <c r="CD1281" s="17"/>
      <c r="CE1281" s="17"/>
    </row>
    <row r="1282" spans="1:83" x14ac:dyDescent="0.25">
      <c r="A1282" s="31"/>
      <c r="B1282" s="30"/>
      <c r="C1282" s="30"/>
      <c r="BW1282" s="17"/>
      <c r="BX1282" s="17"/>
      <c r="BY1282" s="17"/>
      <c r="BZ1282" s="17"/>
      <c r="CA1282" s="17"/>
      <c r="CB1282" s="17"/>
      <c r="CC1282" s="17"/>
      <c r="CD1282" s="17"/>
      <c r="CE1282" s="17"/>
    </row>
    <row r="1283" spans="1:83" x14ac:dyDescent="0.25">
      <c r="A1283" s="31"/>
      <c r="B1283" s="30"/>
      <c r="C1283" s="30"/>
      <c r="BW1283" s="17"/>
      <c r="BX1283" s="17"/>
      <c r="BY1283" s="17"/>
      <c r="BZ1283" s="17"/>
      <c r="CA1283" s="17"/>
      <c r="CB1283" s="17"/>
      <c r="CC1283" s="17"/>
      <c r="CD1283" s="17"/>
      <c r="CE1283" s="17"/>
    </row>
    <row r="1284" spans="1:83" x14ac:dyDescent="0.25">
      <c r="A1284" s="31"/>
      <c r="B1284" s="30"/>
      <c r="C1284" s="30"/>
      <c r="BW1284" s="17"/>
      <c r="BX1284" s="17"/>
      <c r="BY1284" s="17"/>
      <c r="BZ1284" s="17"/>
      <c r="CA1284" s="17"/>
      <c r="CB1284" s="17"/>
      <c r="CC1284" s="17"/>
      <c r="CD1284" s="17"/>
      <c r="CE1284" s="17"/>
    </row>
    <row r="1285" spans="1:83" x14ac:dyDescent="0.25">
      <c r="A1285" s="31"/>
      <c r="B1285" s="30"/>
      <c r="C1285" s="30"/>
      <c r="BW1285" s="17"/>
      <c r="BX1285" s="17"/>
      <c r="BY1285" s="17"/>
      <c r="BZ1285" s="17"/>
      <c r="CA1285" s="17"/>
      <c r="CB1285" s="17"/>
      <c r="CC1285" s="17"/>
      <c r="CD1285" s="17"/>
      <c r="CE1285" s="17"/>
    </row>
    <row r="1286" spans="1:83" x14ac:dyDescent="0.25">
      <c r="A1286" s="31"/>
      <c r="B1286" s="30"/>
      <c r="C1286" s="30"/>
      <c r="BW1286" s="17"/>
      <c r="BX1286" s="17"/>
      <c r="BY1286" s="17"/>
      <c r="BZ1286" s="17"/>
      <c r="CA1286" s="17"/>
      <c r="CB1286" s="17"/>
      <c r="CC1286" s="17"/>
      <c r="CD1286" s="17"/>
      <c r="CE1286" s="17"/>
    </row>
    <row r="1287" spans="1:83" x14ac:dyDescent="0.25">
      <c r="A1287" s="31"/>
      <c r="B1287" s="30"/>
      <c r="C1287" s="30"/>
      <c r="BW1287" s="17"/>
      <c r="BX1287" s="17"/>
      <c r="BY1287" s="17"/>
      <c r="BZ1287" s="17"/>
      <c r="CA1287" s="17"/>
      <c r="CB1287" s="17"/>
      <c r="CC1287" s="17"/>
      <c r="CD1287" s="17"/>
      <c r="CE1287" s="17"/>
    </row>
    <row r="1288" spans="1:83" x14ac:dyDescent="0.25">
      <c r="A1288" s="31"/>
      <c r="B1288" s="30"/>
      <c r="C1288" s="30"/>
      <c r="BW1288" s="17"/>
      <c r="BX1288" s="17"/>
      <c r="BY1288" s="17"/>
      <c r="BZ1288" s="17"/>
      <c r="CA1288" s="17"/>
      <c r="CB1288" s="17"/>
      <c r="CC1288" s="17"/>
      <c r="CD1288" s="17"/>
      <c r="CE1288" s="17"/>
    </row>
    <row r="1289" spans="1:83" x14ac:dyDescent="0.25">
      <c r="A1289" s="31"/>
      <c r="B1289" s="30"/>
      <c r="C1289" s="30"/>
      <c r="BW1289" s="17"/>
      <c r="BX1289" s="17"/>
      <c r="BY1289" s="17"/>
      <c r="BZ1289" s="17"/>
      <c r="CA1289" s="17"/>
      <c r="CB1289" s="17"/>
      <c r="CC1289" s="17"/>
      <c r="CD1289" s="17"/>
      <c r="CE1289" s="17"/>
    </row>
    <row r="1290" spans="1:83" x14ac:dyDescent="0.25">
      <c r="A1290" s="31"/>
      <c r="B1290" s="30"/>
      <c r="C1290" s="30"/>
      <c r="BW1290" s="17"/>
      <c r="BX1290" s="17"/>
      <c r="BY1290" s="17"/>
      <c r="BZ1290" s="17"/>
      <c r="CA1290" s="17"/>
      <c r="CB1290" s="17"/>
      <c r="CC1290" s="17"/>
      <c r="CD1290" s="17"/>
      <c r="CE1290" s="17"/>
    </row>
    <row r="1291" spans="1:83" x14ac:dyDescent="0.25">
      <c r="A1291" s="31"/>
      <c r="B1291" s="30"/>
      <c r="C1291" s="30"/>
      <c r="BW1291" s="17"/>
      <c r="BX1291" s="17"/>
      <c r="BY1291" s="17"/>
      <c r="BZ1291" s="17"/>
      <c r="CA1291" s="17"/>
      <c r="CB1291" s="17"/>
      <c r="CC1291" s="17"/>
      <c r="CD1291" s="17"/>
      <c r="CE1291" s="17"/>
    </row>
    <row r="1292" spans="1:83" x14ac:dyDescent="0.25">
      <c r="A1292" s="31"/>
      <c r="B1292" s="30"/>
      <c r="C1292" s="30"/>
      <c r="BW1292" s="17"/>
      <c r="BX1292" s="17"/>
      <c r="BY1292" s="17"/>
      <c r="BZ1292" s="17"/>
      <c r="CA1292" s="17"/>
      <c r="CB1292" s="17"/>
      <c r="CC1292" s="17"/>
      <c r="CD1292" s="17"/>
      <c r="CE1292" s="17"/>
    </row>
    <row r="1293" spans="1:83" x14ac:dyDescent="0.25">
      <c r="A1293" s="31"/>
      <c r="B1293" s="30"/>
      <c r="C1293" s="30"/>
      <c r="BW1293" s="17"/>
      <c r="BX1293" s="17"/>
      <c r="BY1293" s="17"/>
      <c r="BZ1293" s="17"/>
      <c r="CA1293" s="17"/>
      <c r="CB1293" s="17"/>
      <c r="CC1293" s="17"/>
      <c r="CD1293" s="17"/>
      <c r="CE1293" s="17"/>
    </row>
    <row r="1294" spans="1:83" x14ac:dyDescent="0.25">
      <c r="A1294" s="31"/>
      <c r="B1294" s="30"/>
      <c r="C1294" s="30"/>
      <c r="BW1294" s="17"/>
      <c r="BX1294" s="17"/>
      <c r="BY1294" s="17"/>
      <c r="BZ1294" s="17"/>
      <c r="CA1294" s="17"/>
      <c r="CB1294" s="17"/>
      <c r="CC1294" s="17"/>
      <c r="CD1294" s="17"/>
      <c r="CE1294" s="17"/>
    </row>
    <row r="1295" spans="1:83" x14ac:dyDescent="0.25">
      <c r="A1295" s="31"/>
      <c r="B1295" s="30"/>
      <c r="C1295" s="30"/>
      <c r="BW1295" s="17"/>
      <c r="BX1295" s="17"/>
      <c r="BY1295" s="17"/>
      <c r="BZ1295" s="17"/>
      <c r="CA1295" s="17"/>
      <c r="CB1295" s="17"/>
      <c r="CC1295" s="17"/>
      <c r="CD1295" s="17"/>
      <c r="CE1295" s="17"/>
    </row>
    <row r="1296" spans="1:83" x14ac:dyDescent="0.25">
      <c r="A1296" s="31"/>
      <c r="B1296" s="30"/>
      <c r="C1296" s="30"/>
      <c r="BW1296" s="17"/>
      <c r="BX1296" s="17"/>
      <c r="BY1296" s="17"/>
      <c r="BZ1296" s="17"/>
      <c r="CA1296" s="17"/>
      <c r="CB1296" s="17"/>
      <c r="CC1296" s="17"/>
      <c r="CD1296" s="17"/>
      <c r="CE1296" s="17"/>
    </row>
    <row r="1297" spans="1:83" x14ac:dyDescent="0.25">
      <c r="A1297" s="31"/>
      <c r="B1297" s="30"/>
      <c r="C1297" s="30"/>
      <c r="BW1297" s="17"/>
      <c r="BX1297" s="17"/>
      <c r="BY1297" s="17"/>
      <c r="BZ1297" s="17"/>
      <c r="CA1297" s="17"/>
      <c r="CB1297" s="17"/>
      <c r="CC1297" s="17"/>
      <c r="CD1297" s="17"/>
      <c r="CE1297" s="17"/>
    </row>
    <row r="1298" spans="1:83" x14ac:dyDescent="0.25">
      <c r="A1298" s="31"/>
      <c r="B1298" s="30"/>
      <c r="C1298" s="30"/>
      <c r="BW1298" s="17"/>
      <c r="BX1298" s="17"/>
      <c r="BY1298" s="17"/>
      <c r="BZ1298" s="17"/>
      <c r="CA1298" s="17"/>
      <c r="CB1298" s="17"/>
      <c r="CC1298" s="17"/>
      <c r="CD1298" s="17"/>
      <c r="CE1298" s="17"/>
    </row>
    <row r="1299" spans="1:83" x14ac:dyDescent="0.25">
      <c r="A1299" s="31"/>
      <c r="B1299" s="30"/>
      <c r="C1299" s="30"/>
      <c r="BW1299" s="17"/>
      <c r="BX1299" s="17"/>
      <c r="BY1299" s="17"/>
      <c r="BZ1299" s="17"/>
      <c r="CA1299" s="17"/>
      <c r="CB1299" s="17"/>
      <c r="CC1299" s="17"/>
      <c r="CD1299" s="17"/>
      <c r="CE1299" s="17"/>
    </row>
    <row r="1300" spans="1:83" x14ac:dyDescent="0.25">
      <c r="A1300" s="31"/>
      <c r="B1300" s="30"/>
      <c r="C1300" s="30"/>
      <c r="BW1300" s="17"/>
      <c r="BX1300" s="17"/>
      <c r="BY1300" s="17"/>
      <c r="BZ1300" s="17"/>
      <c r="CA1300" s="17"/>
      <c r="CB1300" s="17"/>
      <c r="CC1300" s="17"/>
      <c r="CD1300" s="17"/>
      <c r="CE1300" s="17"/>
    </row>
    <row r="1301" spans="1:83" x14ac:dyDescent="0.25">
      <c r="A1301" s="31"/>
      <c r="B1301" s="30"/>
      <c r="C1301" s="30"/>
      <c r="BW1301" s="17"/>
      <c r="BX1301" s="17"/>
      <c r="BY1301" s="17"/>
      <c r="BZ1301" s="17"/>
      <c r="CA1301" s="17"/>
      <c r="CB1301" s="17"/>
      <c r="CC1301" s="17"/>
      <c r="CD1301" s="17"/>
      <c r="CE1301" s="17"/>
    </row>
    <row r="1302" spans="1:83" x14ac:dyDescent="0.25">
      <c r="A1302" s="31"/>
      <c r="B1302" s="30"/>
      <c r="C1302" s="30"/>
      <c r="BW1302" s="17"/>
      <c r="BX1302" s="17"/>
      <c r="BY1302" s="17"/>
      <c r="BZ1302" s="17"/>
      <c r="CA1302" s="17"/>
      <c r="CB1302" s="17"/>
      <c r="CC1302" s="17"/>
      <c r="CD1302" s="17"/>
      <c r="CE1302" s="17"/>
    </row>
    <row r="1303" spans="1:83" x14ac:dyDescent="0.25">
      <c r="A1303" s="31"/>
      <c r="B1303" s="30"/>
      <c r="C1303" s="30"/>
      <c r="BW1303" s="17"/>
      <c r="BX1303" s="17"/>
      <c r="BY1303" s="17"/>
      <c r="BZ1303" s="17"/>
      <c r="CA1303" s="17"/>
      <c r="CB1303" s="17"/>
      <c r="CC1303" s="17"/>
      <c r="CD1303" s="17"/>
      <c r="CE1303" s="17"/>
    </row>
    <row r="1304" spans="1:83" x14ac:dyDescent="0.25">
      <c r="A1304" s="31"/>
      <c r="B1304" s="30"/>
      <c r="C1304" s="30"/>
      <c r="BW1304" s="17"/>
      <c r="BX1304" s="17"/>
      <c r="BY1304" s="17"/>
      <c r="BZ1304" s="17"/>
      <c r="CA1304" s="17"/>
      <c r="CB1304" s="17"/>
      <c r="CC1304" s="17"/>
      <c r="CD1304" s="17"/>
      <c r="CE1304" s="17"/>
    </row>
    <row r="1305" spans="1:83" x14ac:dyDescent="0.25">
      <c r="A1305" s="31"/>
      <c r="B1305" s="30"/>
      <c r="C1305" s="30"/>
      <c r="BW1305" s="17"/>
      <c r="BX1305" s="17"/>
      <c r="BY1305" s="17"/>
      <c r="BZ1305" s="17"/>
      <c r="CA1305" s="17"/>
      <c r="CB1305" s="17"/>
      <c r="CC1305" s="17"/>
      <c r="CD1305" s="17"/>
      <c r="CE1305" s="17"/>
    </row>
    <row r="1306" spans="1:83" x14ac:dyDescent="0.25">
      <c r="A1306" s="31"/>
      <c r="B1306" s="30"/>
      <c r="C1306" s="30"/>
      <c r="BW1306" s="17"/>
      <c r="BX1306" s="17"/>
      <c r="BY1306" s="17"/>
      <c r="BZ1306" s="17"/>
      <c r="CA1306" s="17"/>
      <c r="CB1306" s="17"/>
      <c r="CC1306" s="17"/>
      <c r="CD1306" s="17"/>
      <c r="CE1306" s="17"/>
    </row>
    <row r="1307" spans="1:83" x14ac:dyDescent="0.25">
      <c r="A1307" s="31"/>
      <c r="B1307" s="30"/>
      <c r="C1307" s="30"/>
      <c r="BW1307" s="17"/>
      <c r="BX1307" s="17"/>
      <c r="BY1307" s="17"/>
      <c r="BZ1307" s="17"/>
      <c r="CA1307" s="17"/>
      <c r="CB1307" s="17"/>
      <c r="CC1307" s="17"/>
      <c r="CD1307" s="17"/>
      <c r="CE1307" s="17"/>
    </row>
    <row r="1308" spans="1:83" x14ac:dyDescent="0.25">
      <c r="A1308" s="31"/>
      <c r="B1308" s="30"/>
      <c r="C1308" s="30"/>
      <c r="BW1308" s="17"/>
      <c r="BX1308" s="17"/>
      <c r="BY1308" s="17"/>
      <c r="BZ1308" s="17"/>
      <c r="CA1308" s="17"/>
      <c r="CB1308" s="17"/>
      <c r="CC1308" s="17"/>
      <c r="CD1308" s="17"/>
      <c r="CE1308" s="17"/>
    </row>
    <row r="1309" spans="1:83" x14ac:dyDescent="0.25">
      <c r="A1309" s="31"/>
      <c r="B1309" s="30"/>
      <c r="C1309" s="30"/>
      <c r="BW1309" s="17"/>
      <c r="BX1309" s="17"/>
      <c r="BY1309" s="17"/>
      <c r="BZ1309" s="17"/>
      <c r="CA1309" s="17"/>
      <c r="CB1309" s="17"/>
      <c r="CC1309" s="17"/>
      <c r="CD1309" s="17"/>
      <c r="CE1309" s="17"/>
    </row>
    <row r="1310" spans="1:83" x14ac:dyDescent="0.25">
      <c r="A1310" s="31"/>
      <c r="B1310" s="30"/>
      <c r="C1310" s="30"/>
      <c r="BW1310" s="17"/>
      <c r="BX1310" s="17"/>
      <c r="BY1310" s="17"/>
      <c r="BZ1310" s="17"/>
      <c r="CA1310" s="17"/>
      <c r="CB1310" s="17"/>
      <c r="CC1310" s="17"/>
      <c r="CD1310" s="17"/>
      <c r="CE1310" s="17"/>
    </row>
    <row r="1311" spans="1:83" x14ac:dyDescent="0.25">
      <c r="A1311" s="31"/>
      <c r="B1311" s="30"/>
      <c r="C1311" s="30"/>
      <c r="BW1311" s="17"/>
      <c r="BX1311" s="17"/>
      <c r="BY1311" s="17"/>
      <c r="BZ1311" s="17"/>
      <c r="CA1311" s="17"/>
      <c r="CB1311" s="17"/>
      <c r="CC1311" s="17"/>
      <c r="CD1311" s="17"/>
      <c r="CE1311" s="17"/>
    </row>
    <row r="1312" spans="1:83" x14ac:dyDescent="0.25">
      <c r="A1312" s="31"/>
      <c r="B1312" s="30"/>
      <c r="C1312" s="30"/>
      <c r="BW1312" s="17"/>
      <c r="BX1312" s="17"/>
      <c r="BY1312" s="17"/>
      <c r="BZ1312" s="17"/>
      <c r="CA1312" s="17"/>
      <c r="CB1312" s="17"/>
      <c r="CC1312" s="17"/>
      <c r="CD1312" s="17"/>
      <c r="CE1312" s="17"/>
    </row>
    <row r="1313" spans="1:83" x14ac:dyDescent="0.25">
      <c r="A1313" s="31"/>
      <c r="B1313" s="30"/>
      <c r="C1313" s="30"/>
      <c r="BW1313" s="17"/>
      <c r="BX1313" s="17"/>
      <c r="BY1313" s="17"/>
      <c r="BZ1313" s="17"/>
      <c r="CA1313" s="17"/>
      <c r="CB1313" s="17"/>
      <c r="CC1313" s="17"/>
      <c r="CD1313" s="17"/>
      <c r="CE1313" s="17"/>
    </row>
    <row r="1314" spans="1:83" x14ac:dyDescent="0.25">
      <c r="A1314" s="31"/>
      <c r="B1314" s="30"/>
      <c r="C1314" s="30"/>
      <c r="BW1314" s="17"/>
      <c r="BX1314" s="17"/>
      <c r="BY1314" s="17"/>
      <c r="BZ1314" s="17"/>
      <c r="CA1314" s="17"/>
      <c r="CB1314" s="17"/>
      <c r="CC1314" s="17"/>
      <c r="CD1314" s="17"/>
      <c r="CE1314" s="17"/>
    </row>
    <row r="1315" spans="1:83" x14ac:dyDescent="0.25">
      <c r="A1315" s="31"/>
      <c r="B1315" s="30"/>
      <c r="C1315" s="30"/>
      <c r="BW1315" s="17"/>
      <c r="BX1315" s="17"/>
      <c r="BY1315" s="17"/>
      <c r="BZ1315" s="17"/>
      <c r="CA1315" s="17"/>
      <c r="CB1315" s="17"/>
      <c r="CC1315" s="17"/>
      <c r="CD1315" s="17"/>
      <c r="CE1315" s="17"/>
    </row>
    <row r="1316" spans="1:83" x14ac:dyDescent="0.25">
      <c r="A1316" s="31"/>
      <c r="B1316" s="30"/>
      <c r="C1316" s="30"/>
      <c r="BW1316" s="17"/>
      <c r="BX1316" s="17"/>
      <c r="BY1316" s="17"/>
      <c r="BZ1316" s="17"/>
      <c r="CA1316" s="17"/>
      <c r="CB1316" s="17"/>
      <c r="CC1316" s="17"/>
      <c r="CD1316" s="17"/>
      <c r="CE1316" s="17"/>
    </row>
    <row r="1317" spans="1:83" x14ac:dyDescent="0.25">
      <c r="A1317" s="31"/>
      <c r="B1317" s="30"/>
      <c r="C1317" s="30"/>
      <c r="BW1317" s="17"/>
      <c r="BX1317" s="17"/>
      <c r="BY1317" s="17"/>
      <c r="BZ1317" s="17"/>
      <c r="CA1317" s="17"/>
      <c r="CB1317" s="17"/>
      <c r="CC1317" s="17"/>
      <c r="CD1317" s="17"/>
      <c r="CE1317" s="17"/>
    </row>
    <row r="1318" spans="1:83" x14ac:dyDescent="0.25">
      <c r="A1318" s="31"/>
      <c r="B1318" s="30"/>
      <c r="C1318" s="30"/>
      <c r="BW1318" s="17"/>
      <c r="BX1318" s="17"/>
      <c r="BY1318" s="17"/>
      <c r="BZ1318" s="17"/>
      <c r="CA1318" s="17"/>
      <c r="CB1318" s="17"/>
      <c r="CC1318" s="17"/>
      <c r="CD1318" s="17"/>
      <c r="CE1318" s="17"/>
    </row>
    <row r="1319" spans="1:83" x14ac:dyDescent="0.25">
      <c r="A1319" s="31"/>
      <c r="B1319" s="30"/>
      <c r="C1319" s="30"/>
      <c r="BW1319" s="17"/>
      <c r="BX1319" s="17"/>
      <c r="BY1319" s="17"/>
      <c r="BZ1319" s="17"/>
      <c r="CA1319" s="17"/>
      <c r="CB1319" s="17"/>
      <c r="CC1319" s="17"/>
      <c r="CD1319" s="17"/>
      <c r="CE1319" s="17"/>
    </row>
    <row r="1320" spans="1:83" x14ac:dyDescent="0.25">
      <c r="A1320" s="31"/>
      <c r="B1320" s="30"/>
      <c r="C1320" s="30"/>
      <c r="BW1320" s="17"/>
      <c r="BX1320" s="17"/>
      <c r="BY1320" s="17"/>
      <c r="BZ1320" s="17"/>
      <c r="CA1320" s="17"/>
      <c r="CB1320" s="17"/>
      <c r="CC1320" s="17"/>
      <c r="CD1320" s="17"/>
      <c r="CE1320" s="17"/>
    </row>
    <row r="1321" spans="1:83" x14ac:dyDescent="0.25">
      <c r="A1321" s="31"/>
      <c r="B1321" s="30"/>
      <c r="C1321" s="30"/>
      <c r="BW1321" s="17"/>
      <c r="BX1321" s="17"/>
      <c r="BY1321" s="17"/>
      <c r="BZ1321" s="17"/>
      <c r="CA1321" s="17"/>
      <c r="CB1321" s="17"/>
      <c r="CC1321" s="17"/>
      <c r="CD1321" s="17"/>
      <c r="CE1321" s="17"/>
    </row>
    <row r="1322" spans="1:83" x14ac:dyDescent="0.25">
      <c r="A1322" s="31"/>
      <c r="B1322" s="30"/>
      <c r="C1322" s="30"/>
      <c r="BW1322" s="17"/>
      <c r="BX1322" s="17"/>
      <c r="BY1322" s="17"/>
      <c r="BZ1322" s="17"/>
      <c r="CA1322" s="17"/>
      <c r="CB1322" s="17"/>
      <c r="CC1322" s="17"/>
      <c r="CD1322" s="17"/>
      <c r="CE1322" s="17"/>
    </row>
    <row r="1323" spans="1:83" x14ac:dyDescent="0.25">
      <c r="A1323" s="31"/>
      <c r="B1323" s="30"/>
      <c r="C1323" s="30"/>
      <c r="BW1323" s="17"/>
      <c r="BX1323" s="17"/>
      <c r="BY1323" s="17"/>
      <c r="BZ1323" s="17"/>
      <c r="CA1323" s="17"/>
      <c r="CB1323" s="17"/>
      <c r="CC1323" s="17"/>
      <c r="CD1323" s="17"/>
      <c r="CE1323" s="17"/>
    </row>
    <row r="1324" spans="1:83" x14ac:dyDescent="0.25">
      <c r="A1324" s="31"/>
      <c r="B1324" s="30"/>
      <c r="C1324" s="30"/>
      <c r="BW1324" s="17"/>
      <c r="BX1324" s="17"/>
      <c r="BY1324" s="17"/>
      <c r="BZ1324" s="17"/>
      <c r="CA1324" s="17"/>
      <c r="CB1324" s="17"/>
      <c r="CC1324" s="17"/>
      <c r="CD1324" s="17"/>
      <c r="CE1324" s="17"/>
    </row>
    <row r="1325" spans="1:83" x14ac:dyDescent="0.25">
      <c r="A1325" s="31"/>
      <c r="B1325" s="30"/>
      <c r="C1325" s="30"/>
      <c r="BW1325" s="17"/>
      <c r="BX1325" s="17"/>
      <c r="BY1325" s="17"/>
      <c r="BZ1325" s="17"/>
      <c r="CA1325" s="17"/>
      <c r="CB1325" s="17"/>
      <c r="CC1325" s="17"/>
      <c r="CD1325" s="17"/>
      <c r="CE1325" s="17"/>
    </row>
    <row r="1326" spans="1:83" x14ac:dyDescent="0.25">
      <c r="A1326" s="31"/>
      <c r="B1326" s="30"/>
      <c r="C1326" s="30"/>
      <c r="BW1326" s="17"/>
      <c r="BX1326" s="17"/>
      <c r="BY1326" s="17"/>
      <c r="BZ1326" s="17"/>
      <c r="CA1326" s="17"/>
      <c r="CB1326" s="17"/>
      <c r="CC1326" s="17"/>
      <c r="CD1326" s="17"/>
      <c r="CE1326" s="17"/>
    </row>
    <row r="1327" spans="1:83" x14ac:dyDescent="0.25">
      <c r="A1327" s="31"/>
      <c r="B1327" s="30"/>
      <c r="C1327" s="30"/>
      <c r="BW1327" s="17"/>
      <c r="BX1327" s="17"/>
      <c r="BY1327" s="17"/>
      <c r="BZ1327" s="17"/>
      <c r="CA1327" s="17"/>
      <c r="CB1327" s="17"/>
      <c r="CC1327" s="17"/>
      <c r="CD1327" s="17"/>
      <c r="CE1327" s="17"/>
    </row>
    <row r="1328" spans="1:83" x14ac:dyDescent="0.25">
      <c r="A1328" s="31"/>
      <c r="B1328" s="30"/>
      <c r="C1328" s="30"/>
      <c r="BW1328" s="17"/>
      <c r="BX1328" s="17"/>
      <c r="BY1328" s="17"/>
      <c r="BZ1328" s="17"/>
      <c r="CA1328" s="17"/>
      <c r="CB1328" s="17"/>
      <c r="CC1328" s="17"/>
      <c r="CD1328" s="17"/>
      <c r="CE1328" s="17"/>
    </row>
    <row r="1329" spans="1:83" x14ac:dyDescent="0.25">
      <c r="A1329" s="31"/>
      <c r="B1329" s="30"/>
      <c r="C1329" s="30"/>
      <c r="BW1329" s="17"/>
      <c r="BX1329" s="17"/>
      <c r="BY1329" s="17"/>
      <c r="BZ1329" s="17"/>
      <c r="CA1329" s="17"/>
      <c r="CB1329" s="17"/>
      <c r="CC1329" s="17"/>
      <c r="CD1329" s="17"/>
      <c r="CE1329" s="17"/>
    </row>
    <row r="1330" spans="1:83" x14ac:dyDescent="0.25">
      <c r="A1330" s="31"/>
      <c r="B1330" s="30"/>
      <c r="C1330" s="30"/>
      <c r="BW1330" s="17"/>
      <c r="BX1330" s="17"/>
      <c r="BY1330" s="17"/>
      <c r="BZ1330" s="17"/>
      <c r="CA1330" s="17"/>
      <c r="CB1330" s="17"/>
      <c r="CC1330" s="17"/>
      <c r="CD1330" s="17"/>
      <c r="CE1330" s="17"/>
    </row>
    <row r="1331" spans="1:83" x14ac:dyDescent="0.25">
      <c r="A1331" s="31"/>
      <c r="B1331" s="30"/>
      <c r="C1331" s="30"/>
      <c r="BW1331" s="17"/>
      <c r="BX1331" s="17"/>
      <c r="BY1331" s="17"/>
      <c r="BZ1331" s="17"/>
      <c r="CA1331" s="17"/>
      <c r="CB1331" s="17"/>
      <c r="CC1331" s="17"/>
      <c r="CD1331" s="17"/>
      <c r="CE1331" s="17"/>
    </row>
    <row r="1332" spans="1:83" x14ac:dyDescent="0.25">
      <c r="A1332" s="31"/>
      <c r="B1332" s="30"/>
      <c r="C1332" s="30"/>
      <c r="BW1332" s="17"/>
      <c r="BX1332" s="17"/>
      <c r="BY1332" s="17"/>
      <c r="BZ1332" s="17"/>
      <c r="CA1332" s="17"/>
      <c r="CB1332" s="17"/>
      <c r="CC1332" s="17"/>
      <c r="CD1332" s="17"/>
      <c r="CE1332" s="17"/>
    </row>
    <row r="1333" spans="1:83" x14ac:dyDescent="0.25">
      <c r="A1333" s="31"/>
      <c r="B1333" s="30"/>
      <c r="C1333" s="30"/>
      <c r="BW1333" s="17"/>
      <c r="BX1333" s="17"/>
      <c r="BY1333" s="17"/>
      <c r="BZ1333" s="17"/>
      <c r="CA1333" s="17"/>
      <c r="CB1333" s="17"/>
      <c r="CC1333" s="17"/>
      <c r="CD1333" s="17"/>
      <c r="CE1333" s="17"/>
    </row>
    <row r="1334" spans="1:83" x14ac:dyDescent="0.25">
      <c r="A1334" s="31"/>
      <c r="B1334" s="30"/>
      <c r="C1334" s="30"/>
      <c r="BW1334" s="17"/>
      <c r="BX1334" s="17"/>
      <c r="BY1334" s="17"/>
      <c r="BZ1334" s="17"/>
      <c r="CA1334" s="17"/>
      <c r="CB1334" s="17"/>
      <c r="CC1334" s="17"/>
      <c r="CD1334" s="17"/>
      <c r="CE1334" s="17"/>
    </row>
    <row r="1335" spans="1:83" x14ac:dyDescent="0.25">
      <c r="A1335" s="31"/>
      <c r="B1335" s="30"/>
      <c r="C1335" s="30"/>
      <c r="BW1335" s="17"/>
      <c r="BX1335" s="17"/>
      <c r="BY1335" s="17"/>
      <c r="BZ1335" s="17"/>
      <c r="CA1335" s="17"/>
      <c r="CB1335" s="17"/>
      <c r="CC1335" s="17"/>
      <c r="CD1335" s="17"/>
      <c r="CE1335" s="17"/>
    </row>
    <row r="1336" spans="1:83" x14ac:dyDescent="0.25">
      <c r="A1336" s="31"/>
      <c r="B1336" s="30"/>
      <c r="C1336" s="30"/>
      <c r="BW1336" s="17"/>
      <c r="BX1336" s="17"/>
      <c r="BY1336" s="17"/>
      <c r="BZ1336" s="17"/>
      <c r="CA1336" s="17"/>
      <c r="CB1336" s="17"/>
      <c r="CC1336" s="17"/>
      <c r="CD1336" s="17"/>
      <c r="CE1336" s="17"/>
    </row>
    <row r="1337" spans="1:83" x14ac:dyDescent="0.25">
      <c r="A1337" s="31"/>
      <c r="B1337" s="30"/>
      <c r="C1337" s="30"/>
      <c r="BW1337" s="17"/>
      <c r="BX1337" s="17"/>
      <c r="BY1337" s="17"/>
      <c r="BZ1337" s="17"/>
      <c r="CA1337" s="17"/>
      <c r="CB1337" s="17"/>
      <c r="CC1337" s="17"/>
      <c r="CD1337" s="17"/>
      <c r="CE1337" s="17"/>
    </row>
    <row r="1338" spans="1:83" x14ac:dyDescent="0.25">
      <c r="A1338" s="31"/>
      <c r="B1338" s="30"/>
      <c r="C1338" s="30"/>
      <c r="BW1338" s="17"/>
      <c r="BX1338" s="17"/>
      <c r="BY1338" s="17"/>
      <c r="BZ1338" s="17"/>
      <c r="CA1338" s="17"/>
      <c r="CB1338" s="17"/>
      <c r="CC1338" s="17"/>
      <c r="CD1338" s="17"/>
      <c r="CE1338" s="17"/>
    </row>
    <row r="1339" spans="1:83" x14ac:dyDescent="0.25">
      <c r="A1339" s="31"/>
      <c r="B1339" s="30"/>
      <c r="C1339" s="30"/>
      <c r="BW1339" s="17"/>
      <c r="BX1339" s="17"/>
      <c r="BY1339" s="17"/>
      <c r="BZ1339" s="17"/>
      <c r="CA1339" s="17"/>
      <c r="CB1339" s="17"/>
      <c r="CC1339" s="17"/>
      <c r="CD1339" s="17"/>
      <c r="CE1339" s="17"/>
    </row>
    <row r="1340" spans="1:83" x14ac:dyDescent="0.25">
      <c r="A1340" s="31"/>
      <c r="B1340" s="30"/>
      <c r="C1340" s="30"/>
      <c r="BW1340" s="17"/>
      <c r="BX1340" s="17"/>
      <c r="BY1340" s="17"/>
      <c r="BZ1340" s="17"/>
      <c r="CA1340" s="17"/>
      <c r="CB1340" s="17"/>
      <c r="CC1340" s="17"/>
      <c r="CD1340" s="17"/>
      <c r="CE1340" s="17"/>
    </row>
    <row r="1341" spans="1:83" x14ac:dyDescent="0.25">
      <c r="A1341" s="31"/>
      <c r="B1341" s="30"/>
      <c r="C1341" s="30"/>
      <c r="BW1341" s="17"/>
      <c r="BX1341" s="17"/>
      <c r="BY1341" s="17"/>
      <c r="BZ1341" s="17"/>
      <c r="CA1341" s="17"/>
      <c r="CB1341" s="17"/>
      <c r="CC1341" s="17"/>
      <c r="CD1341" s="17"/>
      <c r="CE1341" s="17"/>
    </row>
    <row r="1342" spans="1:83" x14ac:dyDescent="0.25">
      <c r="A1342" s="31"/>
      <c r="B1342" s="30"/>
      <c r="C1342" s="30"/>
      <c r="BW1342" s="17"/>
      <c r="BX1342" s="17"/>
      <c r="BY1342" s="17"/>
      <c r="BZ1342" s="17"/>
      <c r="CA1342" s="17"/>
      <c r="CB1342" s="17"/>
      <c r="CC1342" s="17"/>
      <c r="CD1342" s="17"/>
      <c r="CE1342" s="17"/>
    </row>
    <row r="1343" spans="1:83" x14ac:dyDescent="0.25">
      <c r="A1343" s="31"/>
      <c r="B1343" s="30"/>
      <c r="C1343" s="30"/>
      <c r="BW1343" s="17"/>
      <c r="BX1343" s="17"/>
      <c r="BY1343" s="17"/>
      <c r="BZ1343" s="17"/>
      <c r="CA1343" s="17"/>
      <c r="CB1343" s="17"/>
      <c r="CC1343" s="17"/>
      <c r="CD1343" s="17"/>
      <c r="CE1343" s="17"/>
    </row>
    <row r="1344" spans="1:83" x14ac:dyDescent="0.25">
      <c r="A1344" s="31"/>
      <c r="B1344" s="30"/>
      <c r="C1344" s="30"/>
      <c r="BW1344" s="17"/>
      <c r="BX1344" s="17"/>
      <c r="BY1344" s="17"/>
      <c r="BZ1344" s="17"/>
      <c r="CA1344" s="17"/>
      <c r="CB1344" s="17"/>
      <c r="CC1344" s="17"/>
      <c r="CD1344" s="17"/>
      <c r="CE1344" s="17"/>
    </row>
    <row r="1345" spans="1:83" x14ac:dyDescent="0.25">
      <c r="A1345" s="31"/>
      <c r="B1345" s="30"/>
      <c r="C1345" s="30"/>
      <c r="BW1345" s="17"/>
      <c r="BX1345" s="17"/>
      <c r="BY1345" s="17"/>
      <c r="BZ1345" s="17"/>
      <c r="CA1345" s="17"/>
      <c r="CB1345" s="17"/>
      <c r="CC1345" s="17"/>
      <c r="CD1345" s="17"/>
      <c r="CE1345" s="17"/>
    </row>
    <row r="1346" spans="1:83" x14ac:dyDescent="0.25">
      <c r="A1346" s="31"/>
      <c r="B1346" s="30"/>
      <c r="C1346" s="30"/>
      <c r="BW1346" s="17"/>
      <c r="BX1346" s="17"/>
      <c r="BY1346" s="17"/>
      <c r="BZ1346" s="17"/>
      <c r="CA1346" s="17"/>
      <c r="CB1346" s="17"/>
      <c r="CC1346" s="17"/>
      <c r="CD1346" s="17"/>
      <c r="CE1346" s="17"/>
    </row>
    <row r="1347" spans="1:83" x14ac:dyDescent="0.25">
      <c r="A1347" s="31"/>
      <c r="B1347" s="30"/>
      <c r="C1347" s="30"/>
      <c r="BW1347" s="17"/>
      <c r="BX1347" s="17"/>
      <c r="BY1347" s="17"/>
      <c r="BZ1347" s="17"/>
      <c r="CA1347" s="17"/>
      <c r="CB1347" s="17"/>
      <c r="CC1347" s="17"/>
      <c r="CD1347" s="17"/>
      <c r="CE1347" s="17"/>
    </row>
    <row r="1348" spans="1:83" x14ac:dyDescent="0.25">
      <c r="A1348" s="31"/>
      <c r="B1348" s="30"/>
      <c r="C1348" s="30"/>
      <c r="BW1348" s="17"/>
      <c r="BX1348" s="17"/>
      <c r="BY1348" s="17"/>
      <c r="BZ1348" s="17"/>
      <c r="CA1348" s="17"/>
      <c r="CB1348" s="17"/>
      <c r="CC1348" s="17"/>
      <c r="CD1348" s="17"/>
      <c r="CE1348" s="17"/>
    </row>
    <row r="1349" spans="1:83" x14ac:dyDescent="0.25">
      <c r="A1349" s="31"/>
      <c r="B1349" s="30"/>
      <c r="C1349" s="30"/>
      <c r="BW1349" s="17"/>
      <c r="BX1349" s="17"/>
      <c r="BY1349" s="17"/>
      <c r="BZ1349" s="17"/>
      <c r="CA1349" s="17"/>
      <c r="CB1349" s="17"/>
      <c r="CC1349" s="17"/>
      <c r="CD1349" s="17"/>
      <c r="CE1349" s="17"/>
    </row>
    <row r="1350" spans="1:83" x14ac:dyDescent="0.25">
      <c r="A1350" s="31"/>
      <c r="B1350" s="30"/>
      <c r="C1350" s="30"/>
      <c r="BW1350" s="17"/>
      <c r="BX1350" s="17"/>
      <c r="BY1350" s="17"/>
      <c r="BZ1350" s="17"/>
      <c r="CA1350" s="17"/>
      <c r="CB1350" s="17"/>
      <c r="CC1350" s="17"/>
      <c r="CD1350" s="17"/>
      <c r="CE1350" s="17"/>
    </row>
    <row r="1351" spans="1:83" x14ac:dyDescent="0.25">
      <c r="A1351" s="31"/>
      <c r="B1351" s="30"/>
      <c r="C1351" s="30"/>
      <c r="BW1351" s="17"/>
      <c r="BX1351" s="17"/>
      <c r="BY1351" s="17"/>
      <c r="BZ1351" s="17"/>
      <c r="CA1351" s="17"/>
      <c r="CB1351" s="17"/>
      <c r="CC1351" s="17"/>
      <c r="CD1351" s="17"/>
      <c r="CE1351" s="17"/>
    </row>
    <row r="1352" spans="1:83" x14ac:dyDescent="0.25">
      <c r="A1352" s="31"/>
      <c r="B1352" s="30"/>
      <c r="C1352" s="30"/>
      <c r="BW1352" s="17"/>
      <c r="BX1352" s="17"/>
      <c r="BY1352" s="17"/>
      <c r="BZ1352" s="17"/>
      <c r="CA1352" s="17"/>
      <c r="CB1352" s="17"/>
      <c r="CC1352" s="17"/>
      <c r="CD1352" s="17"/>
      <c r="CE1352" s="17"/>
    </row>
    <row r="1353" spans="1:83" x14ac:dyDescent="0.25">
      <c r="A1353" s="31"/>
      <c r="B1353" s="30"/>
      <c r="C1353" s="30"/>
      <c r="BW1353" s="17"/>
      <c r="BX1353" s="17"/>
      <c r="BY1353" s="17"/>
      <c r="BZ1353" s="17"/>
      <c r="CA1353" s="17"/>
      <c r="CB1353" s="17"/>
      <c r="CC1353" s="17"/>
      <c r="CD1353" s="17"/>
      <c r="CE1353" s="17"/>
    </row>
    <row r="1354" spans="1:83" x14ac:dyDescent="0.25">
      <c r="A1354" s="31"/>
      <c r="B1354" s="30"/>
      <c r="C1354" s="30"/>
      <c r="BW1354" s="17"/>
      <c r="BX1354" s="17"/>
      <c r="BY1354" s="17"/>
      <c r="BZ1354" s="17"/>
      <c r="CA1354" s="17"/>
      <c r="CB1354" s="17"/>
      <c r="CC1354" s="17"/>
      <c r="CD1354" s="17"/>
      <c r="CE1354" s="17"/>
    </row>
    <row r="1355" spans="1:83" x14ac:dyDescent="0.25">
      <c r="A1355" s="31"/>
      <c r="B1355" s="30"/>
      <c r="C1355" s="30"/>
      <c r="BW1355" s="17"/>
      <c r="BX1355" s="17"/>
      <c r="BY1355" s="17"/>
      <c r="BZ1355" s="17"/>
      <c r="CA1355" s="17"/>
      <c r="CB1355" s="17"/>
      <c r="CC1355" s="17"/>
      <c r="CD1355" s="17"/>
      <c r="CE1355" s="17"/>
    </row>
    <row r="1356" spans="1:83" x14ac:dyDescent="0.25">
      <c r="A1356" s="31"/>
      <c r="B1356" s="30"/>
      <c r="C1356" s="30"/>
      <c r="BW1356" s="17"/>
      <c r="BX1356" s="17"/>
      <c r="BY1356" s="17"/>
      <c r="BZ1356" s="17"/>
      <c r="CA1356" s="17"/>
      <c r="CB1356" s="17"/>
      <c r="CC1356" s="17"/>
      <c r="CD1356" s="17"/>
      <c r="CE1356" s="17"/>
    </row>
    <row r="1357" spans="1:83" x14ac:dyDescent="0.25">
      <c r="A1357" s="31"/>
      <c r="B1357" s="30"/>
      <c r="C1357" s="30"/>
      <c r="BW1357" s="17"/>
      <c r="BX1357" s="17"/>
      <c r="BY1357" s="17"/>
      <c r="BZ1357" s="17"/>
      <c r="CA1357" s="17"/>
      <c r="CB1357" s="17"/>
      <c r="CC1357" s="17"/>
      <c r="CD1357" s="17"/>
      <c r="CE1357" s="17"/>
    </row>
    <row r="1358" spans="1:83" x14ac:dyDescent="0.25">
      <c r="A1358" s="31"/>
      <c r="B1358" s="30"/>
      <c r="C1358" s="30"/>
      <c r="BW1358" s="17"/>
      <c r="BX1358" s="17"/>
      <c r="BY1358" s="17"/>
      <c r="BZ1358" s="17"/>
      <c r="CA1358" s="17"/>
      <c r="CB1358" s="17"/>
      <c r="CC1358" s="17"/>
      <c r="CD1358" s="17"/>
      <c r="CE1358" s="17"/>
    </row>
    <row r="1359" spans="1:83" x14ac:dyDescent="0.25">
      <c r="A1359" s="31"/>
      <c r="B1359" s="30"/>
      <c r="C1359" s="30"/>
      <c r="BW1359" s="17"/>
      <c r="BX1359" s="17"/>
      <c r="BY1359" s="17"/>
      <c r="BZ1359" s="17"/>
      <c r="CA1359" s="17"/>
      <c r="CB1359" s="17"/>
      <c r="CC1359" s="17"/>
      <c r="CD1359" s="17"/>
      <c r="CE1359" s="17"/>
    </row>
    <row r="1360" spans="1:83" x14ac:dyDescent="0.25">
      <c r="A1360" s="31"/>
      <c r="B1360" s="30"/>
      <c r="C1360" s="30"/>
      <c r="BW1360" s="17"/>
      <c r="BX1360" s="17"/>
      <c r="BY1360" s="17"/>
      <c r="BZ1360" s="17"/>
      <c r="CA1360" s="17"/>
      <c r="CB1360" s="17"/>
      <c r="CC1360" s="17"/>
      <c r="CD1360" s="17"/>
      <c r="CE1360" s="17"/>
    </row>
    <row r="1361" spans="1:83" x14ac:dyDescent="0.25">
      <c r="A1361" s="31"/>
      <c r="B1361" s="30"/>
      <c r="C1361" s="30"/>
      <c r="BW1361" s="17"/>
      <c r="BX1361" s="17"/>
      <c r="BY1361" s="17"/>
      <c r="BZ1361" s="17"/>
      <c r="CA1361" s="17"/>
      <c r="CB1361" s="17"/>
      <c r="CC1361" s="17"/>
      <c r="CD1361" s="17"/>
      <c r="CE1361" s="17"/>
    </row>
    <row r="1362" spans="1:83" x14ac:dyDescent="0.25">
      <c r="A1362" s="31"/>
      <c r="B1362" s="30"/>
      <c r="C1362" s="30"/>
      <c r="BW1362" s="17"/>
      <c r="BX1362" s="17"/>
      <c r="BY1362" s="17"/>
      <c r="BZ1362" s="17"/>
      <c r="CA1362" s="17"/>
      <c r="CB1362" s="17"/>
      <c r="CC1362" s="17"/>
      <c r="CD1362" s="17"/>
      <c r="CE1362" s="17"/>
    </row>
    <row r="1363" spans="1:83" x14ac:dyDescent="0.25">
      <c r="A1363" s="31"/>
      <c r="B1363" s="30"/>
      <c r="C1363" s="30"/>
      <c r="BW1363" s="17"/>
      <c r="BX1363" s="17"/>
      <c r="BY1363" s="17"/>
      <c r="BZ1363" s="17"/>
      <c r="CA1363" s="17"/>
      <c r="CB1363" s="17"/>
      <c r="CC1363" s="17"/>
      <c r="CD1363" s="17"/>
      <c r="CE1363" s="17"/>
    </row>
    <row r="1364" spans="1:83" x14ac:dyDescent="0.25">
      <c r="A1364" s="31"/>
      <c r="B1364" s="30"/>
      <c r="C1364" s="30"/>
      <c r="BW1364" s="17"/>
      <c r="BX1364" s="17"/>
      <c r="BY1364" s="17"/>
      <c r="BZ1364" s="17"/>
      <c r="CA1364" s="17"/>
      <c r="CB1364" s="17"/>
      <c r="CC1364" s="17"/>
      <c r="CD1364" s="17"/>
      <c r="CE1364" s="17"/>
    </row>
    <row r="1365" spans="1:83" x14ac:dyDescent="0.25">
      <c r="A1365" s="31"/>
      <c r="B1365" s="30"/>
      <c r="C1365" s="30"/>
      <c r="BW1365" s="17"/>
      <c r="BX1365" s="17"/>
      <c r="BY1365" s="17"/>
      <c r="BZ1365" s="17"/>
      <c r="CA1365" s="17"/>
      <c r="CB1365" s="17"/>
      <c r="CC1365" s="17"/>
      <c r="CD1365" s="17"/>
      <c r="CE1365" s="17"/>
    </row>
    <row r="1366" spans="1:83" x14ac:dyDescent="0.25">
      <c r="A1366" s="31"/>
      <c r="B1366" s="30"/>
      <c r="C1366" s="30"/>
      <c r="BW1366" s="17"/>
      <c r="BX1366" s="17"/>
      <c r="BY1366" s="17"/>
      <c r="BZ1366" s="17"/>
      <c r="CA1366" s="17"/>
      <c r="CB1366" s="17"/>
      <c r="CC1366" s="17"/>
      <c r="CD1366" s="17"/>
      <c r="CE1366" s="17"/>
    </row>
    <row r="1367" spans="1:83" x14ac:dyDescent="0.25">
      <c r="A1367" s="31"/>
      <c r="B1367" s="30"/>
      <c r="C1367" s="30"/>
      <c r="BW1367" s="17"/>
      <c r="BX1367" s="17"/>
      <c r="BY1367" s="17"/>
      <c r="BZ1367" s="17"/>
      <c r="CA1367" s="17"/>
      <c r="CB1367" s="17"/>
      <c r="CC1367" s="17"/>
      <c r="CD1367" s="17"/>
      <c r="CE1367" s="17"/>
    </row>
    <row r="1368" spans="1:83" x14ac:dyDescent="0.25">
      <c r="A1368" s="31"/>
      <c r="B1368" s="30"/>
      <c r="C1368" s="30"/>
      <c r="BW1368" s="17"/>
      <c r="BX1368" s="17"/>
      <c r="BY1368" s="17"/>
      <c r="BZ1368" s="17"/>
      <c r="CA1368" s="17"/>
      <c r="CB1368" s="17"/>
      <c r="CC1368" s="17"/>
      <c r="CD1368" s="17"/>
      <c r="CE1368" s="17"/>
    </row>
    <row r="1369" spans="1:83" x14ac:dyDescent="0.25">
      <c r="A1369" s="31"/>
      <c r="B1369" s="30"/>
      <c r="C1369" s="30"/>
      <c r="BW1369" s="17"/>
      <c r="BX1369" s="17"/>
      <c r="BY1369" s="17"/>
      <c r="BZ1369" s="17"/>
      <c r="CA1369" s="17"/>
      <c r="CB1369" s="17"/>
      <c r="CC1369" s="17"/>
      <c r="CD1369" s="17"/>
      <c r="CE1369" s="17"/>
    </row>
    <row r="1370" spans="1:83" x14ac:dyDescent="0.25">
      <c r="A1370" s="31"/>
      <c r="B1370" s="30"/>
      <c r="C1370" s="30"/>
      <c r="BW1370" s="17"/>
      <c r="BX1370" s="17"/>
      <c r="BY1370" s="17"/>
      <c r="BZ1370" s="17"/>
      <c r="CA1370" s="17"/>
      <c r="CB1370" s="17"/>
      <c r="CC1370" s="17"/>
      <c r="CD1370" s="17"/>
      <c r="CE1370" s="17"/>
    </row>
    <row r="1371" spans="1:83" x14ac:dyDescent="0.25">
      <c r="A1371" s="31"/>
      <c r="B1371" s="30"/>
      <c r="C1371" s="30"/>
      <c r="BW1371" s="17"/>
      <c r="BX1371" s="17"/>
      <c r="BY1371" s="17"/>
      <c r="BZ1371" s="17"/>
      <c r="CA1371" s="17"/>
      <c r="CB1371" s="17"/>
      <c r="CC1371" s="17"/>
      <c r="CD1371" s="17"/>
      <c r="CE1371" s="17"/>
    </row>
    <row r="1372" spans="1:83" x14ac:dyDescent="0.25">
      <c r="A1372" s="31"/>
      <c r="B1372" s="30"/>
      <c r="C1372" s="30"/>
      <c r="BW1372" s="17"/>
      <c r="BX1372" s="17"/>
      <c r="BY1372" s="17"/>
      <c r="BZ1372" s="17"/>
      <c r="CA1372" s="17"/>
      <c r="CB1372" s="17"/>
      <c r="CC1372" s="17"/>
      <c r="CD1372" s="17"/>
      <c r="CE1372" s="17"/>
    </row>
    <row r="1373" spans="1:83" x14ac:dyDescent="0.25">
      <c r="A1373" s="31"/>
      <c r="B1373" s="30"/>
      <c r="C1373" s="30"/>
      <c r="BW1373" s="17"/>
      <c r="BX1373" s="17"/>
      <c r="BY1373" s="17"/>
      <c r="BZ1373" s="17"/>
      <c r="CA1373" s="17"/>
      <c r="CB1373" s="17"/>
      <c r="CC1373" s="17"/>
      <c r="CD1373" s="17"/>
      <c r="CE1373" s="17"/>
    </row>
    <row r="1374" spans="1:83" x14ac:dyDescent="0.25">
      <c r="A1374" s="31"/>
      <c r="B1374" s="30"/>
      <c r="C1374" s="30"/>
      <c r="BW1374" s="17"/>
      <c r="BX1374" s="17"/>
      <c r="BY1374" s="17"/>
      <c r="BZ1374" s="17"/>
      <c r="CA1374" s="17"/>
      <c r="CB1374" s="17"/>
      <c r="CC1374" s="17"/>
      <c r="CD1374" s="17"/>
      <c r="CE1374" s="17"/>
    </row>
    <row r="1375" spans="1:83" x14ac:dyDescent="0.25">
      <c r="A1375" s="31"/>
      <c r="B1375" s="30"/>
      <c r="C1375" s="30"/>
      <c r="BW1375" s="17"/>
      <c r="BX1375" s="17"/>
      <c r="BY1375" s="17"/>
      <c r="BZ1375" s="17"/>
      <c r="CA1375" s="17"/>
      <c r="CB1375" s="17"/>
      <c r="CC1375" s="17"/>
      <c r="CD1375" s="17"/>
      <c r="CE1375" s="17"/>
    </row>
    <row r="1376" spans="1:83" x14ac:dyDescent="0.25">
      <c r="A1376" s="31"/>
      <c r="B1376" s="30"/>
      <c r="C1376" s="30"/>
      <c r="BW1376" s="17"/>
      <c r="BX1376" s="17"/>
      <c r="BY1376" s="17"/>
      <c r="BZ1376" s="17"/>
      <c r="CA1376" s="17"/>
      <c r="CB1376" s="17"/>
      <c r="CC1376" s="17"/>
      <c r="CD1376" s="17"/>
      <c r="CE1376" s="17"/>
    </row>
    <row r="1377" spans="1:83" x14ac:dyDescent="0.25">
      <c r="A1377" s="31"/>
      <c r="B1377" s="30"/>
      <c r="C1377" s="30"/>
      <c r="BW1377" s="17"/>
      <c r="BX1377" s="17"/>
      <c r="BY1377" s="17"/>
      <c r="BZ1377" s="17"/>
      <c r="CA1377" s="17"/>
      <c r="CB1377" s="17"/>
      <c r="CC1377" s="17"/>
      <c r="CD1377" s="17"/>
      <c r="CE1377" s="17"/>
    </row>
    <row r="1378" spans="1:83" x14ac:dyDescent="0.25">
      <c r="A1378" s="31"/>
      <c r="B1378" s="30"/>
      <c r="C1378" s="30"/>
      <c r="BW1378" s="17"/>
      <c r="BX1378" s="17"/>
      <c r="BY1378" s="17"/>
      <c r="BZ1378" s="17"/>
      <c r="CA1378" s="17"/>
      <c r="CB1378" s="17"/>
      <c r="CC1378" s="17"/>
      <c r="CD1378" s="17"/>
      <c r="CE1378" s="17"/>
    </row>
    <row r="1379" spans="1:83" x14ac:dyDescent="0.25">
      <c r="A1379" s="31"/>
      <c r="B1379" s="30"/>
      <c r="C1379" s="30"/>
      <c r="BW1379" s="17"/>
      <c r="BX1379" s="17"/>
      <c r="BY1379" s="17"/>
      <c r="BZ1379" s="17"/>
      <c r="CA1379" s="17"/>
      <c r="CB1379" s="17"/>
      <c r="CC1379" s="17"/>
      <c r="CD1379" s="17"/>
      <c r="CE1379" s="17"/>
    </row>
    <row r="1380" spans="1:83" x14ac:dyDescent="0.25">
      <c r="A1380" s="31"/>
      <c r="B1380" s="30"/>
      <c r="C1380" s="30"/>
      <c r="BW1380" s="17"/>
      <c r="BX1380" s="17"/>
      <c r="BY1380" s="17"/>
      <c r="BZ1380" s="17"/>
      <c r="CA1380" s="17"/>
      <c r="CB1380" s="17"/>
      <c r="CC1380" s="17"/>
      <c r="CD1380" s="17"/>
      <c r="CE1380" s="17"/>
    </row>
    <row r="1381" spans="1:83" x14ac:dyDescent="0.25">
      <c r="A1381" s="31"/>
      <c r="B1381" s="30"/>
      <c r="C1381" s="30"/>
      <c r="BW1381" s="17"/>
      <c r="BX1381" s="17"/>
      <c r="BY1381" s="17"/>
      <c r="BZ1381" s="17"/>
      <c r="CA1381" s="17"/>
      <c r="CB1381" s="17"/>
      <c r="CC1381" s="17"/>
      <c r="CD1381" s="17"/>
      <c r="CE1381" s="17"/>
    </row>
    <row r="1382" spans="1:83" x14ac:dyDescent="0.25">
      <c r="A1382" s="31"/>
      <c r="B1382" s="30"/>
      <c r="C1382" s="30"/>
      <c r="BW1382" s="17"/>
      <c r="BX1382" s="17"/>
      <c r="BY1382" s="17"/>
      <c r="BZ1382" s="17"/>
      <c r="CA1382" s="17"/>
      <c r="CB1382" s="17"/>
      <c r="CC1382" s="17"/>
      <c r="CD1382" s="17"/>
      <c r="CE1382" s="17"/>
    </row>
    <row r="1383" spans="1:83" x14ac:dyDescent="0.25">
      <c r="A1383" s="31"/>
      <c r="B1383" s="30"/>
      <c r="C1383" s="30"/>
      <c r="BW1383" s="17"/>
      <c r="BX1383" s="17"/>
      <c r="BY1383" s="17"/>
      <c r="BZ1383" s="17"/>
      <c r="CA1383" s="17"/>
      <c r="CB1383" s="17"/>
      <c r="CC1383" s="17"/>
      <c r="CD1383" s="17"/>
      <c r="CE1383" s="17"/>
    </row>
    <row r="1384" spans="1:83" x14ac:dyDescent="0.25">
      <c r="A1384" s="31"/>
      <c r="B1384" s="30"/>
      <c r="C1384" s="30"/>
      <c r="BW1384" s="17"/>
      <c r="BX1384" s="17"/>
      <c r="BY1384" s="17"/>
      <c r="BZ1384" s="17"/>
      <c r="CA1384" s="17"/>
      <c r="CB1384" s="17"/>
      <c r="CC1384" s="17"/>
      <c r="CD1384" s="17"/>
      <c r="CE1384" s="17"/>
    </row>
    <row r="1385" spans="1:83" x14ac:dyDescent="0.25">
      <c r="A1385" s="31"/>
      <c r="B1385" s="30"/>
      <c r="C1385" s="30"/>
      <c r="BW1385" s="17"/>
      <c r="BX1385" s="17"/>
      <c r="BY1385" s="17"/>
      <c r="BZ1385" s="17"/>
      <c r="CA1385" s="17"/>
      <c r="CB1385" s="17"/>
      <c r="CC1385" s="17"/>
      <c r="CD1385" s="17"/>
      <c r="CE1385" s="17"/>
    </row>
    <row r="1386" spans="1:83" x14ac:dyDescent="0.25">
      <c r="A1386" s="31"/>
      <c r="B1386" s="30"/>
      <c r="C1386" s="30"/>
      <c r="BW1386" s="17"/>
      <c r="BX1386" s="17"/>
      <c r="BY1386" s="17"/>
      <c r="BZ1386" s="17"/>
      <c r="CA1386" s="17"/>
      <c r="CB1386" s="17"/>
      <c r="CC1386" s="17"/>
      <c r="CD1386" s="17"/>
      <c r="CE1386" s="17"/>
    </row>
    <row r="1387" spans="1:83" x14ac:dyDescent="0.25">
      <c r="A1387" s="31"/>
      <c r="B1387" s="30"/>
      <c r="C1387" s="30"/>
      <c r="BW1387" s="17"/>
      <c r="BX1387" s="17"/>
      <c r="BY1387" s="17"/>
      <c r="BZ1387" s="17"/>
      <c r="CA1387" s="17"/>
      <c r="CB1387" s="17"/>
      <c r="CC1387" s="17"/>
      <c r="CD1387" s="17"/>
      <c r="CE1387" s="17"/>
    </row>
    <row r="1388" spans="1:83" x14ac:dyDescent="0.25">
      <c r="A1388" s="31"/>
      <c r="B1388" s="30"/>
      <c r="C1388" s="30"/>
      <c r="BW1388" s="17"/>
      <c r="BX1388" s="17"/>
      <c r="BY1388" s="17"/>
      <c r="BZ1388" s="17"/>
      <c r="CA1388" s="17"/>
      <c r="CB1388" s="17"/>
      <c r="CC1388" s="17"/>
      <c r="CD1388" s="17"/>
      <c r="CE1388" s="17"/>
    </row>
    <row r="1389" spans="1:83" x14ac:dyDescent="0.25">
      <c r="A1389" s="31"/>
      <c r="B1389" s="30"/>
      <c r="C1389" s="30"/>
      <c r="BW1389" s="17"/>
      <c r="BX1389" s="17"/>
      <c r="BY1389" s="17"/>
      <c r="BZ1389" s="17"/>
      <c r="CA1389" s="17"/>
      <c r="CB1389" s="17"/>
      <c r="CC1389" s="17"/>
      <c r="CD1389" s="17"/>
      <c r="CE1389" s="17"/>
    </row>
    <row r="1390" spans="1:83" x14ac:dyDescent="0.25">
      <c r="A1390" s="31"/>
      <c r="B1390" s="30"/>
      <c r="C1390" s="30"/>
      <c r="BW1390" s="17"/>
      <c r="BX1390" s="17"/>
      <c r="BY1390" s="17"/>
      <c r="BZ1390" s="17"/>
      <c r="CA1390" s="17"/>
      <c r="CB1390" s="17"/>
      <c r="CC1390" s="17"/>
      <c r="CD1390" s="17"/>
      <c r="CE1390" s="17"/>
    </row>
    <row r="1391" spans="1:83" x14ac:dyDescent="0.25">
      <c r="A1391" s="31"/>
      <c r="B1391" s="30"/>
      <c r="C1391" s="30"/>
      <c r="BW1391" s="17"/>
      <c r="BX1391" s="17"/>
      <c r="BY1391" s="17"/>
      <c r="BZ1391" s="17"/>
      <c r="CA1391" s="17"/>
      <c r="CB1391" s="17"/>
      <c r="CC1391" s="17"/>
      <c r="CD1391" s="17"/>
      <c r="CE1391" s="17"/>
    </row>
    <row r="1392" spans="1:83" x14ac:dyDescent="0.25">
      <c r="A1392" s="31"/>
      <c r="B1392" s="30"/>
      <c r="C1392" s="30"/>
      <c r="BW1392" s="17"/>
      <c r="BX1392" s="17"/>
      <c r="BY1392" s="17"/>
      <c r="BZ1392" s="17"/>
      <c r="CA1392" s="17"/>
      <c r="CB1392" s="17"/>
      <c r="CC1392" s="17"/>
      <c r="CD1392" s="17"/>
      <c r="CE1392" s="17"/>
    </row>
    <row r="1393" spans="1:83" x14ac:dyDescent="0.25">
      <c r="A1393" s="31"/>
      <c r="B1393" s="30"/>
      <c r="C1393" s="30"/>
      <c r="BW1393" s="17"/>
      <c r="BX1393" s="17"/>
      <c r="BY1393" s="17"/>
      <c r="BZ1393" s="17"/>
      <c r="CA1393" s="17"/>
      <c r="CB1393" s="17"/>
      <c r="CC1393" s="17"/>
      <c r="CD1393" s="17"/>
      <c r="CE1393" s="17"/>
    </row>
    <row r="1394" spans="1:83" x14ac:dyDescent="0.25">
      <c r="A1394" s="31"/>
      <c r="B1394" s="30"/>
      <c r="C1394" s="30"/>
      <c r="BW1394" s="17"/>
      <c r="BX1394" s="17"/>
      <c r="BY1394" s="17"/>
      <c r="BZ1394" s="17"/>
      <c r="CA1394" s="17"/>
      <c r="CB1394" s="17"/>
      <c r="CC1394" s="17"/>
      <c r="CD1394" s="17"/>
      <c r="CE1394" s="17"/>
    </row>
    <row r="1395" spans="1:83" x14ac:dyDescent="0.25">
      <c r="A1395" s="31"/>
      <c r="B1395" s="30"/>
      <c r="C1395" s="30"/>
      <c r="BW1395" s="17"/>
      <c r="BX1395" s="17"/>
      <c r="BY1395" s="17"/>
      <c r="BZ1395" s="17"/>
      <c r="CA1395" s="17"/>
      <c r="CB1395" s="17"/>
      <c r="CC1395" s="17"/>
      <c r="CD1395" s="17"/>
      <c r="CE1395" s="17"/>
    </row>
    <row r="1396" spans="1:83" x14ac:dyDescent="0.25">
      <c r="A1396" s="31"/>
      <c r="B1396" s="30"/>
      <c r="C1396" s="30"/>
      <c r="BW1396" s="17"/>
      <c r="BX1396" s="17"/>
      <c r="BY1396" s="17"/>
      <c r="BZ1396" s="17"/>
      <c r="CA1396" s="17"/>
      <c r="CB1396" s="17"/>
      <c r="CC1396" s="17"/>
      <c r="CD1396" s="17"/>
      <c r="CE1396" s="17"/>
    </row>
    <row r="1397" spans="1:83" x14ac:dyDescent="0.25">
      <c r="A1397" s="31"/>
      <c r="B1397" s="30"/>
      <c r="C1397" s="30"/>
      <c r="BW1397" s="17"/>
      <c r="BX1397" s="17"/>
      <c r="BY1397" s="17"/>
      <c r="BZ1397" s="17"/>
      <c r="CA1397" s="17"/>
      <c r="CB1397" s="17"/>
      <c r="CC1397" s="17"/>
      <c r="CD1397" s="17"/>
      <c r="CE1397" s="17"/>
    </row>
    <row r="1398" spans="1:83" x14ac:dyDescent="0.25">
      <c r="A1398" s="31"/>
      <c r="B1398" s="30"/>
      <c r="C1398" s="30"/>
      <c r="BW1398" s="17"/>
      <c r="BX1398" s="17"/>
      <c r="BY1398" s="17"/>
      <c r="BZ1398" s="17"/>
      <c r="CA1398" s="17"/>
      <c r="CB1398" s="17"/>
      <c r="CC1398" s="17"/>
      <c r="CD1398" s="17"/>
      <c r="CE1398" s="17"/>
    </row>
    <row r="1399" spans="1:83" x14ac:dyDescent="0.25">
      <c r="A1399" s="31"/>
      <c r="B1399" s="30"/>
      <c r="C1399" s="30"/>
      <c r="BW1399" s="17"/>
      <c r="BX1399" s="17"/>
      <c r="BY1399" s="17"/>
      <c r="BZ1399" s="17"/>
      <c r="CA1399" s="17"/>
      <c r="CB1399" s="17"/>
      <c r="CC1399" s="17"/>
      <c r="CD1399" s="17"/>
      <c r="CE1399" s="17"/>
    </row>
    <row r="1400" spans="1:83" x14ac:dyDescent="0.25">
      <c r="A1400" s="31"/>
      <c r="B1400" s="30"/>
      <c r="C1400" s="30"/>
      <c r="BW1400" s="17"/>
      <c r="BX1400" s="17"/>
      <c r="BY1400" s="17"/>
      <c r="BZ1400" s="17"/>
      <c r="CA1400" s="17"/>
      <c r="CB1400" s="17"/>
      <c r="CC1400" s="17"/>
      <c r="CD1400" s="17"/>
      <c r="CE1400" s="17"/>
    </row>
    <row r="1401" spans="1:83" x14ac:dyDescent="0.25">
      <c r="A1401" s="31"/>
      <c r="B1401" s="30"/>
      <c r="C1401" s="30"/>
      <c r="BW1401" s="17"/>
      <c r="BX1401" s="17"/>
      <c r="BY1401" s="17"/>
      <c r="BZ1401" s="17"/>
      <c r="CA1401" s="17"/>
      <c r="CB1401" s="17"/>
      <c r="CC1401" s="17"/>
      <c r="CD1401" s="17"/>
      <c r="CE1401" s="17"/>
    </row>
    <row r="1402" spans="1:83" x14ac:dyDescent="0.25">
      <c r="A1402" s="31"/>
      <c r="B1402" s="30"/>
      <c r="C1402" s="30"/>
      <c r="BW1402" s="17"/>
      <c r="BX1402" s="17"/>
      <c r="BY1402" s="17"/>
      <c r="BZ1402" s="17"/>
      <c r="CA1402" s="17"/>
      <c r="CB1402" s="17"/>
      <c r="CC1402" s="17"/>
      <c r="CD1402" s="17"/>
      <c r="CE1402" s="17"/>
    </row>
    <row r="1403" spans="1:83" x14ac:dyDescent="0.25">
      <c r="A1403" s="31"/>
      <c r="B1403" s="30"/>
      <c r="C1403" s="30"/>
      <c r="BW1403" s="17"/>
      <c r="BX1403" s="17"/>
      <c r="BY1403" s="17"/>
      <c r="BZ1403" s="17"/>
      <c r="CA1403" s="17"/>
      <c r="CB1403" s="17"/>
      <c r="CC1403" s="17"/>
      <c r="CD1403" s="17"/>
      <c r="CE1403" s="17"/>
    </row>
    <row r="1404" spans="1:83" x14ac:dyDescent="0.25">
      <c r="A1404" s="31"/>
      <c r="B1404" s="30"/>
      <c r="C1404" s="30"/>
      <c r="BW1404" s="17"/>
      <c r="BX1404" s="17"/>
      <c r="BY1404" s="17"/>
      <c r="BZ1404" s="17"/>
      <c r="CA1404" s="17"/>
      <c r="CB1404" s="17"/>
      <c r="CC1404" s="17"/>
      <c r="CD1404" s="17"/>
      <c r="CE1404" s="17"/>
    </row>
    <row r="1405" spans="1:83" x14ac:dyDescent="0.25">
      <c r="A1405" s="31"/>
      <c r="B1405" s="30"/>
      <c r="C1405" s="30"/>
      <c r="BW1405" s="17"/>
      <c r="BX1405" s="17"/>
      <c r="BY1405" s="17"/>
      <c r="BZ1405" s="17"/>
      <c r="CA1405" s="17"/>
      <c r="CB1405" s="17"/>
      <c r="CC1405" s="17"/>
      <c r="CD1405" s="17"/>
      <c r="CE1405" s="17"/>
    </row>
    <row r="1406" spans="1:83" x14ac:dyDescent="0.25">
      <c r="A1406" s="31"/>
      <c r="B1406" s="30"/>
      <c r="C1406" s="30"/>
      <c r="BW1406" s="17"/>
      <c r="BX1406" s="17"/>
      <c r="BY1406" s="17"/>
      <c r="BZ1406" s="17"/>
      <c r="CA1406" s="17"/>
      <c r="CB1406" s="17"/>
      <c r="CC1406" s="17"/>
      <c r="CD1406" s="17"/>
      <c r="CE1406" s="17"/>
    </row>
    <row r="1407" spans="1:83" x14ac:dyDescent="0.25">
      <c r="A1407" s="31"/>
      <c r="B1407" s="30"/>
      <c r="C1407" s="30"/>
      <c r="BW1407" s="17"/>
      <c r="BX1407" s="17"/>
      <c r="BY1407" s="17"/>
      <c r="BZ1407" s="17"/>
      <c r="CA1407" s="17"/>
      <c r="CB1407" s="17"/>
      <c r="CC1407" s="17"/>
      <c r="CD1407" s="17"/>
      <c r="CE1407" s="17"/>
    </row>
    <row r="1408" spans="1:83" x14ac:dyDescent="0.25">
      <c r="A1408" s="31"/>
      <c r="B1408" s="30"/>
      <c r="C1408" s="30"/>
      <c r="BW1408" s="17"/>
      <c r="BX1408" s="17"/>
      <c r="BY1408" s="17"/>
      <c r="BZ1408" s="17"/>
      <c r="CA1408" s="17"/>
      <c r="CB1408" s="17"/>
      <c r="CC1408" s="17"/>
      <c r="CD1408" s="17"/>
      <c r="CE1408" s="17"/>
    </row>
    <row r="1409" spans="1:83" x14ac:dyDescent="0.25">
      <c r="A1409" s="31"/>
      <c r="B1409" s="30"/>
      <c r="C1409" s="30"/>
      <c r="BW1409" s="17"/>
      <c r="BX1409" s="17"/>
      <c r="BY1409" s="17"/>
      <c r="BZ1409" s="17"/>
      <c r="CA1409" s="17"/>
      <c r="CB1409" s="17"/>
      <c r="CC1409" s="17"/>
      <c r="CD1409" s="17"/>
      <c r="CE1409" s="17"/>
    </row>
    <row r="1410" spans="1:83" x14ac:dyDescent="0.25">
      <c r="A1410" s="31"/>
      <c r="B1410" s="30"/>
      <c r="C1410" s="30"/>
      <c r="BW1410" s="17"/>
      <c r="BX1410" s="17"/>
      <c r="BY1410" s="17"/>
      <c r="BZ1410" s="17"/>
      <c r="CA1410" s="17"/>
      <c r="CB1410" s="17"/>
      <c r="CC1410" s="17"/>
      <c r="CD1410" s="17"/>
      <c r="CE1410" s="17"/>
    </row>
    <row r="1411" spans="1:83" x14ac:dyDescent="0.25">
      <c r="A1411" s="31"/>
      <c r="B1411" s="30"/>
      <c r="C1411" s="30"/>
      <c r="BW1411" s="17"/>
      <c r="BX1411" s="17"/>
      <c r="BY1411" s="17"/>
      <c r="BZ1411" s="17"/>
      <c r="CA1411" s="17"/>
      <c r="CB1411" s="17"/>
      <c r="CC1411" s="17"/>
      <c r="CD1411" s="17"/>
      <c r="CE1411" s="17"/>
    </row>
    <row r="1412" spans="1:83" x14ac:dyDescent="0.25">
      <c r="A1412" s="31"/>
      <c r="B1412" s="30"/>
      <c r="C1412" s="30"/>
      <c r="BW1412" s="17"/>
      <c r="BX1412" s="17"/>
      <c r="BY1412" s="17"/>
      <c r="BZ1412" s="17"/>
      <c r="CA1412" s="17"/>
      <c r="CB1412" s="17"/>
      <c r="CC1412" s="17"/>
      <c r="CD1412" s="17"/>
      <c r="CE1412" s="17"/>
    </row>
    <row r="1413" spans="1:83" x14ac:dyDescent="0.25">
      <c r="A1413" s="31"/>
      <c r="B1413" s="30"/>
      <c r="C1413" s="30"/>
      <c r="BW1413" s="17"/>
      <c r="BX1413" s="17"/>
      <c r="BY1413" s="17"/>
      <c r="BZ1413" s="17"/>
      <c r="CA1413" s="17"/>
      <c r="CB1413" s="17"/>
      <c r="CC1413" s="17"/>
      <c r="CD1413" s="17"/>
      <c r="CE1413" s="17"/>
    </row>
    <row r="1414" spans="1:83" x14ac:dyDescent="0.25">
      <c r="A1414" s="31"/>
      <c r="B1414" s="30"/>
      <c r="C1414" s="30"/>
      <c r="BW1414" s="17"/>
      <c r="BX1414" s="17"/>
      <c r="BY1414" s="17"/>
      <c r="BZ1414" s="17"/>
      <c r="CA1414" s="17"/>
      <c r="CB1414" s="17"/>
      <c r="CC1414" s="17"/>
      <c r="CD1414" s="17"/>
      <c r="CE1414" s="17"/>
    </row>
    <row r="1415" spans="1:83" x14ac:dyDescent="0.25">
      <c r="A1415" s="31"/>
      <c r="B1415" s="30"/>
      <c r="C1415" s="30"/>
      <c r="BW1415" s="17"/>
      <c r="BX1415" s="17"/>
      <c r="BY1415" s="17"/>
      <c r="BZ1415" s="17"/>
      <c r="CA1415" s="17"/>
      <c r="CB1415" s="17"/>
      <c r="CC1415" s="17"/>
      <c r="CD1415" s="17"/>
      <c r="CE1415" s="17"/>
    </row>
    <row r="1416" spans="1:83" x14ac:dyDescent="0.25">
      <c r="A1416" s="31"/>
      <c r="B1416" s="30"/>
      <c r="C1416" s="30"/>
      <c r="BW1416" s="17"/>
      <c r="BX1416" s="17"/>
      <c r="BY1416" s="17"/>
      <c r="BZ1416" s="17"/>
      <c r="CA1416" s="17"/>
      <c r="CB1416" s="17"/>
      <c r="CC1416" s="17"/>
      <c r="CD1416" s="17"/>
      <c r="CE1416" s="17"/>
    </row>
    <row r="1417" spans="1:83" x14ac:dyDescent="0.25">
      <c r="A1417" s="31"/>
      <c r="B1417" s="30"/>
      <c r="C1417" s="30"/>
      <c r="BW1417" s="17"/>
      <c r="BX1417" s="17"/>
      <c r="BY1417" s="17"/>
      <c r="BZ1417" s="17"/>
      <c r="CA1417" s="17"/>
      <c r="CB1417" s="17"/>
      <c r="CC1417" s="17"/>
      <c r="CD1417" s="17"/>
      <c r="CE1417" s="17"/>
    </row>
    <row r="1418" spans="1:83" x14ac:dyDescent="0.25">
      <c r="A1418" s="31"/>
      <c r="B1418" s="30"/>
      <c r="C1418" s="30"/>
      <c r="BW1418" s="17"/>
      <c r="BX1418" s="17"/>
      <c r="BY1418" s="17"/>
      <c r="BZ1418" s="17"/>
      <c r="CA1418" s="17"/>
      <c r="CB1418" s="17"/>
      <c r="CC1418" s="17"/>
      <c r="CD1418" s="17"/>
      <c r="CE1418" s="17"/>
    </row>
    <row r="1419" spans="1:83" x14ac:dyDescent="0.25">
      <c r="A1419" s="31"/>
      <c r="B1419" s="30"/>
      <c r="C1419" s="30"/>
      <c r="BW1419" s="17"/>
      <c r="BX1419" s="17"/>
      <c r="BY1419" s="17"/>
      <c r="BZ1419" s="17"/>
      <c r="CA1419" s="17"/>
      <c r="CB1419" s="17"/>
      <c r="CC1419" s="17"/>
      <c r="CD1419" s="17"/>
      <c r="CE1419" s="17"/>
    </row>
    <row r="1420" spans="1:83" x14ac:dyDescent="0.25">
      <c r="A1420" s="31"/>
      <c r="B1420" s="30"/>
      <c r="C1420" s="30"/>
      <c r="BW1420" s="17"/>
      <c r="BX1420" s="17"/>
      <c r="BY1420" s="17"/>
      <c r="BZ1420" s="17"/>
      <c r="CA1420" s="17"/>
      <c r="CB1420" s="17"/>
      <c r="CC1420" s="17"/>
      <c r="CD1420" s="17"/>
      <c r="CE1420" s="17"/>
    </row>
    <row r="1421" spans="1:83" x14ac:dyDescent="0.25">
      <c r="A1421" s="31"/>
      <c r="B1421" s="30"/>
      <c r="C1421" s="30"/>
      <c r="BW1421" s="17"/>
      <c r="BX1421" s="17"/>
      <c r="BY1421" s="17"/>
      <c r="BZ1421" s="17"/>
      <c r="CA1421" s="17"/>
      <c r="CB1421" s="17"/>
      <c r="CC1421" s="17"/>
      <c r="CD1421" s="17"/>
      <c r="CE1421" s="17"/>
    </row>
    <row r="1422" spans="1:83" x14ac:dyDescent="0.25">
      <c r="A1422" s="31"/>
      <c r="B1422" s="30"/>
      <c r="C1422" s="30"/>
      <c r="BW1422" s="17"/>
      <c r="BX1422" s="17"/>
      <c r="BY1422" s="17"/>
      <c r="BZ1422" s="17"/>
      <c r="CA1422" s="17"/>
      <c r="CB1422" s="17"/>
      <c r="CC1422" s="17"/>
      <c r="CD1422" s="17"/>
      <c r="CE1422" s="17"/>
    </row>
    <row r="1423" spans="1:83" x14ac:dyDescent="0.25">
      <c r="A1423" s="31"/>
      <c r="B1423" s="30"/>
      <c r="C1423" s="30"/>
      <c r="BW1423" s="17"/>
      <c r="BX1423" s="17"/>
      <c r="BY1423" s="17"/>
      <c r="BZ1423" s="17"/>
      <c r="CA1423" s="17"/>
      <c r="CB1423" s="17"/>
      <c r="CC1423" s="17"/>
      <c r="CD1423" s="17"/>
      <c r="CE1423" s="17"/>
    </row>
    <row r="1424" spans="1:83" x14ac:dyDescent="0.25">
      <c r="A1424" s="31"/>
      <c r="B1424" s="30"/>
      <c r="C1424" s="30"/>
      <c r="BW1424" s="17"/>
      <c r="BX1424" s="17"/>
      <c r="BY1424" s="17"/>
      <c r="BZ1424" s="17"/>
      <c r="CA1424" s="17"/>
      <c r="CB1424" s="17"/>
      <c r="CC1424" s="17"/>
      <c r="CD1424" s="17"/>
      <c r="CE1424" s="17"/>
    </row>
    <row r="1425" spans="1:83" x14ac:dyDescent="0.25">
      <c r="A1425" s="31"/>
      <c r="B1425" s="30"/>
      <c r="C1425" s="30"/>
      <c r="BW1425" s="17"/>
      <c r="BX1425" s="17"/>
      <c r="BY1425" s="17"/>
      <c r="BZ1425" s="17"/>
      <c r="CA1425" s="17"/>
      <c r="CB1425" s="17"/>
      <c r="CC1425" s="17"/>
      <c r="CD1425" s="17"/>
      <c r="CE1425" s="17"/>
    </row>
    <row r="1426" spans="1:83" x14ac:dyDescent="0.25">
      <c r="A1426" s="31"/>
      <c r="B1426" s="30"/>
      <c r="C1426" s="30"/>
      <c r="BW1426" s="17"/>
      <c r="BX1426" s="17"/>
      <c r="BY1426" s="17"/>
      <c r="BZ1426" s="17"/>
      <c r="CA1426" s="17"/>
      <c r="CB1426" s="17"/>
      <c r="CC1426" s="17"/>
      <c r="CD1426" s="17"/>
      <c r="CE1426" s="17"/>
    </row>
    <row r="1427" spans="1:83" x14ac:dyDescent="0.25">
      <c r="A1427" s="31"/>
      <c r="B1427" s="30"/>
      <c r="C1427" s="30"/>
      <c r="BW1427" s="17"/>
      <c r="BX1427" s="17"/>
      <c r="BY1427" s="17"/>
      <c r="BZ1427" s="17"/>
      <c r="CA1427" s="17"/>
      <c r="CB1427" s="17"/>
      <c r="CC1427" s="17"/>
      <c r="CD1427" s="17"/>
      <c r="CE1427" s="17"/>
    </row>
    <row r="1428" spans="1:83" x14ac:dyDescent="0.25">
      <c r="A1428" s="31"/>
      <c r="B1428" s="30"/>
      <c r="C1428" s="30"/>
      <c r="BW1428" s="17"/>
      <c r="BX1428" s="17"/>
      <c r="BY1428" s="17"/>
      <c r="BZ1428" s="17"/>
      <c r="CA1428" s="17"/>
      <c r="CB1428" s="17"/>
      <c r="CC1428" s="17"/>
      <c r="CD1428" s="17"/>
      <c r="CE1428" s="17"/>
    </row>
    <row r="1429" spans="1:83" x14ac:dyDescent="0.25">
      <c r="A1429" s="31"/>
      <c r="B1429" s="30"/>
      <c r="C1429" s="30"/>
      <c r="BW1429" s="17"/>
      <c r="BX1429" s="17"/>
      <c r="BY1429" s="17"/>
      <c r="BZ1429" s="17"/>
      <c r="CA1429" s="17"/>
      <c r="CB1429" s="17"/>
      <c r="CC1429" s="17"/>
      <c r="CD1429" s="17"/>
      <c r="CE1429" s="17"/>
    </row>
    <row r="1430" spans="1:83" x14ac:dyDescent="0.25">
      <c r="A1430" s="31"/>
      <c r="B1430" s="30"/>
      <c r="C1430" s="30"/>
      <c r="BW1430" s="17"/>
      <c r="BX1430" s="17"/>
      <c r="BY1430" s="17"/>
      <c r="BZ1430" s="17"/>
      <c r="CA1430" s="17"/>
      <c r="CB1430" s="17"/>
      <c r="CC1430" s="17"/>
      <c r="CD1430" s="17"/>
      <c r="CE1430" s="17"/>
    </row>
    <row r="1431" spans="1:83" x14ac:dyDescent="0.25">
      <c r="A1431" s="31"/>
      <c r="B1431" s="30"/>
      <c r="C1431" s="30"/>
      <c r="BW1431" s="17"/>
      <c r="BX1431" s="17"/>
      <c r="BY1431" s="17"/>
      <c r="BZ1431" s="17"/>
      <c r="CA1431" s="17"/>
      <c r="CB1431" s="17"/>
      <c r="CC1431" s="17"/>
      <c r="CD1431" s="17"/>
      <c r="CE1431" s="17"/>
    </row>
    <row r="1432" spans="1:83" x14ac:dyDescent="0.25">
      <c r="A1432" s="31"/>
      <c r="B1432" s="30"/>
      <c r="C1432" s="30"/>
      <c r="BW1432" s="17"/>
      <c r="BX1432" s="17"/>
      <c r="BY1432" s="17"/>
      <c r="BZ1432" s="17"/>
      <c r="CA1432" s="17"/>
      <c r="CB1432" s="17"/>
      <c r="CC1432" s="17"/>
      <c r="CD1432" s="17"/>
      <c r="CE1432" s="17"/>
    </row>
    <row r="1433" spans="1:83" x14ac:dyDescent="0.25">
      <c r="A1433" s="31"/>
      <c r="B1433" s="30"/>
      <c r="C1433" s="30"/>
      <c r="BW1433" s="17"/>
      <c r="BX1433" s="17"/>
      <c r="BY1433" s="17"/>
      <c r="BZ1433" s="17"/>
      <c r="CA1433" s="17"/>
      <c r="CB1433" s="17"/>
      <c r="CC1433" s="17"/>
      <c r="CD1433" s="17"/>
      <c r="CE1433" s="17"/>
    </row>
    <row r="1434" spans="1:83" x14ac:dyDescent="0.25">
      <c r="A1434" s="31"/>
      <c r="B1434" s="30"/>
      <c r="C1434" s="30"/>
      <c r="BW1434" s="17"/>
      <c r="BX1434" s="17"/>
      <c r="BY1434" s="17"/>
      <c r="BZ1434" s="17"/>
      <c r="CA1434" s="17"/>
      <c r="CB1434" s="17"/>
      <c r="CC1434" s="17"/>
      <c r="CD1434" s="17"/>
      <c r="CE1434" s="17"/>
    </row>
    <row r="1435" spans="1:83" x14ac:dyDescent="0.25">
      <c r="A1435" s="31"/>
      <c r="B1435" s="30"/>
      <c r="C1435" s="30"/>
      <c r="BW1435" s="17"/>
      <c r="BX1435" s="17"/>
      <c r="BY1435" s="17"/>
      <c r="BZ1435" s="17"/>
      <c r="CA1435" s="17"/>
      <c r="CB1435" s="17"/>
      <c r="CC1435" s="17"/>
      <c r="CD1435" s="17"/>
      <c r="CE1435" s="17"/>
    </row>
    <row r="1436" spans="1:83" x14ac:dyDescent="0.25">
      <c r="A1436" s="31"/>
      <c r="B1436" s="30"/>
      <c r="C1436" s="30"/>
      <c r="BW1436" s="17"/>
      <c r="BX1436" s="17"/>
      <c r="BY1436" s="17"/>
      <c r="BZ1436" s="17"/>
      <c r="CA1436" s="17"/>
      <c r="CB1436" s="17"/>
      <c r="CC1436" s="17"/>
      <c r="CD1436" s="17"/>
      <c r="CE1436" s="17"/>
    </row>
    <row r="1437" spans="1:83" x14ac:dyDescent="0.25">
      <c r="A1437" s="31"/>
      <c r="B1437" s="30"/>
      <c r="C1437" s="30"/>
      <c r="BW1437" s="17"/>
      <c r="BX1437" s="17"/>
      <c r="BY1437" s="17"/>
      <c r="BZ1437" s="17"/>
      <c r="CA1437" s="17"/>
      <c r="CB1437" s="17"/>
      <c r="CC1437" s="17"/>
      <c r="CD1437" s="17"/>
      <c r="CE1437" s="17"/>
    </row>
    <row r="1438" spans="1:83" x14ac:dyDescent="0.25">
      <c r="A1438" s="31"/>
      <c r="B1438" s="30"/>
      <c r="C1438" s="30"/>
      <c r="BW1438" s="17"/>
      <c r="BX1438" s="17"/>
      <c r="BY1438" s="17"/>
      <c r="BZ1438" s="17"/>
      <c r="CA1438" s="17"/>
      <c r="CB1438" s="17"/>
      <c r="CC1438" s="17"/>
      <c r="CD1438" s="17"/>
      <c r="CE1438" s="17"/>
    </row>
    <row r="1439" spans="1:83" x14ac:dyDescent="0.25">
      <c r="A1439" s="31"/>
      <c r="B1439" s="30"/>
      <c r="C1439" s="30"/>
      <c r="BW1439" s="17"/>
      <c r="BX1439" s="17"/>
      <c r="BY1439" s="17"/>
      <c r="BZ1439" s="17"/>
      <c r="CA1439" s="17"/>
      <c r="CB1439" s="17"/>
      <c r="CC1439" s="17"/>
      <c r="CD1439" s="17"/>
      <c r="CE1439" s="17"/>
    </row>
    <row r="1440" spans="1:83" x14ac:dyDescent="0.25">
      <c r="A1440" s="31"/>
      <c r="B1440" s="30"/>
      <c r="C1440" s="30"/>
      <c r="BW1440" s="17"/>
      <c r="BX1440" s="17"/>
      <c r="BY1440" s="17"/>
      <c r="BZ1440" s="17"/>
      <c r="CA1440" s="17"/>
      <c r="CB1440" s="17"/>
      <c r="CC1440" s="17"/>
      <c r="CD1440" s="17"/>
      <c r="CE1440" s="17"/>
    </row>
    <row r="1441" spans="1:83" x14ac:dyDescent="0.25">
      <c r="A1441" s="31"/>
      <c r="B1441" s="30"/>
      <c r="C1441" s="30"/>
      <c r="BW1441" s="17"/>
      <c r="BX1441" s="17"/>
      <c r="BY1441" s="17"/>
      <c r="BZ1441" s="17"/>
      <c r="CA1441" s="17"/>
      <c r="CB1441" s="17"/>
      <c r="CC1441" s="17"/>
      <c r="CD1441" s="17"/>
      <c r="CE1441" s="17"/>
    </row>
    <row r="1442" spans="1:83" x14ac:dyDescent="0.25">
      <c r="A1442" s="31"/>
      <c r="B1442" s="30"/>
      <c r="C1442" s="30"/>
      <c r="BW1442" s="17"/>
      <c r="BX1442" s="17"/>
      <c r="BY1442" s="17"/>
      <c r="BZ1442" s="17"/>
      <c r="CA1442" s="17"/>
      <c r="CB1442" s="17"/>
      <c r="CC1442" s="17"/>
      <c r="CD1442" s="17"/>
      <c r="CE1442" s="17"/>
    </row>
    <row r="1443" spans="1:83" x14ac:dyDescent="0.25">
      <c r="A1443" s="31"/>
      <c r="B1443" s="30"/>
      <c r="C1443" s="30"/>
      <c r="BW1443" s="17"/>
      <c r="BX1443" s="17"/>
      <c r="BY1443" s="17"/>
      <c r="BZ1443" s="17"/>
      <c r="CA1443" s="17"/>
      <c r="CB1443" s="17"/>
      <c r="CC1443" s="17"/>
      <c r="CD1443" s="17"/>
      <c r="CE1443" s="17"/>
    </row>
    <row r="1444" spans="1:83" x14ac:dyDescent="0.25">
      <c r="A1444" s="31"/>
      <c r="B1444" s="30"/>
      <c r="C1444" s="30"/>
      <c r="BW1444" s="17"/>
      <c r="BX1444" s="17"/>
      <c r="BY1444" s="17"/>
      <c r="BZ1444" s="17"/>
      <c r="CA1444" s="17"/>
      <c r="CB1444" s="17"/>
      <c r="CC1444" s="17"/>
      <c r="CD1444" s="17"/>
      <c r="CE1444" s="17"/>
    </row>
    <row r="1445" spans="1:83" x14ac:dyDescent="0.25">
      <c r="A1445" s="31"/>
      <c r="B1445" s="30"/>
      <c r="C1445" s="30"/>
      <c r="BW1445" s="17"/>
      <c r="BX1445" s="17"/>
      <c r="BY1445" s="17"/>
      <c r="BZ1445" s="17"/>
      <c r="CA1445" s="17"/>
      <c r="CB1445" s="17"/>
      <c r="CC1445" s="17"/>
      <c r="CD1445" s="17"/>
      <c r="CE1445" s="17"/>
    </row>
    <row r="1446" spans="1:83" x14ac:dyDescent="0.25">
      <c r="A1446" s="31"/>
      <c r="B1446" s="30"/>
      <c r="C1446" s="30"/>
      <c r="BW1446" s="17"/>
      <c r="BX1446" s="17"/>
      <c r="BY1446" s="17"/>
      <c r="BZ1446" s="17"/>
      <c r="CA1446" s="17"/>
      <c r="CB1446" s="17"/>
      <c r="CC1446" s="17"/>
      <c r="CD1446" s="17"/>
      <c r="CE1446" s="17"/>
    </row>
    <row r="1447" spans="1:83" x14ac:dyDescent="0.25">
      <c r="A1447" s="31"/>
      <c r="B1447" s="30"/>
      <c r="C1447" s="30"/>
      <c r="BW1447" s="17"/>
      <c r="BX1447" s="17"/>
      <c r="BY1447" s="17"/>
      <c r="BZ1447" s="17"/>
      <c r="CA1447" s="17"/>
      <c r="CB1447" s="17"/>
      <c r="CC1447" s="17"/>
      <c r="CD1447" s="17"/>
      <c r="CE1447" s="17"/>
    </row>
    <row r="1448" spans="1:83" x14ac:dyDescent="0.25">
      <c r="A1448" s="31"/>
      <c r="B1448" s="30"/>
      <c r="C1448" s="30"/>
      <c r="BW1448" s="17"/>
      <c r="BX1448" s="17"/>
      <c r="BY1448" s="17"/>
      <c r="BZ1448" s="17"/>
      <c r="CA1448" s="17"/>
      <c r="CB1448" s="17"/>
      <c r="CC1448" s="17"/>
      <c r="CD1448" s="17"/>
      <c r="CE1448" s="17"/>
    </row>
    <row r="1449" spans="1:83" x14ac:dyDescent="0.25">
      <c r="A1449" s="31"/>
      <c r="B1449" s="30"/>
      <c r="C1449" s="30"/>
      <c r="BW1449" s="17"/>
      <c r="BX1449" s="17"/>
      <c r="BY1449" s="17"/>
      <c r="BZ1449" s="17"/>
      <c r="CA1449" s="17"/>
      <c r="CB1449" s="17"/>
      <c r="CC1449" s="17"/>
      <c r="CD1449" s="17"/>
      <c r="CE1449" s="17"/>
    </row>
    <row r="1450" spans="1:83" x14ac:dyDescent="0.25">
      <c r="A1450" s="31"/>
      <c r="B1450" s="30"/>
      <c r="C1450" s="30"/>
      <c r="BW1450" s="17"/>
      <c r="BX1450" s="17"/>
      <c r="BY1450" s="17"/>
      <c r="BZ1450" s="17"/>
      <c r="CA1450" s="17"/>
      <c r="CB1450" s="17"/>
      <c r="CC1450" s="17"/>
      <c r="CD1450" s="17"/>
      <c r="CE1450" s="17"/>
    </row>
    <row r="1451" spans="1:83" x14ac:dyDescent="0.25">
      <c r="A1451" s="31"/>
      <c r="B1451" s="30"/>
      <c r="C1451" s="30"/>
      <c r="BW1451" s="17"/>
      <c r="BX1451" s="17"/>
      <c r="BY1451" s="17"/>
      <c r="BZ1451" s="17"/>
      <c r="CA1451" s="17"/>
      <c r="CB1451" s="17"/>
      <c r="CC1451" s="17"/>
      <c r="CD1451" s="17"/>
      <c r="CE1451" s="17"/>
    </row>
    <row r="1452" spans="1:83" x14ac:dyDescent="0.25">
      <c r="A1452" s="31"/>
      <c r="B1452" s="30"/>
      <c r="C1452" s="30"/>
      <c r="BW1452" s="17"/>
      <c r="BX1452" s="17"/>
      <c r="BY1452" s="17"/>
      <c r="BZ1452" s="17"/>
      <c r="CA1452" s="17"/>
      <c r="CB1452" s="17"/>
      <c r="CC1452" s="17"/>
      <c r="CD1452" s="17"/>
      <c r="CE1452" s="17"/>
    </row>
    <row r="1453" spans="1:83" x14ac:dyDescent="0.25">
      <c r="A1453" s="31"/>
      <c r="B1453" s="30"/>
      <c r="C1453" s="30"/>
      <c r="BW1453" s="17"/>
      <c r="BX1453" s="17"/>
      <c r="BY1453" s="17"/>
      <c r="BZ1453" s="17"/>
      <c r="CA1453" s="17"/>
      <c r="CB1453" s="17"/>
      <c r="CC1453" s="17"/>
      <c r="CD1453" s="17"/>
      <c r="CE1453" s="17"/>
    </row>
    <row r="1454" spans="1:83" x14ac:dyDescent="0.25">
      <c r="A1454" s="31"/>
      <c r="B1454" s="30"/>
      <c r="C1454" s="30"/>
      <c r="BW1454" s="17"/>
      <c r="BX1454" s="17"/>
      <c r="BY1454" s="17"/>
      <c r="BZ1454" s="17"/>
      <c r="CA1454" s="17"/>
      <c r="CB1454" s="17"/>
      <c r="CC1454" s="17"/>
      <c r="CD1454" s="17"/>
      <c r="CE1454" s="17"/>
    </row>
    <row r="1455" spans="1:83" x14ac:dyDescent="0.25">
      <c r="A1455" s="31"/>
      <c r="B1455" s="30"/>
      <c r="C1455" s="30"/>
      <c r="BW1455" s="17"/>
      <c r="BX1455" s="17"/>
      <c r="BY1455" s="17"/>
      <c r="BZ1455" s="17"/>
      <c r="CA1455" s="17"/>
      <c r="CB1455" s="17"/>
      <c r="CC1455" s="17"/>
      <c r="CD1455" s="17"/>
      <c r="CE1455" s="17"/>
    </row>
    <row r="1456" spans="1:83" x14ac:dyDescent="0.25">
      <c r="A1456" s="31"/>
      <c r="B1456" s="30"/>
      <c r="C1456" s="30"/>
      <c r="BW1456" s="17"/>
      <c r="BX1456" s="17"/>
      <c r="BY1456" s="17"/>
      <c r="BZ1456" s="17"/>
      <c r="CA1456" s="17"/>
      <c r="CB1456" s="17"/>
      <c r="CC1456" s="17"/>
      <c r="CD1456" s="17"/>
      <c r="CE1456" s="17"/>
    </row>
    <row r="1457" spans="1:83" x14ac:dyDescent="0.25">
      <c r="A1457" s="31"/>
      <c r="B1457" s="30"/>
      <c r="C1457" s="30"/>
      <c r="BW1457" s="17"/>
      <c r="BX1457" s="17"/>
      <c r="BY1457" s="17"/>
      <c r="BZ1457" s="17"/>
      <c r="CA1457" s="17"/>
      <c r="CB1457" s="17"/>
      <c r="CC1457" s="17"/>
      <c r="CD1457" s="17"/>
      <c r="CE1457" s="17"/>
    </row>
    <row r="1458" spans="1:83" x14ac:dyDescent="0.25">
      <c r="A1458" s="31"/>
      <c r="B1458" s="30"/>
      <c r="C1458" s="30"/>
      <c r="BW1458" s="17"/>
      <c r="BX1458" s="17"/>
      <c r="BY1458" s="17"/>
      <c r="BZ1458" s="17"/>
      <c r="CA1458" s="17"/>
      <c r="CB1458" s="17"/>
      <c r="CC1458" s="17"/>
      <c r="CD1458" s="17"/>
      <c r="CE1458" s="17"/>
    </row>
    <row r="1459" spans="1:83" x14ac:dyDescent="0.25">
      <c r="A1459" s="31"/>
      <c r="B1459" s="30"/>
      <c r="C1459" s="30"/>
      <c r="BW1459" s="17"/>
      <c r="BX1459" s="17"/>
      <c r="BY1459" s="17"/>
      <c r="BZ1459" s="17"/>
      <c r="CA1459" s="17"/>
      <c r="CB1459" s="17"/>
      <c r="CC1459" s="17"/>
      <c r="CD1459" s="17"/>
      <c r="CE1459" s="17"/>
    </row>
    <row r="1460" spans="1:83" x14ac:dyDescent="0.25">
      <c r="A1460" s="31"/>
      <c r="B1460" s="30"/>
      <c r="C1460" s="30"/>
      <c r="BW1460" s="17"/>
      <c r="BX1460" s="17"/>
      <c r="BY1460" s="17"/>
      <c r="BZ1460" s="17"/>
      <c r="CA1460" s="17"/>
      <c r="CB1460" s="17"/>
      <c r="CC1460" s="17"/>
      <c r="CD1460" s="17"/>
      <c r="CE1460" s="17"/>
    </row>
    <row r="1461" spans="1:83" x14ac:dyDescent="0.25">
      <c r="A1461" s="31"/>
      <c r="B1461" s="30"/>
      <c r="C1461" s="30"/>
      <c r="BW1461" s="17"/>
      <c r="BX1461" s="17"/>
      <c r="BY1461" s="17"/>
      <c r="BZ1461" s="17"/>
      <c r="CA1461" s="17"/>
      <c r="CB1461" s="17"/>
      <c r="CC1461" s="17"/>
      <c r="CD1461" s="17"/>
      <c r="CE1461" s="17"/>
    </row>
    <row r="1462" spans="1:83" x14ac:dyDescent="0.25">
      <c r="A1462" s="31"/>
      <c r="B1462" s="30"/>
      <c r="C1462" s="30"/>
      <c r="BW1462" s="17"/>
      <c r="BX1462" s="17"/>
      <c r="BY1462" s="17"/>
      <c r="BZ1462" s="17"/>
      <c r="CA1462" s="17"/>
      <c r="CB1462" s="17"/>
      <c r="CC1462" s="17"/>
      <c r="CD1462" s="17"/>
      <c r="CE1462" s="17"/>
    </row>
    <row r="1463" spans="1:83" x14ac:dyDescent="0.25">
      <c r="A1463" s="31"/>
      <c r="B1463" s="30"/>
      <c r="C1463" s="30"/>
      <c r="BW1463" s="17"/>
      <c r="BX1463" s="17"/>
      <c r="BY1463" s="17"/>
      <c r="BZ1463" s="17"/>
      <c r="CA1463" s="17"/>
      <c r="CB1463" s="17"/>
      <c r="CC1463" s="17"/>
      <c r="CD1463" s="17"/>
      <c r="CE1463" s="17"/>
    </row>
    <row r="1464" spans="1:83" x14ac:dyDescent="0.25">
      <c r="A1464" s="31"/>
      <c r="B1464" s="30"/>
      <c r="C1464" s="30"/>
      <c r="BW1464" s="17"/>
      <c r="BX1464" s="17"/>
      <c r="BY1464" s="17"/>
      <c r="BZ1464" s="17"/>
      <c r="CA1464" s="17"/>
      <c r="CB1464" s="17"/>
      <c r="CC1464" s="17"/>
      <c r="CD1464" s="17"/>
      <c r="CE1464" s="17"/>
    </row>
    <row r="1465" spans="1:83" x14ac:dyDescent="0.25">
      <c r="A1465" s="31"/>
      <c r="B1465" s="30"/>
      <c r="C1465" s="30"/>
      <c r="BW1465" s="17"/>
      <c r="BX1465" s="17"/>
      <c r="BY1465" s="17"/>
      <c r="BZ1465" s="17"/>
      <c r="CA1465" s="17"/>
      <c r="CB1465" s="17"/>
      <c r="CC1465" s="17"/>
      <c r="CD1465" s="17"/>
      <c r="CE1465" s="17"/>
    </row>
    <row r="1466" spans="1:83" x14ac:dyDescent="0.25">
      <c r="A1466" s="31"/>
      <c r="B1466" s="30"/>
      <c r="C1466" s="30"/>
      <c r="BW1466" s="17"/>
      <c r="BX1466" s="17"/>
      <c r="BY1466" s="17"/>
      <c r="BZ1466" s="17"/>
      <c r="CA1466" s="17"/>
      <c r="CB1466" s="17"/>
      <c r="CC1466" s="17"/>
      <c r="CD1466" s="17"/>
      <c r="CE1466" s="17"/>
    </row>
    <row r="1467" spans="1:83" x14ac:dyDescent="0.25">
      <c r="A1467" s="31"/>
      <c r="B1467" s="30"/>
      <c r="C1467" s="30"/>
      <c r="BW1467" s="17"/>
      <c r="BX1467" s="17"/>
      <c r="BY1467" s="17"/>
      <c r="BZ1467" s="17"/>
      <c r="CA1467" s="17"/>
      <c r="CB1467" s="17"/>
      <c r="CC1467" s="17"/>
      <c r="CD1467" s="17"/>
      <c r="CE1467" s="17"/>
    </row>
    <row r="1468" spans="1:83" x14ac:dyDescent="0.25">
      <c r="A1468" s="31"/>
      <c r="B1468" s="30"/>
      <c r="C1468" s="30"/>
      <c r="BW1468" s="17"/>
      <c r="BX1468" s="17"/>
      <c r="BY1468" s="17"/>
      <c r="BZ1468" s="17"/>
      <c r="CA1468" s="17"/>
      <c r="CB1468" s="17"/>
      <c r="CC1468" s="17"/>
      <c r="CD1468" s="17"/>
      <c r="CE1468" s="17"/>
    </row>
    <row r="1469" spans="1:83" x14ac:dyDescent="0.25">
      <c r="A1469" s="31"/>
      <c r="B1469" s="30"/>
      <c r="C1469" s="30"/>
      <c r="BW1469" s="17"/>
      <c r="BX1469" s="17"/>
      <c r="BY1469" s="17"/>
      <c r="BZ1469" s="17"/>
      <c r="CA1469" s="17"/>
      <c r="CB1469" s="17"/>
      <c r="CC1469" s="17"/>
      <c r="CD1469" s="17"/>
      <c r="CE1469" s="17"/>
    </row>
    <row r="1470" spans="1:83" x14ac:dyDescent="0.25">
      <c r="A1470" s="31"/>
      <c r="B1470" s="30"/>
      <c r="C1470" s="30"/>
      <c r="BW1470" s="17"/>
      <c r="BX1470" s="17"/>
      <c r="BY1470" s="17"/>
      <c r="BZ1470" s="17"/>
      <c r="CA1470" s="17"/>
      <c r="CB1470" s="17"/>
      <c r="CC1470" s="17"/>
      <c r="CD1470" s="17"/>
      <c r="CE1470" s="17"/>
    </row>
    <row r="1471" spans="1:83" x14ac:dyDescent="0.25">
      <c r="A1471" s="31"/>
      <c r="B1471" s="30"/>
      <c r="C1471" s="30"/>
      <c r="BW1471" s="17"/>
      <c r="BX1471" s="17"/>
      <c r="BY1471" s="17"/>
      <c r="BZ1471" s="17"/>
      <c r="CA1471" s="17"/>
      <c r="CB1471" s="17"/>
      <c r="CC1471" s="17"/>
      <c r="CD1471" s="17"/>
      <c r="CE1471" s="17"/>
    </row>
    <row r="1472" spans="1:83" x14ac:dyDescent="0.25">
      <c r="A1472" s="31"/>
      <c r="B1472" s="30"/>
      <c r="C1472" s="30"/>
      <c r="BW1472" s="17"/>
      <c r="BX1472" s="17"/>
      <c r="BY1472" s="17"/>
      <c r="BZ1472" s="17"/>
      <c r="CA1472" s="17"/>
      <c r="CB1472" s="17"/>
      <c r="CC1472" s="17"/>
      <c r="CD1472" s="17"/>
      <c r="CE1472" s="17"/>
    </row>
    <row r="1473" spans="1:83" x14ac:dyDescent="0.25">
      <c r="A1473" s="31"/>
      <c r="B1473" s="30"/>
      <c r="C1473" s="30"/>
      <c r="BW1473" s="17"/>
      <c r="BX1473" s="17"/>
      <c r="BY1473" s="17"/>
      <c r="BZ1473" s="17"/>
      <c r="CA1473" s="17"/>
      <c r="CB1473" s="17"/>
      <c r="CC1473" s="17"/>
      <c r="CD1473" s="17"/>
      <c r="CE1473" s="17"/>
    </row>
    <row r="1474" spans="1:83" x14ac:dyDescent="0.25">
      <c r="A1474" s="31"/>
      <c r="B1474" s="30"/>
      <c r="C1474" s="30"/>
      <c r="BW1474" s="17"/>
      <c r="BX1474" s="17"/>
      <c r="BY1474" s="17"/>
      <c r="BZ1474" s="17"/>
      <c r="CA1474" s="17"/>
      <c r="CB1474" s="17"/>
      <c r="CC1474" s="17"/>
      <c r="CD1474" s="17"/>
      <c r="CE1474" s="17"/>
    </row>
    <row r="1475" spans="1:83" x14ac:dyDescent="0.25">
      <c r="A1475" s="31"/>
      <c r="B1475" s="30"/>
      <c r="C1475" s="30"/>
      <c r="BW1475" s="17"/>
      <c r="BX1475" s="17"/>
      <c r="BY1475" s="17"/>
      <c r="BZ1475" s="17"/>
      <c r="CA1475" s="17"/>
      <c r="CB1475" s="17"/>
      <c r="CC1475" s="17"/>
      <c r="CD1475" s="17"/>
      <c r="CE1475" s="17"/>
    </row>
    <row r="1476" spans="1:83" x14ac:dyDescent="0.25">
      <c r="A1476" s="31"/>
      <c r="B1476" s="30"/>
      <c r="C1476" s="30"/>
      <c r="BW1476" s="17"/>
      <c r="BX1476" s="17"/>
      <c r="BY1476" s="17"/>
      <c r="BZ1476" s="17"/>
      <c r="CA1476" s="17"/>
      <c r="CB1476" s="17"/>
      <c r="CC1476" s="17"/>
      <c r="CD1476" s="17"/>
      <c r="CE1476" s="17"/>
    </row>
    <row r="1477" spans="1:83" x14ac:dyDescent="0.25">
      <c r="A1477" s="31"/>
      <c r="B1477" s="30"/>
      <c r="C1477" s="30"/>
      <c r="BW1477" s="17"/>
      <c r="BX1477" s="17"/>
      <c r="BY1477" s="17"/>
      <c r="BZ1477" s="17"/>
      <c r="CA1477" s="17"/>
      <c r="CB1477" s="17"/>
      <c r="CC1477" s="17"/>
      <c r="CD1477" s="17"/>
      <c r="CE1477" s="17"/>
    </row>
    <row r="1478" spans="1:83" x14ac:dyDescent="0.25">
      <c r="A1478" s="31"/>
      <c r="B1478" s="30"/>
      <c r="C1478" s="30"/>
      <c r="BW1478" s="17"/>
      <c r="BX1478" s="17"/>
      <c r="BY1478" s="17"/>
      <c r="BZ1478" s="17"/>
      <c r="CA1478" s="17"/>
      <c r="CB1478" s="17"/>
      <c r="CC1478" s="17"/>
      <c r="CD1478" s="17"/>
      <c r="CE1478" s="17"/>
    </row>
    <row r="1479" spans="1:83" x14ac:dyDescent="0.25">
      <c r="A1479" s="31"/>
      <c r="B1479" s="30"/>
      <c r="C1479" s="30"/>
      <c r="BW1479" s="17"/>
      <c r="BX1479" s="17"/>
      <c r="BY1479" s="17"/>
      <c r="BZ1479" s="17"/>
      <c r="CA1479" s="17"/>
      <c r="CB1479" s="17"/>
      <c r="CC1479" s="17"/>
      <c r="CD1479" s="17"/>
      <c r="CE1479" s="17"/>
    </row>
    <row r="1480" spans="1:83" x14ac:dyDescent="0.25">
      <c r="A1480" s="31"/>
      <c r="B1480" s="30"/>
      <c r="C1480" s="30"/>
      <c r="BW1480" s="17"/>
      <c r="BX1480" s="17"/>
      <c r="BY1480" s="17"/>
      <c r="BZ1480" s="17"/>
      <c r="CA1480" s="17"/>
      <c r="CB1480" s="17"/>
      <c r="CC1480" s="17"/>
      <c r="CD1480" s="17"/>
      <c r="CE1480" s="17"/>
    </row>
    <row r="1481" spans="1:83" x14ac:dyDescent="0.25">
      <c r="A1481" s="31"/>
      <c r="B1481" s="30"/>
      <c r="C1481" s="30"/>
      <c r="BW1481" s="17"/>
      <c r="BX1481" s="17"/>
      <c r="BY1481" s="17"/>
      <c r="BZ1481" s="17"/>
      <c r="CA1481" s="17"/>
      <c r="CB1481" s="17"/>
      <c r="CC1481" s="17"/>
      <c r="CD1481" s="17"/>
      <c r="CE1481" s="17"/>
    </row>
    <row r="1482" spans="1:83" x14ac:dyDescent="0.25">
      <c r="A1482" s="31"/>
      <c r="B1482" s="30"/>
      <c r="C1482" s="30"/>
      <c r="BW1482" s="17"/>
      <c r="BX1482" s="17"/>
      <c r="BY1482" s="17"/>
      <c r="BZ1482" s="17"/>
      <c r="CA1482" s="17"/>
      <c r="CB1482" s="17"/>
      <c r="CC1482" s="17"/>
      <c r="CD1482" s="17"/>
      <c r="CE1482" s="17"/>
    </row>
    <row r="1483" spans="1:83" x14ac:dyDescent="0.25">
      <c r="A1483" s="31"/>
      <c r="B1483" s="30"/>
      <c r="C1483" s="30"/>
      <c r="BW1483" s="17"/>
      <c r="BX1483" s="17"/>
      <c r="BY1483" s="17"/>
      <c r="BZ1483" s="17"/>
      <c r="CA1483" s="17"/>
      <c r="CB1483" s="17"/>
      <c r="CC1483" s="17"/>
      <c r="CD1483" s="17"/>
      <c r="CE1483" s="17"/>
    </row>
    <row r="1484" spans="1:83" x14ac:dyDescent="0.25">
      <c r="A1484" s="31"/>
      <c r="B1484" s="30"/>
      <c r="C1484" s="30"/>
      <c r="BW1484" s="17"/>
      <c r="BX1484" s="17"/>
      <c r="BY1484" s="17"/>
      <c r="BZ1484" s="17"/>
      <c r="CA1484" s="17"/>
      <c r="CB1484" s="17"/>
      <c r="CC1484" s="17"/>
      <c r="CD1484" s="17"/>
      <c r="CE1484" s="17"/>
    </row>
    <row r="1485" spans="1:83" x14ac:dyDescent="0.25">
      <c r="A1485" s="31"/>
      <c r="B1485" s="30"/>
      <c r="C1485" s="30"/>
      <c r="BW1485" s="17"/>
      <c r="BX1485" s="17"/>
      <c r="BY1485" s="17"/>
      <c r="BZ1485" s="17"/>
      <c r="CA1485" s="17"/>
      <c r="CB1485" s="17"/>
      <c r="CC1485" s="17"/>
      <c r="CD1485" s="17"/>
      <c r="CE1485" s="17"/>
    </row>
    <row r="1486" spans="1:83" x14ac:dyDescent="0.25">
      <c r="A1486" s="31"/>
      <c r="B1486" s="30"/>
      <c r="C1486" s="30"/>
      <c r="BW1486" s="17"/>
      <c r="BX1486" s="17"/>
      <c r="BY1486" s="17"/>
      <c r="BZ1486" s="17"/>
      <c r="CA1486" s="17"/>
      <c r="CB1486" s="17"/>
      <c r="CC1486" s="17"/>
      <c r="CD1486" s="17"/>
      <c r="CE1486" s="17"/>
    </row>
    <row r="1487" spans="1:83" x14ac:dyDescent="0.25">
      <c r="A1487" s="31"/>
      <c r="B1487" s="30"/>
      <c r="C1487" s="30"/>
      <c r="BW1487" s="17"/>
      <c r="BX1487" s="17"/>
      <c r="BY1487" s="17"/>
      <c r="BZ1487" s="17"/>
      <c r="CA1487" s="17"/>
      <c r="CB1487" s="17"/>
      <c r="CC1487" s="17"/>
      <c r="CD1487" s="17"/>
      <c r="CE1487" s="17"/>
    </row>
    <row r="1488" spans="1:83" x14ac:dyDescent="0.25">
      <c r="A1488" s="31"/>
      <c r="B1488" s="30"/>
      <c r="C1488" s="30"/>
      <c r="BW1488" s="17"/>
      <c r="BX1488" s="17"/>
      <c r="BY1488" s="17"/>
      <c r="BZ1488" s="17"/>
      <c r="CA1488" s="17"/>
      <c r="CB1488" s="17"/>
      <c r="CC1488" s="17"/>
      <c r="CD1488" s="17"/>
      <c r="CE1488" s="17"/>
    </row>
    <row r="1489" spans="1:83" x14ac:dyDescent="0.25">
      <c r="A1489" s="31"/>
      <c r="B1489" s="30"/>
      <c r="C1489" s="30"/>
      <c r="BW1489" s="17"/>
      <c r="BX1489" s="17"/>
      <c r="BY1489" s="17"/>
      <c r="BZ1489" s="17"/>
      <c r="CA1489" s="17"/>
      <c r="CB1489" s="17"/>
      <c r="CC1489" s="17"/>
      <c r="CD1489" s="17"/>
      <c r="CE1489" s="17"/>
    </row>
    <row r="1490" spans="1:83" x14ac:dyDescent="0.25">
      <c r="A1490" s="31"/>
      <c r="B1490" s="30"/>
      <c r="C1490" s="30"/>
      <c r="BW1490" s="17"/>
      <c r="BX1490" s="17"/>
      <c r="BY1490" s="17"/>
      <c r="BZ1490" s="17"/>
      <c r="CA1490" s="17"/>
      <c r="CB1490" s="17"/>
      <c r="CC1490" s="17"/>
      <c r="CD1490" s="17"/>
      <c r="CE1490" s="17"/>
    </row>
    <row r="1491" spans="1:83" x14ac:dyDescent="0.25">
      <c r="A1491" s="31"/>
      <c r="B1491" s="30"/>
      <c r="C1491" s="30"/>
      <c r="BW1491" s="17"/>
      <c r="BX1491" s="17"/>
      <c r="BY1491" s="17"/>
      <c r="BZ1491" s="17"/>
      <c r="CA1491" s="17"/>
      <c r="CB1491" s="17"/>
      <c r="CC1491" s="17"/>
      <c r="CD1491" s="17"/>
      <c r="CE1491" s="17"/>
    </row>
    <row r="1492" spans="1:83" x14ac:dyDescent="0.25">
      <c r="A1492" s="31"/>
      <c r="B1492" s="30"/>
      <c r="C1492" s="30"/>
      <c r="BW1492" s="17"/>
      <c r="BX1492" s="17"/>
      <c r="BY1492" s="17"/>
      <c r="BZ1492" s="17"/>
      <c r="CA1492" s="17"/>
      <c r="CB1492" s="17"/>
      <c r="CC1492" s="17"/>
      <c r="CD1492" s="17"/>
      <c r="CE1492" s="17"/>
    </row>
    <row r="1493" spans="1:83" x14ac:dyDescent="0.25">
      <c r="A1493" s="31"/>
      <c r="B1493" s="30"/>
      <c r="C1493" s="30"/>
      <c r="BW1493" s="17"/>
      <c r="BX1493" s="17"/>
      <c r="BY1493" s="17"/>
      <c r="BZ1493" s="17"/>
      <c r="CA1493" s="17"/>
      <c r="CB1493" s="17"/>
      <c r="CC1493" s="17"/>
      <c r="CD1493" s="17"/>
      <c r="CE1493" s="17"/>
    </row>
    <row r="1494" spans="1:83" x14ac:dyDescent="0.25">
      <c r="A1494" s="31"/>
      <c r="B1494" s="30"/>
      <c r="C1494" s="30"/>
      <c r="BW1494" s="17"/>
      <c r="BX1494" s="17"/>
      <c r="BY1494" s="17"/>
      <c r="BZ1494" s="17"/>
      <c r="CA1494" s="17"/>
      <c r="CB1494" s="17"/>
      <c r="CC1494" s="17"/>
      <c r="CD1494" s="17"/>
      <c r="CE1494" s="17"/>
    </row>
    <row r="1495" spans="1:83" x14ac:dyDescent="0.25">
      <c r="A1495" s="31"/>
      <c r="B1495" s="30"/>
      <c r="C1495" s="30"/>
      <c r="BW1495" s="17"/>
      <c r="BX1495" s="17"/>
      <c r="BY1495" s="17"/>
      <c r="BZ1495" s="17"/>
      <c r="CA1495" s="17"/>
      <c r="CB1495" s="17"/>
      <c r="CC1495" s="17"/>
      <c r="CD1495" s="17"/>
      <c r="CE1495" s="17"/>
    </row>
    <row r="1496" spans="1:83" x14ac:dyDescent="0.25">
      <c r="A1496" s="31"/>
      <c r="B1496" s="30"/>
      <c r="C1496" s="30"/>
      <c r="BW1496" s="17"/>
      <c r="BX1496" s="17"/>
      <c r="BY1496" s="17"/>
      <c r="BZ1496" s="17"/>
      <c r="CA1496" s="17"/>
      <c r="CB1496" s="17"/>
      <c r="CC1496" s="17"/>
      <c r="CD1496" s="17"/>
      <c r="CE1496" s="17"/>
    </row>
    <row r="1497" spans="1:83" x14ac:dyDescent="0.25">
      <c r="A1497" s="31"/>
      <c r="B1497" s="30"/>
      <c r="C1497" s="30"/>
      <c r="BW1497" s="17"/>
      <c r="BX1497" s="17"/>
      <c r="BY1497" s="17"/>
      <c r="BZ1497" s="17"/>
      <c r="CA1497" s="17"/>
      <c r="CB1497" s="17"/>
      <c r="CC1497" s="17"/>
      <c r="CD1497" s="17"/>
      <c r="CE1497" s="17"/>
    </row>
    <row r="1498" spans="1:83" x14ac:dyDescent="0.25">
      <c r="A1498" s="31"/>
      <c r="B1498" s="30"/>
      <c r="C1498" s="30"/>
      <c r="BW1498" s="17"/>
      <c r="BX1498" s="17"/>
      <c r="BY1498" s="17"/>
      <c r="BZ1498" s="17"/>
      <c r="CA1498" s="17"/>
      <c r="CB1498" s="17"/>
      <c r="CC1498" s="17"/>
      <c r="CD1498" s="17"/>
      <c r="CE1498" s="17"/>
    </row>
    <row r="1499" spans="1:83" x14ac:dyDescent="0.25">
      <c r="A1499" s="31"/>
      <c r="B1499" s="30"/>
      <c r="C1499" s="30"/>
      <c r="BW1499" s="17"/>
      <c r="BX1499" s="17"/>
      <c r="BY1499" s="17"/>
      <c r="BZ1499" s="17"/>
      <c r="CA1499" s="17"/>
      <c r="CB1499" s="17"/>
      <c r="CC1499" s="17"/>
      <c r="CD1499" s="17"/>
      <c r="CE1499" s="17"/>
    </row>
    <row r="1500" spans="1:83" x14ac:dyDescent="0.25">
      <c r="A1500" s="31"/>
      <c r="B1500" s="30"/>
      <c r="C1500" s="30"/>
      <c r="BW1500" s="17"/>
      <c r="BX1500" s="17"/>
      <c r="BY1500" s="17"/>
      <c r="BZ1500" s="17"/>
      <c r="CA1500" s="17"/>
      <c r="CB1500" s="17"/>
      <c r="CC1500" s="17"/>
      <c r="CD1500" s="17"/>
      <c r="CE1500" s="17"/>
    </row>
    <row r="1501" spans="1:83" x14ac:dyDescent="0.25">
      <c r="A1501" s="31"/>
      <c r="B1501" s="30"/>
      <c r="C1501" s="30"/>
      <c r="BW1501" s="17"/>
      <c r="BX1501" s="17"/>
      <c r="BY1501" s="17"/>
      <c r="BZ1501" s="17"/>
      <c r="CA1501" s="17"/>
      <c r="CB1501" s="17"/>
      <c r="CC1501" s="17"/>
      <c r="CD1501" s="17"/>
      <c r="CE1501" s="17"/>
    </row>
    <row r="1502" spans="1:83" x14ac:dyDescent="0.25">
      <c r="A1502" s="31"/>
      <c r="B1502" s="30"/>
      <c r="C1502" s="30"/>
      <c r="BW1502" s="17"/>
      <c r="BX1502" s="17"/>
      <c r="BY1502" s="17"/>
      <c r="BZ1502" s="17"/>
      <c r="CA1502" s="17"/>
      <c r="CB1502" s="17"/>
      <c r="CC1502" s="17"/>
      <c r="CD1502" s="17"/>
      <c r="CE1502" s="17"/>
    </row>
    <row r="1503" spans="1:83" x14ac:dyDescent="0.25">
      <c r="A1503" s="31"/>
      <c r="B1503" s="30"/>
      <c r="C1503" s="30"/>
      <c r="BW1503" s="17"/>
      <c r="BX1503" s="17"/>
      <c r="BY1503" s="17"/>
      <c r="BZ1503" s="17"/>
      <c r="CA1503" s="17"/>
      <c r="CB1503" s="17"/>
      <c r="CC1503" s="17"/>
      <c r="CD1503" s="17"/>
      <c r="CE1503" s="17"/>
    </row>
    <row r="1504" spans="1:83" x14ac:dyDescent="0.25">
      <c r="A1504" s="31"/>
      <c r="B1504" s="30"/>
      <c r="C1504" s="30"/>
      <c r="BW1504" s="17"/>
      <c r="BX1504" s="17"/>
      <c r="BY1504" s="17"/>
      <c r="BZ1504" s="17"/>
      <c r="CA1504" s="17"/>
      <c r="CB1504" s="17"/>
      <c r="CC1504" s="17"/>
      <c r="CD1504" s="17"/>
      <c r="CE1504" s="17"/>
    </row>
    <row r="1505" spans="1:83" x14ac:dyDescent="0.25">
      <c r="A1505" s="31"/>
      <c r="B1505" s="30"/>
      <c r="C1505" s="30"/>
      <c r="BW1505" s="17"/>
      <c r="BX1505" s="17"/>
      <c r="BY1505" s="17"/>
      <c r="BZ1505" s="17"/>
      <c r="CA1505" s="17"/>
      <c r="CB1505" s="17"/>
      <c r="CC1505" s="17"/>
      <c r="CD1505" s="17"/>
      <c r="CE1505" s="17"/>
    </row>
    <row r="1506" spans="1:83" x14ac:dyDescent="0.25">
      <c r="A1506" s="31"/>
      <c r="B1506" s="30"/>
      <c r="C1506" s="30"/>
      <c r="BW1506" s="17"/>
      <c r="BX1506" s="17"/>
      <c r="BY1506" s="17"/>
      <c r="BZ1506" s="17"/>
      <c r="CA1506" s="17"/>
      <c r="CB1506" s="17"/>
      <c r="CC1506" s="17"/>
      <c r="CD1506" s="17"/>
      <c r="CE1506" s="17"/>
    </row>
    <row r="1507" spans="1:83" x14ac:dyDescent="0.25">
      <c r="A1507" s="31"/>
      <c r="B1507" s="30"/>
      <c r="C1507" s="30"/>
      <c r="BW1507" s="17"/>
      <c r="BX1507" s="17"/>
      <c r="BY1507" s="17"/>
      <c r="BZ1507" s="17"/>
      <c r="CA1507" s="17"/>
      <c r="CB1507" s="17"/>
      <c r="CC1507" s="17"/>
      <c r="CD1507" s="17"/>
      <c r="CE1507" s="17"/>
    </row>
    <row r="1508" spans="1:83" x14ac:dyDescent="0.25">
      <c r="A1508" s="31"/>
      <c r="B1508" s="30"/>
      <c r="C1508" s="30"/>
      <c r="BW1508" s="17"/>
      <c r="BX1508" s="17"/>
      <c r="BY1508" s="17"/>
      <c r="BZ1508" s="17"/>
      <c r="CA1508" s="17"/>
      <c r="CB1508" s="17"/>
      <c r="CC1508" s="17"/>
      <c r="CD1508" s="17"/>
      <c r="CE1508" s="17"/>
    </row>
    <row r="1509" spans="1:83" x14ac:dyDescent="0.25">
      <c r="A1509" s="31"/>
      <c r="B1509" s="30"/>
      <c r="C1509" s="30"/>
      <c r="BW1509" s="17"/>
      <c r="BX1509" s="17"/>
      <c r="BY1509" s="17"/>
      <c r="BZ1509" s="17"/>
      <c r="CA1509" s="17"/>
      <c r="CB1509" s="17"/>
      <c r="CC1509" s="17"/>
      <c r="CD1509" s="17"/>
      <c r="CE1509" s="17"/>
    </row>
    <row r="1510" spans="1:83" x14ac:dyDescent="0.25">
      <c r="A1510" s="31"/>
      <c r="B1510" s="30"/>
      <c r="C1510" s="30"/>
      <c r="BW1510" s="17"/>
      <c r="BX1510" s="17"/>
      <c r="BY1510" s="17"/>
      <c r="BZ1510" s="17"/>
      <c r="CA1510" s="17"/>
      <c r="CB1510" s="17"/>
      <c r="CC1510" s="17"/>
      <c r="CD1510" s="17"/>
      <c r="CE1510" s="17"/>
    </row>
    <row r="1511" spans="1:83" x14ac:dyDescent="0.25">
      <c r="A1511" s="31"/>
      <c r="B1511" s="30"/>
      <c r="C1511" s="30"/>
      <c r="BW1511" s="17"/>
      <c r="BX1511" s="17"/>
      <c r="BY1511" s="17"/>
      <c r="BZ1511" s="17"/>
      <c r="CA1511" s="17"/>
      <c r="CB1511" s="17"/>
      <c r="CC1511" s="17"/>
      <c r="CD1511" s="17"/>
      <c r="CE1511" s="17"/>
    </row>
    <row r="1512" spans="1:83" x14ac:dyDescent="0.25">
      <c r="A1512" s="31"/>
      <c r="B1512" s="30"/>
      <c r="C1512" s="30"/>
      <c r="BW1512" s="17"/>
      <c r="BX1512" s="17"/>
      <c r="BY1512" s="17"/>
      <c r="BZ1512" s="17"/>
      <c r="CA1512" s="17"/>
      <c r="CB1512" s="17"/>
      <c r="CC1512" s="17"/>
      <c r="CD1512" s="17"/>
      <c r="CE1512" s="17"/>
    </row>
    <row r="1513" spans="1:83" x14ac:dyDescent="0.25">
      <c r="A1513" s="31"/>
      <c r="B1513" s="30"/>
      <c r="C1513" s="30"/>
      <c r="BW1513" s="17"/>
      <c r="BX1513" s="17"/>
      <c r="BY1513" s="17"/>
      <c r="BZ1513" s="17"/>
      <c r="CA1513" s="17"/>
      <c r="CB1513" s="17"/>
      <c r="CC1513" s="17"/>
      <c r="CD1513" s="17"/>
      <c r="CE1513" s="17"/>
    </row>
    <row r="1514" spans="1:83" x14ac:dyDescent="0.25">
      <c r="A1514" s="31"/>
      <c r="B1514" s="30"/>
      <c r="C1514" s="30"/>
      <c r="BW1514" s="17"/>
      <c r="BX1514" s="17"/>
      <c r="BY1514" s="17"/>
      <c r="BZ1514" s="17"/>
      <c r="CA1514" s="17"/>
      <c r="CB1514" s="17"/>
      <c r="CC1514" s="17"/>
      <c r="CD1514" s="17"/>
      <c r="CE1514" s="17"/>
    </row>
    <row r="1515" spans="1:83" x14ac:dyDescent="0.25">
      <c r="A1515" s="31"/>
      <c r="B1515" s="30"/>
      <c r="C1515" s="30"/>
      <c r="BW1515" s="17"/>
      <c r="BX1515" s="17"/>
      <c r="BY1515" s="17"/>
      <c r="BZ1515" s="17"/>
      <c r="CA1515" s="17"/>
      <c r="CB1515" s="17"/>
      <c r="CC1515" s="17"/>
      <c r="CD1515" s="17"/>
      <c r="CE1515" s="17"/>
    </row>
    <row r="1516" spans="1:83" x14ac:dyDescent="0.25">
      <c r="A1516" s="31"/>
      <c r="B1516" s="30"/>
      <c r="C1516" s="30"/>
      <c r="BW1516" s="17"/>
      <c r="BX1516" s="17"/>
      <c r="BY1516" s="17"/>
      <c r="BZ1516" s="17"/>
      <c r="CA1516" s="17"/>
      <c r="CB1516" s="17"/>
      <c r="CC1516" s="17"/>
      <c r="CD1516" s="17"/>
      <c r="CE1516" s="17"/>
    </row>
    <row r="1517" spans="1:83" x14ac:dyDescent="0.25">
      <c r="A1517" s="31"/>
      <c r="B1517" s="30"/>
      <c r="C1517" s="30"/>
      <c r="BW1517" s="17"/>
      <c r="BX1517" s="17"/>
      <c r="BY1517" s="17"/>
      <c r="BZ1517" s="17"/>
      <c r="CA1517" s="17"/>
      <c r="CB1517" s="17"/>
      <c r="CC1517" s="17"/>
      <c r="CD1517" s="17"/>
      <c r="CE1517" s="17"/>
    </row>
    <row r="1518" spans="1:83" x14ac:dyDescent="0.25">
      <c r="A1518" s="31"/>
      <c r="B1518" s="30"/>
      <c r="C1518" s="30"/>
      <c r="BW1518" s="17"/>
      <c r="BX1518" s="17"/>
      <c r="BY1518" s="17"/>
      <c r="BZ1518" s="17"/>
      <c r="CA1518" s="17"/>
      <c r="CB1518" s="17"/>
      <c r="CC1518" s="17"/>
      <c r="CD1518" s="17"/>
      <c r="CE1518" s="17"/>
    </row>
    <row r="1519" spans="1:83" x14ac:dyDescent="0.25">
      <c r="A1519" s="31"/>
      <c r="B1519" s="30"/>
      <c r="C1519" s="30"/>
      <c r="BW1519" s="17"/>
      <c r="BX1519" s="17"/>
      <c r="BY1519" s="17"/>
      <c r="BZ1519" s="17"/>
      <c r="CA1519" s="17"/>
      <c r="CB1519" s="17"/>
      <c r="CC1519" s="17"/>
      <c r="CD1519" s="17"/>
      <c r="CE1519" s="17"/>
    </row>
    <row r="1520" spans="1:83" x14ac:dyDescent="0.25">
      <c r="A1520" s="31"/>
      <c r="B1520" s="30"/>
      <c r="C1520" s="30"/>
      <c r="BW1520" s="17"/>
      <c r="BX1520" s="17"/>
      <c r="BY1520" s="17"/>
      <c r="BZ1520" s="17"/>
      <c r="CA1520" s="17"/>
      <c r="CB1520" s="17"/>
      <c r="CC1520" s="17"/>
      <c r="CD1520" s="17"/>
      <c r="CE1520" s="17"/>
    </row>
    <row r="1521" spans="1:83" x14ac:dyDescent="0.25">
      <c r="A1521" s="31"/>
      <c r="B1521" s="30"/>
      <c r="C1521" s="30"/>
      <c r="BW1521" s="17"/>
      <c r="BX1521" s="17"/>
      <c r="BY1521" s="17"/>
      <c r="BZ1521" s="17"/>
      <c r="CA1521" s="17"/>
      <c r="CB1521" s="17"/>
      <c r="CC1521" s="17"/>
      <c r="CD1521" s="17"/>
      <c r="CE1521" s="17"/>
    </row>
    <row r="1522" spans="1:83" x14ac:dyDescent="0.25">
      <c r="A1522" s="31"/>
      <c r="B1522" s="30"/>
      <c r="C1522" s="30"/>
      <c r="BW1522" s="17"/>
      <c r="BX1522" s="17"/>
      <c r="BY1522" s="17"/>
      <c r="BZ1522" s="17"/>
      <c r="CA1522" s="17"/>
      <c r="CB1522" s="17"/>
      <c r="CC1522" s="17"/>
      <c r="CD1522" s="17"/>
      <c r="CE1522" s="17"/>
    </row>
    <row r="1523" spans="1:83" x14ac:dyDescent="0.25">
      <c r="A1523" s="31"/>
      <c r="B1523" s="30"/>
      <c r="C1523" s="30"/>
      <c r="BW1523" s="17"/>
      <c r="BX1523" s="17"/>
      <c r="BY1523" s="17"/>
      <c r="BZ1523" s="17"/>
      <c r="CA1523" s="17"/>
      <c r="CB1523" s="17"/>
      <c r="CC1523" s="17"/>
      <c r="CD1523" s="17"/>
      <c r="CE1523" s="17"/>
    </row>
    <row r="1524" spans="1:83" x14ac:dyDescent="0.25">
      <c r="A1524" s="31"/>
      <c r="B1524" s="30"/>
      <c r="C1524" s="30"/>
      <c r="BW1524" s="17"/>
      <c r="BX1524" s="17"/>
      <c r="BY1524" s="17"/>
      <c r="BZ1524" s="17"/>
      <c r="CA1524" s="17"/>
      <c r="CB1524" s="17"/>
      <c r="CC1524" s="17"/>
      <c r="CD1524" s="17"/>
      <c r="CE1524" s="17"/>
    </row>
    <row r="1525" spans="1:83" x14ac:dyDescent="0.25">
      <c r="A1525" s="31"/>
      <c r="B1525" s="30"/>
      <c r="C1525" s="30"/>
      <c r="BW1525" s="17"/>
      <c r="BX1525" s="17"/>
      <c r="BY1525" s="17"/>
      <c r="BZ1525" s="17"/>
      <c r="CA1525" s="17"/>
      <c r="CB1525" s="17"/>
      <c r="CC1525" s="17"/>
      <c r="CD1525" s="17"/>
      <c r="CE1525" s="17"/>
    </row>
    <row r="1526" spans="1:83" x14ac:dyDescent="0.25">
      <c r="A1526" s="31"/>
      <c r="B1526" s="30"/>
      <c r="C1526" s="30"/>
      <c r="BW1526" s="17"/>
      <c r="BX1526" s="17"/>
      <c r="BY1526" s="17"/>
      <c r="BZ1526" s="17"/>
      <c r="CA1526" s="17"/>
      <c r="CB1526" s="17"/>
      <c r="CC1526" s="17"/>
      <c r="CD1526" s="17"/>
      <c r="CE1526" s="17"/>
    </row>
    <row r="1527" spans="1:83" x14ac:dyDescent="0.25">
      <c r="A1527" s="31"/>
      <c r="B1527" s="30"/>
      <c r="C1527" s="30"/>
      <c r="BW1527" s="17"/>
      <c r="BX1527" s="17"/>
      <c r="BY1527" s="17"/>
      <c r="BZ1527" s="17"/>
      <c r="CA1527" s="17"/>
      <c r="CB1527" s="17"/>
      <c r="CC1527" s="17"/>
      <c r="CD1527" s="17"/>
      <c r="CE1527" s="17"/>
    </row>
    <row r="1528" spans="1:83" x14ac:dyDescent="0.25">
      <c r="A1528" s="31"/>
      <c r="B1528" s="30"/>
      <c r="C1528" s="30"/>
      <c r="BW1528" s="17"/>
      <c r="BX1528" s="17"/>
      <c r="BY1528" s="17"/>
      <c r="BZ1528" s="17"/>
      <c r="CA1528" s="17"/>
      <c r="CB1528" s="17"/>
      <c r="CC1528" s="17"/>
      <c r="CD1528" s="17"/>
      <c r="CE1528" s="17"/>
    </row>
    <row r="1529" spans="1:83" x14ac:dyDescent="0.25">
      <c r="A1529" s="31"/>
      <c r="B1529" s="30"/>
      <c r="C1529" s="30"/>
      <c r="BW1529" s="17"/>
      <c r="BX1529" s="17"/>
      <c r="BY1529" s="17"/>
      <c r="BZ1529" s="17"/>
      <c r="CA1529" s="17"/>
      <c r="CB1529" s="17"/>
      <c r="CC1529" s="17"/>
      <c r="CD1529" s="17"/>
      <c r="CE1529" s="17"/>
    </row>
    <row r="1530" spans="1:83" x14ac:dyDescent="0.25">
      <c r="A1530" s="31"/>
      <c r="B1530" s="30"/>
      <c r="C1530" s="30"/>
      <c r="BW1530" s="17"/>
      <c r="BX1530" s="17"/>
      <c r="BY1530" s="17"/>
      <c r="BZ1530" s="17"/>
      <c r="CA1530" s="17"/>
      <c r="CB1530" s="17"/>
      <c r="CC1530" s="17"/>
      <c r="CD1530" s="17"/>
      <c r="CE1530" s="17"/>
    </row>
    <row r="1531" spans="1:83" x14ac:dyDescent="0.25">
      <c r="A1531" s="31"/>
      <c r="B1531" s="30"/>
      <c r="C1531" s="30"/>
      <c r="BW1531" s="17"/>
      <c r="BX1531" s="17"/>
      <c r="BY1531" s="17"/>
      <c r="BZ1531" s="17"/>
      <c r="CA1531" s="17"/>
      <c r="CB1531" s="17"/>
      <c r="CC1531" s="17"/>
      <c r="CD1531" s="17"/>
      <c r="CE1531" s="17"/>
    </row>
    <row r="1532" spans="1:83" x14ac:dyDescent="0.25">
      <c r="A1532" s="31"/>
      <c r="B1532" s="30"/>
      <c r="C1532" s="30"/>
      <c r="BW1532" s="17"/>
      <c r="BX1532" s="17"/>
      <c r="BY1532" s="17"/>
      <c r="BZ1532" s="17"/>
      <c r="CA1532" s="17"/>
      <c r="CB1532" s="17"/>
      <c r="CC1532" s="17"/>
      <c r="CD1532" s="17"/>
      <c r="CE1532" s="17"/>
    </row>
    <row r="1533" spans="1:83" x14ac:dyDescent="0.25">
      <c r="A1533" s="31"/>
      <c r="B1533" s="30"/>
      <c r="C1533" s="30"/>
      <c r="BW1533" s="17"/>
      <c r="BX1533" s="17"/>
      <c r="BY1533" s="17"/>
      <c r="BZ1533" s="17"/>
      <c r="CA1533" s="17"/>
      <c r="CB1533" s="17"/>
      <c r="CC1533" s="17"/>
      <c r="CD1533" s="17"/>
      <c r="CE1533" s="17"/>
    </row>
    <row r="1534" spans="1:83" x14ac:dyDescent="0.25">
      <c r="A1534" s="31"/>
      <c r="B1534" s="30"/>
      <c r="C1534" s="30"/>
      <c r="BW1534" s="17"/>
      <c r="BX1534" s="17"/>
      <c r="BY1534" s="17"/>
      <c r="BZ1534" s="17"/>
      <c r="CA1534" s="17"/>
      <c r="CB1534" s="17"/>
      <c r="CC1534" s="17"/>
      <c r="CD1534" s="17"/>
      <c r="CE1534" s="17"/>
    </row>
    <row r="1535" spans="1:83" x14ac:dyDescent="0.25">
      <c r="A1535" s="31"/>
      <c r="B1535" s="30"/>
      <c r="C1535" s="30"/>
      <c r="BW1535" s="17"/>
      <c r="BX1535" s="17"/>
      <c r="BY1535" s="17"/>
      <c r="BZ1535" s="17"/>
      <c r="CA1535" s="17"/>
      <c r="CB1535" s="17"/>
      <c r="CC1535" s="17"/>
      <c r="CD1535" s="17"/>
      <c r="CE1535" s="17"/>
    </row>
    <row r="1536" spans="1:83" x14ac:dyDescent="0.25">
      <c r="A1536" s="31"/>
      <c r="B1536" s="30"/>
      <c r="C1536" s="30"/>
      <c r="BW1536" s="17"/>
      <c r="BX1536" s="17"/>
      <c r="BY1536" s="17"/>
      <c r="BZ1536" s="17"/>
      <c r="CA1536" s="17"/>
      <c r="CB1536" s="17"/>
      <c r="CC1536" s="17"/>
      <c r="CD1536" s="17"/>
      <c r="CE1536" s="17"/>
    </row>
    <row r="1537" spans="1:83" x14ac:dyDescent="0.25">
      <c r="A1537" s="31"/>
      <c r="B1537" s="30"/>
      <c r="C1537" s="30"/>
      <c r="BW1537" s="17"/>
      <c r="BX1537" s="17"/>
      <c r="BY1537" s="17"/>
      <c r="BZ1537" s="17"/>
      <c r="CA1537" s="17"/>
      <c r="CB1537" s="17"/>
      <c r="CC1537" s="17"/>
      <c r="CD1537" s="17"/>
      <c r="CE1537" s="17"/>
    </row>
    <row r="1538" spans="1:83" x14ac:dyDescent="0.25">
      <c r="A1538" s="31"/>
      <c r="B1538" s="30"/>
      <c r="C1538" s="30"/>
      <c r="BW1538" s="17"/>
      <c r="BX1538" s="17"/>
      <c r="BY1538" s="17"/>
      <c r="BZ1538" s="17"/>
      <c r="CA1538" s="17"/>
      <c r="CB1538" s="17"/>
      <c r="CC1538" s="17"/>
      <c r="CD1538" s="17"/>
      <c r="CE1538" s="17"/>
    </row>
    <row r="1539" spans="1:83" x14ac:dyDescent="0.25">
      <c r="A1539" s="31"/>
      <c r="B1539" s="30"/>
      <c r="C1539" s="30"/>
      <c r="BW1539" s="17"/>
      <c r="BX1539" s="17"/>
      <c r="BY1539" s="17"/>
      <c r="BZ1539" s="17"/>
      <c r="CA1539" s="17"/>
      <c r="CB1539" s="17"/>
      <c r="CC1539" s="17"/>
      <c r="CD1539" s="17"/>
      <c r="CE1539" s="17"/>
    </row>
    <row r="1540" spans="1:83" x14ac:dyDescent="0.25">
      <c r="A1540" s="31"/>
      <c r="B1540" s="30"/>
      <c r="C1540" s="30"/>
      <c r="BW1540" s="17"/>
      <c r="BX1540" s="17"/>
      <c r="BY1540" s="17"/>
      <c r="BZ1540" s="17"/>
      <c r="CA1540" s="17"/>
      <c r="CB1540" s="17"/>
      <c r="CC1540" s="17"/>
      <c r="CD1540" s="17"/>
      <c r="CE1540" s="17"/>
    </row>
    <row r="1541" spans="1:83" x14ac:dyDescent="0.25">
      <c r="A1541" s="31"/>
      <c r="B1541" s="30"/>
      <c r="C1541" s="30"/>
      <c r="BW1541" s="17"/>
      <c r="BX1541" s="17"/>
      <c r="BY1541" s="17"/>
      <c r="BZ1541" s="17"/>
      <c r="CA1541" s="17"/>
      <c r="CB1541" s="17"/>
      <c r="CC1541" s="17"/>
      <c r="CD1541" s="17"/>
      <c r="CE1541" s="17"/>
    </row>
    <row r="1542" spans="1:83" x14ac:dyDescent="0.25">
      <c r="A1542" s="31"/>
      <c r="B1542" s="30"/>
      <c r="C1542" s="30"/>
      <c r="BW1542" s="17"/>
      <c r="BX1542" s="17"/>
      <c r="BY1542" s="17"/>
      <c r="BZ1542" s="17"/>
      <c r="CA1542" s="17"/>
      <c r="CB1542" s="17"/>
      <c r="CC1542" s="17"/>
      <c r="CD1542" s="17"/>
      <c r="CE1542" s="17"/>
    </row>
    <row r="1543" spans="1:83" x14ac:dyDescent="0.25">
      <c r="A1543" s="31"/>
      <c r="B1543" s="30"/>
      <c r="C1543" s="30"/>
      <c r="BW1543" s="17"/>
      <c r="BX1543" s="17"/>
      <c r="BY1543" s="17"/>
      <c r="BZ1543" s="17"/>
      <c r="CA1543" s="17"/>
      <c r="CB1543" s="17"/>
      <c r="CC1543" s="17"/>
      <c r="CD1543" s="17"/>
      <c r="CE1543" s="17"/>
    </row>
    <row r="1544" spans="1:83" x14ac:dyDescent="0.25">
      <c r="A1544" s="31"/>
      <c r="B1544" s="30"/>
      <c r="C1544" s="30"/>
      <c r="BW1544" s="17"/>
      <c r="BX1544" s="17"/>
      <c r="BY1544" s="17"/>
      <c r="BZ1544" s="17"/>
      <c r="CA1544" s="17"/>
      <c r="CB1544" s="17"/>
      <c r="CC1544" s="17"/>
      <c r="CD1544" s="17"/>
      <c r="CE1544" s="17"/>
    </row>
    <row r="1545" spans="1:83" x14ac:dyDescent="0.25">
      <c r="A1545" s="31"/>
      <c r="B1545" s="30"/>
      <c r="C1545" s="30"/>
      <c r="BW1545" s="17"/>
      <c r="BX1545" s="17"/>
      <c r="BY1545" s="17"/>
      <c r="BZ1545" s="17"/>
      <c r="CA1545" s="17"/>
      <c r="CB1545" s="17"/>
      <c r="CC1545" s="17"/>
      <c r="CD1545" s="17"/>
      <c r="CE1545" s="17"/>
    </row>
    <row r="1546" spans="1:83" x14ac:dyDescent="0.25">
      <c r="A1546" s="31"/>
      <c r="B1546" s="30"/>
      <c r="C1546" s="30"/>
      <c r="BW1546" s="17"/>
      <c r="BX1546" s="17"/>
      <c r="BY1546" s="17"/>
      <c r="BZ1546" s="17"/>
      <c r="CA1546" s="17"/>
      <c r="CB1546" s="17"/>
      <c r="CC1546" s="17"/>
      <c r="CD1546" s="17"/>
      <c r="CE1546" s="17"/>
    </row>
    <row r="1547" spans="1:83" x14ac:dyDescent="0.25">
      <c r="A1547" s="31"/>
      <c r="B1547" s="30"/>
      <c r="C1547" s="30"/>
      <c r="BW1547" s="17"/>
      <c r="BX1547" s="17"/>
      <c r="BY1547" s="17"/>
      <c r="BZ1547" s="17"/>
      <c r="CA1547" s="17"/>
      <c r="CB1547" s="17"/>
      <c r="CC1547" s="17"/>
      <c r="CD1547" s="17"/>
      <c r="CE1547" s="17"/>
    </row>
    <row r="1548" spans="1:83" x14ac:dyDescent="0.25">
      <c r="A1548" s="31"/>
      <c r="B1548" s="30"/>
      <c r="C1548" s="30"/>
      <c r="BW1548" s="17"/>
      <c r="BX1548" s="17"/>
      <c r="BY1548" s="17"/>
      <c r="BZ1548" s="17"/>
      <c r="CA1548" s="17"/>
      <c r="CB1548" s="17"/>
      <c r="CC1548" s="17"/>
      <c r="CD1548" s="17"/>
      <c r="CE1548" s="17"/>
    </row>
    <row r="1549" spans="1:83" x14ac:dyDescent="0.25">
      <c r="A1549" s="31"/>
      <c r="B1549" s="30"/>
      <c r="C1549" s="30"/>
      <c r="BW1549" s="17"/>
      <c r="BX1549" s="17"/>
      <c r="BY1549" s="17"/>
      <c r="BZ1549" s="17"/>
      <c r="CA1549" s="17"/>
      <c r="CB1549" s="17"/>
      <c r="CC1549" s="17"/>
      <c r="CD1549" s="17"/>
      <c r="CE1549" s="17"/>
    </row>
    <row r="1550" spans="1:83" x14ac:dyDescent="0.25">
      <c r="A1550" s="31"/>
      <c r="B1550" s="30"/>
      <c r="C1550" s="30"/>
      <c r="BW1550" s="17"/>
      <c r="BX1550" s="17"/>
      <c r="BY1550" s="17"/>
      <c r="BZ1550" s="17"/>
      <c r="CA1550" s="17"/>
      <c r="CB1550" s="17"/>
      <c r="CC1550" s="17"/>
      <c r="CD1550" s="17"/>
      <c r="CE1550" s="17"/>
    </row>
    <row r="1551" spans="1:83" x14ac:dyDescent="0.25">
      <c r="A1551" s="31"/>
      <c r="B1551" s="30"/>
      <c r="C1551" s="30"/>
      <c r="BW1551" s="17"/>
      <c r="BX1551" s="17"/>
      <c r="BY1551" s="17"/>
      <c r="BZ1551" s="17"/>
      <c r="CA1551" s="17"/>
      <c r="CB1551" s="17"/>
      <c r="CC1551" s="17"/>
      <c r="CD1551" s="17"/>
      <c r="CE1551" s="17"/>
    </row>
    <row r="1552" spans="1:83" x14ac:dyDescent="0.25">
      <c r="A1552" s="31"/>
      <c r="B1552" s="30"/>
      <c r="C1552" s="30"/>
      <c r="BW1552" s="17"/>
      <c r="BX1552" s="17"/>
      <c r="BY1552" s="17"/>
      <c r="BZ1552" s="17"/>
      <c r="CA1552" s="17"/>
      <c r="CB1552" s="17"/>
      <c r="CC1552" s="17"/>
      <c r="CD1552" s="17"/>
      <c r="CE1552" s="17"/>
    </row>
    <row r="1553" spans="1:83" x14ac:dyDescent="0.25">
      <c r="A1553" s="31"/>
      <c r="B1553" s="30"/>
      <c r="C1553" s="30"/>
      <c r="BW1553" s="17"/>
      <c r="BX1553" s="17"/>
      <c r="BY1553" s="17"/>
      <c r="BZ1553" s="17"/>
      <c r="CA1553" s="17"/>
      <c r="CB1553" s="17"/>
      <c r="CC1553" s="17"/>
      <c r="CD1553" s="17"/>
      <c r="CE1553" s="17"/>
    </row>
    <row r="1554" spans="1:83" x14ac:dyDescent="0.25">
      <c r="A1554" s="31"/>
      <c r="B1554" s="30"/>
      <c r="C1554" s="30"/>
      <c r="BW1554" s="17"/>
      <c r="BX1554" s="17"/>
      <c r="BY1554" s="17"/>
      <c r="BZ1554" s="17"/>
      <c r="CA1554" s="17"/>
      <c r="CB1554" s="17"/>
      <c r="CC1554" s="17"/>
      <c r="CD1554" s="17"/>
      <c r="CE1554" s="17"/>
    </row>
    <row r="1555" spans="1:83" x14ac:dyDescent="0.25">
      <c r="A1555" s="31"/>
      <c r="B1555" s="30"/>
      <c r="C1555" s="30"/>
      <c r="BW1555" s="17"/>
      <c r="BX1555" s="17"/>
      <c r="BY1555" s="17"/>
      <c r="BZ1555" s="17"/>
      <c r="CA1555" s="17"/>
      <c r="CB1555" s="17"/>
      <c r="CC1555" s="17"/>
      <c r="CD1555" s="17"/>
      <c r="CE1555" s="17"/>
    </row>
    <row r="1556" spans="1:83" x14ac:dyDescent="0.25">
      <c r="A1556" s="31"/>
      <c r="B1556" s="30"/>
      <c r="C1556" s="30"/>
      <c r="BW1556" s="17"/>
      <c r="BX1556" s="17"/>
      <c r="BY1556" s="17"/>
      <c r="BZ1556" s="17"/>
      <c r="CA1556" s="17"/>
      <c r="CB1556" s="17"/>
      <c r="CC1556" s="17"/>
      <c r="CD1556" s="17"/>
      <c r="CE1556" s="17"/>
    </row>
    <row r="1557" spans="1:83" x14ac:dyDescent="0.25">
      <c r="A1557" s="31"/>
      <c r="B1557" s="30"/>
      <c r="C1557" s="30"/>
      <c r="BW1557" s="17"/>
      <c r="BX1557" s="17"/>
      <c r="BY1557" s="17"/>
      <c r="BZ1557" s="17"/>
      <c r="CA1557" s="17"/>
      <c r="CB1557" s="17"/>
      <c r="CC1557" s="17"/>
      <c r="CD1557" s="17"/>
      <c r="CE1557" s="17"/>
    </row>
    <row r="1558" spans="1:83" x14ac:dyDescent="0.25">
      <c r="A1558" s="31"/>
      <c r="B1558" s="30"/>
      <c r="C1558" s="30"/>
      <c r="BW1558" s="17"/>
      <c r="BX1558" s="17"/>
      <c r="BY1558" s="17"/>
      <c r="BZ1558" s="17"/>
      <c r="CA1558" s="17"/>
      <c r="CB1558" s="17"/>
      <c r="CC1558" s="17"/>
      <c r="CD1558" s="17"/>
      <c r="CE1558" s="17"/>
    </row>
    <row r="1559" spans="1:83" x14ac:dyDescent="0.25">
      <c r="A1559" s="31"/>
      <c r="B1559" s="30"/>
      <c r="C1559" s="30"/>
      <c r="BW1559" s="17"/>
      <c r="BX1559" s="17"/>
      <c r="BY1559" s="17"/>
      <c r="BZ1559" s="17"/>
      <c r="CA1559" s="17"/>
      <c r="CB1559" s="17"/>
      <c r="CC1559" s="17"/>
      <c r="CD1559" s="17"/>
      <c r="CE1559" s="17"/>
    </row>
    <row r="1560" spans="1:83" x14ac:dyDescent="0.25">
      <c r="A1560" s="31"/>
      <c r="B1560" s="30"/>
      <c r="C1560" s="30"/>
      <c r="BW1560" s="17"/>
      <c r="BX1560" s="17"/>
      <c r="BY1560" s="17"/>
      <c r="BZ1560" s="17"/>
      <c r="CA1560" s="17"/>
      <c r="CB1560" s="17"/>
      <c r="CC1560" s="17"/>
      <c r="CD1560" s="17"/>
      <c r="CE1560" s="17"/>
    </row>
    <row r="1561" spans="1:83" x14ac:dyDescent="0.25">
      <c r="A1561" s="31"/>
      <c r="B1561" s="30"/>
      <c r="C1561" s="30"/>
      <c r="BW1561" s="17"/>
      <c r="BX1561" s="17"/>
      <c r="BY1561" s="17"/>
      <c r="BZ1561" s="17"/>
      <c r="CA1561" s="17"/>
      <c r="CB1561" s="17"/>
      <c r="CC1561" s="17"/>
      <c r="CD1561" s="17"/>
      <c r="CE1561" s="17"/>
    </row>
    <row r="1562" spans="1:83" x14ac:dyDescent="0.25">
      <c r="A1562" s="31"/>
      <c r="B1562" s="30"/>
      <c r="C1562" s="30"/>
      <c r="BW1562" s="17"/>
      <c r="BX1562" s="17"/>
      <c r="BY1562" s="17"/>
      <c r="BZ1562" s="17"/>
      <c r="CA1562" s="17"/>
      <c r="CB1562" s="17"/>
      <c r="CC1562" s="17"/>
      <c r="CD1562" s="17"/>
      <c r="CE1562" s="17"/>
    </row>
    <row r="1563" spans="1:83" x14ac:dyDescent="0.25">
      <c r="A1563" s="31"/>
      <c r="B1563" s="30"/>
      <c r="C1563" s="30"/>
      <c r="BW1563" s="17"/>
      <c r="BX1563" s="17"/>
      <c r="BY1563" s="17"/>
      <c r="BZ1563" s="17"/>
      <c r="CA1563" s="17"/>
      <c r="CB1563" s="17"/>
      <c r="CC1563" s="17"/>
      <c r="CD1563" s="17"/>
      <c r="CE1563" s="17"/>
    </row>
    <row r="1564" spans="1:83" x14ac:dyDescent="0.25">
      <c r="A1564" s="31"/>
      <c r="B1564" s="30"/>
      <c r="C1564" s="30"/>
      <c r="BW1564" s="17"/>
      <c r="BX1564" s="17"/>
      <c r="BY1564" s="17"/>
      <c r="BZ1564" s="17"/>
      <c r="CA1564" s="17"/>
      <c r="CB1564" s="17"/>
      <c r="CC1564" s="17"/>
      <c r="CD1564" s="17"/>
      <c r="CE1564" s="17"/>
    </row>
    <row r="1565" spans="1:83" x14ac:dyDescent="0.25">
      <c r="A1565" s="31"/>
      <c r="B1565" s="30"/>
      <c r="C1565" s="30"/>
      <c r="BW1565" s="17"/>
      <c r="BX1565" s="17"/>
      <c r="BY1565" s="17"/>
      <c r="BZ1565" s="17"/>
      <c r="CA1565" s="17"/>
      <c r="CB1565" s="17"/>
      <c r="CC1565" s="17"/>
      <c r="CD1565" s="17"/>
      <c r="CE1565" s="17"/>
    </row>
    <row r="1566" spans="1:83" x14ac:dyDescent="0.25">
      <c r="A1566" s="31"/>
      <c r="B1566" s="30"/>
      <c r="C1566" s="30"/>
      <c r="BW1566" s="17"/>
      <c r="BX1566" s="17"/>
      <c r="BY1566" s="17"/>
      <c r="BZ1566" s="17"/>
      <c r="CA1566" s="17"/>
      <c r="CB1566" s="17"/>
      <c r="CC1566" s="17"/>
      <c r="CD1566" s="17"/>
      <c r="CE1566" s="17"/>
    </row>
    <row r="1567" spans="1:83" x14ac:dyDescent="0.25">
      <c r="A1567" s="31"/>
      <c r="B1567" s="30"/>
      <c r="C1567" s="30"/>
      <c r="BW1567" s="17"/>
      <c r="BX1567" s="17"/>
      <c r="BY1567" s="17"/>
      <c r="BZ1567" s="17"/>
      <c r="CA1567" s="17"/>
      <c r="CB1567" s="17"/>
      <c r="CC1567" s="17"/>
      <c r="CD1567" s="17"/>
      <c r="CE1567" s="17"/>
    </row>
    <row r="1568" spans="1:83" x14ac:dyDescent="0.25">
      <c r="A1568" s="31"/>
      <c r="B1568" s="30"/>
      <c r="C1568" s="30"/>
      <c r="BW1568" s="17"/>
      <c r="BX1568" s="17"/>
      <c r="BY1568" s="17"/>
      <c r="BZ1568" s="17"/>
      <c r="CA1568" s="17"/>
      <c r="CB1568" s="17"/>
      <c r="CC1568" s="17"/>
      <c r="CD1568" s="17"/>
      <c r="CE1568" s="17"/>
    </row>
    <row r="1569" spans="1:83" x14ac:dyDescent="0.25">
      <c r="A1569" s="31"/>
      <c r="B1569" s="30"/>
      <c r="C1569" s="30"/>
      <c r="BW1569" s="17"/>
      <c r="BX1569" s="17"/>
      <c r="BY1569" s="17"/>
      <c r="BZ1569" s="17"/>
      <c r="CA1569" s="17"/>
      <c r="CB1569" s="17"/>
      <c r="CC1569" s="17"/>
      <c r="CD1569" s="17"/>
      <c r="CE1569" s="17"/>
    </row>
    <row r="1570" spans="1:83" x14ac:dyDescent="0.25">
      <c r="A1570" s="31"/>
      <c r="B1570" s="30"/>
      <c r="C1570" s="30"/>
      <c r="BW1570" s="17"/>
      <c r="BX1570" s="17"/>
      <c r="BY1570" s="17"/>
      <c r="BZ1570" s="17"/>
      <c r="CA1570" s="17"/>
      <c r="CB1570" s="17"/>
      <c r="CC1570" s="17"/>
      <c r="CD1570" s="17"/>
      <c r="CE1570" s="17"/>
    </row>
    <row r="1571" spans="1:83" x14ac:dyDescent="0.25">
      <c r="A1571" s="31"/>
      <c r="B1571" s="30"/>
      <c r="C1571" s="30"/>
      <c r="BW1571" s="17"/>
      <c r="BX1571" s="17"/>
      <c r="BY1571" s="17"/>
      <c r="BZ1571" s="17"/>
      <c r="CA1571" s="17"/>
      <c r="CB1571" s="17"/>
      <c r="CC1571" s="17"/>
      <c r="CD1571" s="17"/>
      <c r="CE1571" s="17"/>
    </row>
    <row r="1572" spans="1:83" x14ac:dyDescent="0.25">
      <c r="A1572" s="31"/>
      <c r="B1572" s="30"/>
      <c r="C1572" s="30"/>
      <c r="BW1572" s="17"/>
      <c r="BX1572" s="17"/>
      <c r="BY1572" s="17"/>
      <c r="BZ1572" s="17"/>
      <c r="CA1572" s="17"/>
      <c r="CB1572" s="17"/>
      <c r="CC1572" s="17"/>
      <c r="CD1572" s="17"/>
      <c r="CE1572" s="17"/>
    </row>
    <row r="1573" spans="1:83" x14ac:dyDescent="0.25">
      <c r="A1573" s="31"/>
      <c r="B1573" s="30"/>
      <c r="C1573" s="30"/>
      <c r="BW1573" s="17"/>
      <c r="BX1573" s="17"/>
      <c r="BY1573" s="17"/>
      <c r="BZ1573" s="17"/>
      <c r="CA1573" s="17"/>
      <c r="CB1573" s="17"/>
      <c r="CC1573" s="17"/>
      <c r="CD1573" s="17"/>
      <c r="CE1573" s="17"/>
    </row>
    <row r="1574" spans="1:83" x14ac:dyDescent="0.25">
      <c r="A1574" s="31"/>
      <c r="B1574" s="30"/>
      <c r="C1574" s="30"/>
      <c r="BW1574" s="17"/>
      <c r="BX1574" s="17"/>
      <c r="BY1574" s="17"/>
      <c r="BZ1574" s="17"/>
      <c r="CA1574" s="17"/>
      <c r="CB1574" s="17"/>
      <c r="CC1574" s="17"/>
      <c r="CD1574" s="17"/>
      <c r="CE1574" s="17"/>
    </row>
    <row r="1575" spans="1:83" x14ac:dyDescent="0.25">
      <c r="A1575" s="31"/>
      <c r="B1575" s="30"/>
      <c r="C1575" s="30"/>
      <c r="BW1575" s="17"/>
      <c r="BX1575" s="17"/>
      <c r="BY1575" s="17"/>
      <c r="BZ1575" s="17"/>
      <c r="CA1575" s="17"/>
      <c r="CB1575" s="17"/>
      <c r="CC1575" s="17"/>
      <c r="CD1575" s="17"/>
      <c r="CE1575" s="17"/>
    </row>
    <row r="1576" spans="1:83" x14ac:dyDescent="0.25">
      <c r="A1576" s="31"/>
      <c r="B1576" s="30"/>
      <c r="C1576" s="30"/>
      <c r="BW1576" s="17"/>
      <c r="BX1576" s="17"/>
      <c r="BY1576" s="17"/>
      <c r="BZ1576" s="17"/>
      <c r="CA1576" s="17"/>
      <c r="CB1576" s="17"/>
      <c r="CC1576" s="17"/>
      <c r="CD1576" s="17"/>
      <c r="CE1576" s="17"/>
    </row>
    <row r="1577" spans="1:83" x14ac:dyDescent="0.25">
      <c r="A1577" s="31"/>
      <c r="B1577" s="30"/>
      <c r="C1577" s="30"/>
      <c r="BW1577" s="17"/>
      <c r="BX1577" s="17"/>
      <c r="BY1577" s="17"/>
      <c r="BZ1577" s="17"/>
      <c r="CA1577" s="17"/>
      <c r="CB1577" s="17"/>
      <c r="CC1577" s="17"/>
      <c r="CD1577" s="17"/>
      <c r="CE1577" s="17"/>
    </row>
    <row r="1578" spans="1:83" x14ac:dyDescent="0.25">
      <c r="A1578" s="31"/>
      <c r="B1578" s="30"/>
      <c r="C1578" s="30"/>
      <c r="BW1578" s="17"/>
      <c r="BX1578" s="17"/>
      <c r="BY1578" s="17"/>
      <c r="BZ1578" s="17"/>
      <c r="CA1578" s="17"/>
      <c r="CB1578" s="17"/>
      <c r="CC1578" s="17"/>
      <c r="CD1578" s="17"/>
      <c r="CE1578" s="17"/>
    </row>
    <row r="1579" spans="1:83" x14ac:dyDescent="0.25">
      <c r="A1579" s="31"/>
      <c r="B1579" s="30"/>
      <c r="C1579" s="30"/>
      <c r="BW1579" s="17"/>
      <c r="BX1579" s="17"/>
      <c r="BY1579" s="17"/>
      <c r="BZ1579" s="17"/>
      <c r="CA1579" s="17"/>
      <c r="CB1579" s="17"/>
      <c r="CC1579" s="17"/>
      <c r="CD1579" s="17"/>
      <c r="CE1579" s="17"/>
    </row>
    <row r="1580" spans="1:83" x14ac:dyDescent="0.25">
      <c r="A1580" s="31"/>
      <c r="B1580" s="30"/>
      <c r="C1580" s="30"/>
      <c r="BW1580" s="17"/>
      <c r="BX1580" s="17"/>
      <c r="BY1580" s="17"/>
      <c r="BZ1580" s="17"/>
      <c r="CA1580" s="17"/>
      <c r="CB1580" s="17"/>
      <c r="CC1580" s="17"/>
      <c r="CD1580" s="17"/>
      <c r="CE1580" s="17"/>
    </row>
    <row r="1581" spans="1:83" x14ac:dyDescent="0.25">
      <c r="A1581" s="31"/>
      <c r="B1581" s="30"/>
      <c r="C1581" s="30"/>
      <c r="BW1581" s="17"/>
      <c r="BX1581" s="17"/>
      <c r="BY1581" s="17"/>
      <c r="BZ1581" s="17"/>
      <c r="CA1581" s="17"/>
      <c r="CB1581" s="17"/>
      <c r="CC1581" s="17"/>
      <c r="CD1581" s="17"/>
      <c r="CE1581" s="17"/>
    </row>
    <row r="1582" spans="1:83" x14ac:dyDescent="0.25">
      <c r="A1582" s="31"/>
      <c r="B1582" s="30"/>
      <c r="C1582" s="30"/>
      <c r="BW1582" s="17"/>
      <c r="BX1582" s="17"/>
      <c r="BY1582" s="17"/>
      <c r="BZ1582" s="17"/>
      <c r="CA1582" s="17"/>
      <c r="CB1582" s="17"/>
      <c r="CC1582" s="17"/>
      <c r="CD1582" s="17"/>
      <c r="CE1582" s="17"/>
    </row>
    <row r="1583" spans="1:83" x14ac:dyDescent="0.25">
      <c r="A1583" s="31"/>
      <c r="B1583" s="30"/>
      <c r="C1583" s="30"/>
      <c r="BW1583" s="17"/>
      <c r="BX1583" s="17"/>
      <c r="BY1583" s="17"/>
      <c r="BZ1583" s="17"/>
      <c r="CA1583" s="17"/>
      <c r="CB1583" s="17"/>
      <c r="CC1583" s="17"/>
      <c r="CD1583" s="17"/>
      <c r="CE1583" s="17"/>
    </row>
    <row r="1584" spans="1:83" x14ac:dyDescent="0.25">
      <c r="A1584" s="31"/>
      <c r="B1584" s="30"/>
      <c r="C1584" s="30"/>
      <c r="BW1584" s="17"/>
      <c r="BX1584" s="17"/>
      <c r="BY1584" s="17"/>
      <c r="BZ1584" s="17"/>
      <c r="CA1584" s="17"/>
      <c r="CB1584" s="17"/>
      <c r="CC1584" s="17"/>
      <c r="CD1584" s="17"/>
      <c r="CE1584" s="17"/>
    </row>
    <row r="1585" spans="1:83" x14ac:dyDescent="0.25">
      <c r="A1585" s="31"/>
      <c r="B1585" s="30"/>
      <c r="C1585" s="30"/>
      <c r="BW1585" s="17"/>
      <c r="BX1585" s="17"/>
      <c r="BY1585" s="17"/>
      <c r="BZ1585" s="17"/>
      <c r="CA1585" s="17"/>
      <c r="CB1585" s="17"/>
      <c r="CC1585" s="17"/>
      <c r="CD1585" s="17"/>
      <c r="CE1585" s="17"/>
    </row>
    <row r="1586" spans="1:83" x14ac:dyDescent="0.25">
      <c r="A1586" s="31"/>
      <c r="B1586" s="30"/>
      <c r="C1586" s="30"/>
      <c r="BW1586" s="17"/>
      <c r="BX1586" s="17"/>
      <c r="BY1586" s="17"/>
      <c r="BZ1586" s="17"/>
      <c r="CA1586" s="17"/>
      <c r="CB1586" s="17"/>
      <c r="CC1586" s="17"/>
      <c r="CD1586" s="17"/>
      <c r="CE1586" s="17"/>
    </row>
    <row r="1587" spans="1:83" x14ac:dyDescent="0.25">
      <c r="A1587" s="31"/>
      <c r="B1587" s="30"/>
      <c r="C1587" s="30"/>
      <c r="BW1587" s="17"/>
      <c r="BX1587" s="17"/>
      <c r="BY1587" s="17"/>
      <c r="BZ1587" s="17"/>
      <c r="CA1587" s="17"/>
      <c r="CB1587" s="17"/>
      <c r="CC1587" s="17"/>
      <c r="CD1587" s="17"/>
      <c r="CE1587" s="17"/>
    </row>
    <row r="1588" spans="1:83" x14ac:dyDescent="0.25">
      <c r="A1588" s="31"/>
      <c r="B1588" s="30"/>
      <c r="C1588" s="30"/>
      <c r="BW1588" s="17"/>
      <c r="BX1588" s="17"/>
      <c r="BY1588" s="17"/>
      <c r="BZ1588" s="17"/>
      <c r="CA1588" s="17"/>
      <c r="CB1588" s="17"/>
      <c r="CC1588" s="17"/>
      <c r="CD1588" s="17"/>
      <c r="CE1588" s="17"/>
    </row>
    <row r="1589" spans="1:83" x14ac:dyDescent="0.25">
      <c r="A1589" s="31"/>
      <c r="B1589" s="30"/>
      <c r="C1589" s="30"/>
      <c r="BW1589" s="17"/>
      <c r="BX1589" s="17"/>
      <c r="BY1589" s="17"/>
      <c r="BZ1589" s="17"/>
      <c r="CA1589" s="17"/>
      <c r="CB1589" s="17"/>
      <c r="CC1589" s="17"/>
      <c r="CD1589" s="17"/>
      <c r="CE1589" s="17"/>
    </row>
    <row r="1590" spans="1:83" x14ac:dyDescent="0.25">
      <c r="A1590" s="31"/>
      <c r="B1590" s="30"/>
      <c r="C1590" s="30"/>
      <c r="BW1590" s="17"/>
      <c r="BX1590" s="17"/>
      <c r="BY1590" s="17"/>
      <c r="BZ1590" s="17"/>
      <c r="CA1590" s="17"/>
      <c r="CB1590" s="17"/>
      <c r="CC1590" s="17"/>
      <c r="CD1590" s="17"/>
      <c r="CE1590" s="17"/>
    </row>
    <row r="1591" spans="1:83" x14ac:dyDescent="0.25">
      <c r="A1591" s="31"/>
      <c r="B1591" s="30"/>
      <c r="C1591" s="30"/>
      <c r="BW1591" s="17"/>
      <c r="BX1591" s="17"/>
      <c r="BY1591" s="17"/>
      <c r="BZ1591" s="17"/>
      <c r="CA1591" s="17"/>
      <c r="CB1591" s="17"/>
      <c r="CC1591" s="17"/>
      <c r="CD1591" s="17"/>
      <c r="CE1591" s="17"/>
    </row>
    <row r="1592" spans="1:83" x14ac:dyDescent="0.25">
      <c r="A1592" s="31"/>
      <c r="B1592" s="30"/>
      <c r="C1592" s="30"/>
      <c r="BW1592" s="17"/>
      <c r="BX1592" s="17"/>
      <c r="BY1592" s="17"/>
      <c r="BZ1592" s="17"/>
      <c r="CA1592" s="17"/>
      <c r="CB1592" s="17"/>
      <c r="CC1592" s="17"/>
      <c r="CD1592" s="17"/>
      <c r="CE1592" s="17"/>
    </row>
    <row r="1593" spans="1:83" x14ac:dyDescent="0.25">
      <c r="A1593" s="31"/>
      <c r="B1593" s="30"/>
      <c r="C1593" s="30"/>
      <c r="BW1593" s="17"/>
      <c r="BX1593" s="17"/>
      <c r="BY1593" s="17"/>
      <c r="BZ1593" s="17"/>
      <c r="CA1593" s="17"/>
      <c r="CB1593" s="17"/>
      <c r="CC1593" s="17"/>
      <c r="CD1593" s="17"/>
      <c r="CE1593" s="17"/>
    </row>
    <row r="1594" spans="1:83" x14ac:dyDescent="0.25">
      <c r="A1594" s="31"/>
      <c r="B1594" s="30"/>
      <c r="C1594" s="30"/>
      <c r="BW1594" s="17"/>
      <c r="BX1594" s="17"/>
      <c r="BY1594" s="17"/>
      <c r="BZ1594" s="17"/>
      <c r="CA1594" s="17"/>
      <c r="CB1594" s="17"/>
      <c r="CC1594" s="17"/>
      <c r="CD1594" s="17"/>
      <c r="CE1594" s="17"/>
    </row>
    <row r="1595" spans="1:83" x14ac:dyDescent="0.25">
      <c r="A1595" s="31"/>
      <c r="B1595" s="30"/>
      <c r="C1595" s="30"/>
      <c r="BW1595" s="17"/>
      <c r="BX1595" s="17"/>
      <c r="BY1595" s="17"/>
      <c r="BZ1595" s="17"/>
      <c r="CA1595" s="17"/>
      <c r="CB1595" s="17"/>
      <c r="CC1595" s="17"/>
      <c r="CD1595" s="17"/>
      <c r="CE1595" s="17"/>
    </row>
    <row r="1596" spans="1:83" x14ac:dyDescent="0.25">
      <c r="A1596" s="31"/>
      <c r="B1596" s="30"/>
      <c r="C1596" s="30"/>
      <c r="BW1596" s="17"/>
      <c r="BX1596" s="17"/>
      <c r="BY1596" s="17"/>
      <c r="BZ1596" s="17"/>
      <c r="CA1596" s="17"/>
      <c r="CB1596" s="17"/>
      <c r="CC1596" s="17"/>
      <c r="CD1596" s="17"/>
      <c r="CE1596" s="17"/>
    </row>
    <row r="1597" spans="1:83" x14ac:dyDescent="0.25">
      <c r="A1597" s="31"/>
      <c r="B1597" s="30"/>
      <c r="C1597" s="30"/>
      <c r="BW1597" s="17"/>
      <c r="BX1597" s="17"/>
      <c r="BY1597" s="17"/>
      <c r="BZ1597" s="17"/>
      <c r="CA1597" s="17"/>
      <c r="CB1597" s="17"/>
      <c r="CC1597" s="17"/>
      <c r="CD1597" s="17"/>
      <c r="CE1597" s="17"/>
    </row>
    <row r="1598" spans="1:83" x14ac:dyDescent="0.25">
      <c r="A1598" s="31"/>
      <c r="B1598" s="30"/>
      <c r="C1598" s="30"/>
      <c r="BW1598" s="17"/>
      <c r="BX1598" s="17"/>
      <c r="BY1598" s="17"/>
      <c r="BZ1598" s="17"/>
      <c r="CA1598" s="17"/>
      <c r="CB1598" s="17"/>
      <c r="CC1598" s="17"/>
      <c r="CD1598" s="17"/>
      <c r="CE1598" s="17"/>
    </row>
    <row r="1599" spans="1:83" x14ac:dyDescent="0.25">
      <c r="A1599" s="31"/>
      <c r="B1599" s="30"/>
      <c r="C1599" s="30"/>
      <c r="BW1599" s="17"/>
      <c r="BX1599" s="17"/>
      <c r="BY1599" s="17"/>
      <c r="BZ1599" s="17"/>
      <c r="CA1599" s="17"/>
      <c r="CB1599" s="17"/>
      <c r="CC1599" s="17"/>
      <c r="CD1599" s="17"/>
      <c r="CE1599" s="17"/>
    </row>
    <row r="1600" spans="1:83" x14ac:dyDescent="0.25">
      <c r="A1600" s="31"/>
      <c r="B1600" s="30"/>
      <c r="C1600" s="30"/>
      <c r="BW1600" s="17"/>
      <c r="BX1600" s="17"/>
      <c r="BY1600" s="17"/>
      <c r="BZ1600" s="17"/>
      <c r="CA1600" s="17"/>
      <c r="CB1600" s="17"/>
      <c r="CC1600" s="17"/>
      <c r="CD1600" s="17"/>
      <c r="CE1600" s="17"/>
    </row>
    <row r="1601" spans="1:83" x14ac:dyDescent="0.25">
      <c r="A1601" s="31"/>
      <c r="B1601" s="30"/>
      <c r="C1601" s="30"/>
      <c r="BW1601" s="17"/>
      <c r="BX1601" s="17"/>
      <c r="BY1601" s="17"/>
      <c r="BZ1601" s="17"/>
      <c r="CA1601" s="17"/>
      <c r="CB1601" s="17"/>
      <c r="CC1601" s="17"/>
      <c r="CD1601" s="17"/>
      <c r="CE1601" s="17"/>
    </row>
    <row r="1602" spans="1:83" x14ac:dyDescent="0.25">
      <c r="A1602" s="31"/>
      <c r="B1602" s="30"/>
      <c r="C1602" s="30"/>
      <c r="BW1602" s="17"/>
      <c r="BX1602" s="17"/>
      <c r="BY1602" s="17"/>
      <c r="BZ1602" s="17"/>
      <c r="CA1602" s="17"/>
      <c r="CB1602" s="17"/>
      <c r="CC1602" s="17"/>
      <c r="CD1602" s="17"/>
      <c r="CE1602" s="17"/>
    </row>
    <row r="1603" spans="1:83" x14ac:dyDescent="0.25">
      <c r="A1603" s="31"/>
      <c r="B1603" s="30"/>
      <c r="C1603" s="30"/>
      <c r="BW1603" s="17"/>
      <c r="BX1603" s="17"/>
      <c r="BY1603" s="17"/>
      <c r="BZ1603" s="17"/>
      <c r="CA1603" s="17"/>
      <c r="CB1603" s="17"/>
      <c r="CC1603" s="17"/>
      <c r="CD1603" s="17"/>
      <c r="CE1603" s="17"/>
    </row>
    <row r="1604" spans="1:83" x14ac:dyDescent="0.25">
      <c r="A1604" s="31"/>
      <c r="B1604" s="30"/>
      <c r="C1604" s="30"/>
      <c r="BW1604" s="17"/>
      <c r="BX1604" s="17"/>
      <c r="BY1604" s="17"/>
      <c r="BZ1604" s="17"/>
      <c r="CA1604" s="17"/>
      <c r="CB1604" s="17"/>
      <c r="CC1604" s="17"/>
      <c r="CD1604" s="17"/>
      <c r="CE1604" s="17"/>
    </row>
    <row r="1605" spans="1:83" x14ac:dyDescent="0.25">
      <c r="A1605" s="31"/>
      <c r="B1605" s="30"/>
      <c r="C1605" s="30"/>
      <c r="BW1605" s="17"/>
      <c r="BX1605" s="17"/>
      <c r="BY1605" s="17"/>
      <c r="BZ1605" s="17"/>
      <c r="CA1605" s="17"/>
      <c r="CB1605" s="17"/>
      <c r="CC1605" s="17"/>
      <c r="CD1605" s="17"/>
      <c r="CE1605" s="17"/>
    </row>
    <row r="1606" spans="1:83" x14ac:dyDescent="0.25">
      <c r="A1606" s="31"/>
      <c r="B1606" s="30"/>
      <c r="C1606" s="30"/>
      <c r="BW1606" s="17"/>
      <c r="BX1606" s="17"/>
      <c r="BY1606" s="17"/>
      <c r="BZ1606" s="17"/>
      <c r="CA1606" s="17"/>
      <c r="CB1606" s="17"/>
      <c r="CC1606" s="17"/>
      <c r="CD1606" s="17"/>
      <c r="CE1606" s="17"/>
    </row>
    <row r="1607" spans="1:83" x14ac:dyDescent="0.25">
      <c r="A1607" s="31"/>
      <c r="B1607" s="30"/>
      <c r="C1607" s="30"/>
      <c r="BW1607" s="17"/>
      <c r="BX1607" s="17"/>
      <c r="BY1607" s="17"/>
      <c r="BZ1607" s="17"/>
      <c r="CA1607" s="17"/>
      <c r="CB1607" s="17"/>
      <c r="CC1607" s="17"/>
      <c r="CD1607" s="17"/>
      <c r="CE1607" s="17"/>
    </row>
    <row r="1608" spans="1:83" x14ac:dyDescent="0.25">
      <c r="A1608" s="31"/>
      <c r="B1608" s="30"/>
      <c r="C1608" s="30"/>
      <c r="BW1608" s="17"/>
      <c r="BX1608" s="17"/>
      <c r="BY1608" s="17"/>
      <c r="BZ1608" s="17"/>
      <c r="CA1608" s="17"/>
      <c r="CB1608" s="17"/>
      <c r="CC1608" s="17"/>
      <c r="CD1608" s="17"/>
      <c r="CE1608" s="17"/>
    </row>
    <row r="1609" spans="1:83" x14ac:dyDescent="0.25">
      <c r="A1609" s="31"/>
      <c r="B1609" s="30"/>
      <c r="C1609" s="30"/>
      <c r="BW1609" s="17"/>
      <c r="BX1609" s="17"/>
      <c r="BY1609" s="17"/>
      <c r="BZ1609" s="17"/>
      <c r="CA1609" s="17"/>
      <c r="CB1609" s="17"/>
      <c r="CC1609" s="17"/>
      <c r="CD1609" s="17"/>
      <c r="CE1609" s="17"/>
    </row>
    <row r="1610" spans="1:83" x14ac:dyDescent="0.25">
      <c r="A1610" s="31"/>
      <c r="B1610" s="30"/>
      <c r="C1610" s="30"/>
      <c r="BW1610" s="17"/>
      <c r="BX1610" s="17"/>
      <c r="BY1610" s="17"/>
      <c r="BZ1610" s="17"/>
      <c r="CA1610" s="17"/>
      <c r="CB1610" s="17"/>
      <c r="CC1610" s="17"/>
      <c r="CD1610" s="17"/>
      <c r="CE1610" s="17"/>
    </row>
    <row r="1611" spans="1:83" x14ac:dyDescent="0.25">
      <c r="A1611" s="31"/>
      <c r="B1611" s="30"/>
      <c r="C1611" s="30"/>
      <c r="BW1611" s="17"/>
      <c r="BX1611" s="17"/>
      <c r="BY1611" s="17"/>
      <c r="BZ1611" s="17"/>
      <c r="CA1611" s="17"/>
      <c r="CB1611" s="17"/>
      <c r="CC1611" s="17"/>
      <c r="CD1611" s="17"/>
      <c r="CE1611" s="17"/>
    </row>
    <row r="1612" spans="1:83" x14ac:dyDescent="0.25">
      <c r="A1612" s="31"/>
      <c r="B1612" s="30"/>
      <c r="C1612" s="30"/>
      <c r="BW1612" s="17"/>
      <c r="BX1612" s="17"/>
      <c r="BY1612" s="17"/>
      <c r="BZ1612" s="17"/>
      <c r="CA1612" s="17"/>
      <c r="CB1612" s="17"/>
      <c r="CC1612" s="17"/>
      <c r="CD1612" s="17"/>
      <c r="CE1612" s="17"/>
    </row>
    <row r="1613" spans="1:83" x14ac:dyDescent="0.25">
      <c r="A1613" s="31"/>
      <c r="B1613" s="30"/>
      <c r="C1613" s="30"/>
      <c r="BW1613" s="17"/>
      <c r="BX1613" s="17"/>
      <c r="BY1613" s="17"/>
      <c r="BZ1613" s="17"/>
      <c r="CA1613" s="17"/>
      <c r="CB1613" s="17"/>
      <c r="CC1613" s="17"/>
      <c r="CD1613" s="17"/>
      <c r="CE1613" s="17"/>
    </row>
    <row r="1614" spans="1:83" x14ac:dyDescent="0.25">
      <c r="A1614" s="31"/>
      <c r="B1614" s="30"/>
      <c r="C1614" s="30"/>
      <c r="BW1614" s="17"/>
      <c r="BX1614" s="17"/>
      <c r="BY1614" s="17"/>
      <c r="BZ1614" s="17"/>
      <c r="CA1614" s="17"/>
      <c r="CB1614" s="17"/>
      <c r="CC1614" s="17"/>
      <c r="CD1614" s="17"/>
      <c r="CE1614" s="17"/>
    </row>
    <row r="1615" spans="1:83" x14ac:dyDescent="0.25">
      <c r="A1615" s="31"/>
      <c r="B1615" s="30"/>
      <c r="C1615" s="30"/>
      <c r="BW1615" s="17"/>
      <c r="BX1615" s="17"/>
      <c r="BY1615" s="17"/>
      <c r="BZ1615" s="17"/>
      <c r="CA1615" s="17"/>
      <c r="CB1615" s="17"/>
      <c r="CC1615" s="17"/>
      <c r="CD1615" s="17"/>
      <c r="CE1615" s="17"/>
    </row>
    <row r="1616" spans="1:83" x14ac:dyDescent="0.25">
      <c r="A1616" s="31"/>
      <c r="B1616" s="30"/>
      <c r="C1616" s="30"/>
      <c r="BW1616" s="17"/>
      <c r="BX1616" s="17"/>
      <c r="BY1616" s="17"/>
      <c r="BZ1616" s="17"/>
      <c r="CA1616" s="17"/>
      <c r="CB1616" s="17"/>
      <c r="CC1616" s="17"/>
      <c r="CD1616" s="17"/>
      <c r="CE1616" s="17"/>
    </row>
    <row r="1617" spans="1:83" x14ac:dyDescent="0.25">
      <c r="A1617" s="31"/>
      <c r="B1617" s="30"/>
      <c r="C1617" s="30"/>
      <c r="BW1617" s="17"/>
      <c r="BX1617" s="17"/>
      <c r="BY1617" s="17"/>
      <c r="BZ1617" s="17"/>
      <c r="CA1617" s="17"/>
      <c r="CB1617" s="17"/>
      <c r="CC1617" s="17"/>
      <c r="CD1617" s="17"/>
      <c r="CE1617" s="17"/>
    </row>
    <row r="1618" spans="1:83" x14ac:dyDescent="0.25">
      <c r="A1618" s="31"/>
      <c r="B1618" s="30"/>
      <c r="C1618" s="30"/>
      <c r="BW1618" s="17"/>
      <c r="BX1618" s="17"/>
      <c r="BY1618" s="17"/>
      <c r="BZ1618" s="17"/>
      <c r="CA1618" s="17"/>
      <c r="CB1618" s="17"/>
      <c r="CC1618" s="17"/>
      <c r="CD1618" s="17"/>
      <c r="CE1618" s="17"/>
    </row>
    <row r="1619" spans="1:83" x14ac:dyDescent="0.25">
      <c r="A1619" s="31"/>
      <c r="B1619" s="30"/>
      <c r="C1619" s="30"/>
      <c r="BW1619" s="17"/>
      <c r="BX1619" s="17"/>
      <c r="BY1619" s="17"/>
      <c r="BZ1619" s="17"/>
      <c r="CA1619" s="17"/>
      <c r="CB1619" s="17"/>
      <c r="CC1619" s="17"/>
      <c r="CD1619" s="17"/>
      <c r="CE1619" s="17"/>
    </row>
    <row r="1620" spans="1:83" x14ac:dyDescent="0.25">
      <c r="A1620" s="31"/>
      <c r="B1620" s="30"/>
      <c r="C1620" s="30"/>
      <c r="BW1620" s="17"/>
      <c r="BX1620" s="17"/>
      <c r="BY1620" s="17"/>
      <c r="BZ1620" s="17"/>
      <c r="CA1620" s="17"/>
      <c r="CB1620" s="17"/>
      <c r="CC1620" s="17"/>
      <c r="CD1620" s="17"/>
      <c r="CE1620" s="17"/>
    </row>
    <row r="1621" spans="1:83" x14ac:dyDescent="0.25">
      <c r="A1621" s="31"/>
      <c r="B1621" s="30"/>
      <c r="C1621" s="30"/>
      <c r="BW1621" s="17"/>
      <c r="BX1621" s="17"/>
      <c r="BY1621" s="17"/>
      <c r="BZ1621" s="17"/>
      <c r="CA1621" s="17"/>
      <c r="CB1621" s="17"/>
      <c r="CC1621" s="17"/>
      <c r="CD1621" s="17"/>
      <c r="CE1621" s="17"/>
    </row>
    <row r="1622" spans="1:83" x14ac:dyDescent="0.25">
      <c r="A1622" s="31"/>
      <c r="B1622" s="30"/>
      <c r="C1622" s="30"/>
      <c r="BW1622" s="17"/>
      <c r="BX1622" s="17"/>
      <c r="BY1622" s="17"/>
      <c r="BZ1622" s="17"/>
      <c r="CA1622" s="17"/>
      <c r="CB1622" s="17"/>
      <c r="CC1622" s="17"/>
      <c r="CD1622" s="17"/>
      <c r="CE1622" s="17"/>
    </row>
    <row r="1623" spans="1:83" x14ac:dyDescent="0.25">
      <c r="A1623" s="31"/>
      <c r="B1623" s="30"/>
      <c r="C1623" s="30"/>
      <c r="BW1623" s="17"/>
      <c r="BX1623" s="17"/>
      <c r="BY1623" s="17"/>
      <c r="BZ1623" s="17"/>
      <c r="CA1623" s="17"/>
      <c r="CB1623" s="17"/>
      <c r="CC1623" s="17"/>
      <c r="CD1623" s="17"/>
      <c r="CE1623" s="17"/>
    </row>
    <row r="1624" spans="1:83" x14ac:dyDescent="0.25">
      <c r="A1624" s="31"/>
      <c r="B1624" s="30"/>
      <c r="C1624" s="30"/>
      <c r="BW1624" s="17"/>
      <c r="BX1624" s="17"/>
      <c r="BY1624" s="17"/>
      <c r="BZ1624" s="17"/>
      <c r="CA1624" s="17"/>
      <c r="CB1624" s="17"/>
      <c r="CC1624" s="17"/>
      <c r="CD1624" s="17"/>
      <c r="CE1624" s="17"/>
    </row>
    <row r="1625" spans="1:83" x14ac:dyDescent="0.25">
      <c r="A1625" s="31"/>
      <c r="B1625" s="30"/>
      <c r="C1625" s="30"/>
      <c r="BW1625" s="17"/>
      <c r="BX1625" s="17"/>
      <c r="BY1625" s="17"/>
      <c r="BZ1625" s="17"/>
      <c r="CA1625" s="17"/>
      <c r="CB1625" s="17"/>
      <c r="CC1625" s="17"/>
      <c r="CD1625" s="17"/>
      <c r="CE1625" s="17"/>
    </row>
    <row r="1626" spans="1:83" x14ac:dyDescent="0.25">
      <c r="A1626" s="31"/>
      <c r="B1626" s="30"/>
      <c r="C1626" s="30"/>
      <c r="BW1626" s="17"/>
      <c r="BX1626" s="17"/>
      <c r="BY1626" s="17"/>
      <c r="BZ1626" s="17"/>
      <c r="CA1626" s="17"/>
      <c r="CB1626" s="17"/>
      <c r="CC1626" s="17"/>
      <c r="CD1626" s="17"/>
      <c r="CE1626" s="17"/>
    </row>
    <row r="1627" spans="1:83" x14ac:dyDescent="0.25">
      <c r="A1627" s="31"/>
      <c r="B1627" s="30"/>
      <c r="C1627" s="30"/>
      <c r="BW1627" s="17"/>
      <c r="BX1627" s="17"/>
      <c r="BY1627" s="17"/>
      <c r="BZ1627" s="17"/>
      <c r="CA1627" s="17"/>
      <c r="CB1627" s="17"/>
      <c r="CC1627" s="17"/>
      <c r="CD1627" s="17"/>
      <c r="CE1627" s="17"/>
    </row>
    <row r="1628" spans="1:83" x14ac:dyDescent="0.25">
      <c r="A1628" s="31"/>
      <c r="B1628" s="30"/>
      <c r="C1628" s="30"/>
      <c r="BW1628" s="17"/>
      <c r="BX1628" s="17"/>
      <c r="BY1628" s="17"/>
      <c r="BZ1628" s="17"/>
      <c r="CA1628" s="17"/>
      <c r="CB1628" s="17"/>
      <c r="CC1628" s="17"/>
      <c r="CD1628" s="17"/>
      <c r="CE1628" s="17"/>
    </row>
    <row r="1629" spans="1:83" x14ac:dyDescent="0.25">
      <c r="A1629" s="31"/>
      <c r="B1629" s="30"/>
      <c r="C1629" s="30"/>
      <c r="BW1629" s="17"/>
      <c r="BX1629" s="17"/>
      <c r="BY1629" s="17"/>
      <c r="BZ1629" s="17"/>
      <c r="CA1629" s="17"/>
      <c r="CB1629" s="17"/>
      <c r="CC1629" s="17"/>
      <c r="CD1629" s="17"/>
      <c r="CE1629" s="17"/>
    </row>
    <row r="1630" spans="1:83" x14ac:dyDescent="0.25">
      <c r="A1630" s="31"/>
      <c r="B1630" s="30"/>
      <c r="C1630" s="30"/>
      <c r="BW1630" s="17"/>
      <c r="BX1630" s="17"/>
      <c r="BY1630" s="17"/>
      <c r="BZ1630" s="17"/>
      <c r="CA1630" s="17"/>
      <c r="CB1630" s="17"/>
      <c r="CC1630" s="17"/>
      <c r="CD1630" s="17"/>
      <c r="CE1630" s="17"/>
    </row>
    <row r="1631" spans="1:83" x14ac:dyDescent="0.25">
      <c r="A1631" s="31"/>
      <c r="B1631" s="30"/>
      <c r="C1631" s="30"/>
      <c r="BW1631" s="17"/>
      <c r="BX1631" s="17"/>
      <c r="BY1631" s="17"/>
      <c r="BZ1631" s="17"/>
      <c r="CA1631" s="17"/>
      <c r="CB1631" s="17"/>
      <c r="CC1631" s="17"/>
      <c r="CD1631" s="17"/>
      <c r="CE1631" s="17"/>
    </row>
    <row r="1632" spans="1:83" x14ac:dyDescent="0.25">
      <c r="A1632" s="31"/>
      <c r="B1632" s="30"/>
      <c r="C1632" s="30"/>
      <c r="BW1632" s="17"/>
      <c r="BX1632" s="17"/>
      <c r="BY1632" s="17"/>
      <c r="BZ1632" s="17"/>
      <c r="CA1632" s="17"/>
      <c r="CB1632" s="17"/>
      <c r="CC1632" s="17"/>
      <c r="CD1632" s="17"/>
      <c r="CE1632" s="17"/>
    </row>
    <row r="1633" spans="1:83" x14ac:dyDescent="0.25">
      <c r="A1633" s="31"/>
      <c r="B1633" s="30"/>
      <c r="C1633" s="30"/>
      <c r="BW1633" s="17"/>
      <c r="BX1633" s="17"/>
      <c r="BY1633" s="17"/>
      <c r="BZ1633" s="17"/>
      <c r="CA1633" s="17"/>
      <c r="CB1633" s="17"/>
      <c r="CC1633" s="17"/>
      <c r="CD1633" s="17"/>
      <c r="CE1633" s="17"/>
    </row>
    <row r="1634" spans="1:83" x14ac:dyDescent="0.25">
      <c r="A1634" s="31"/>
      <c r="B1634" s="30"/>
      <c r="C1634" s="30"/>
      <c r="BW1634" s="17"/>
      <c r="BX1634" s="17"/>
      <c r="BY1634" s="17"/>
      <c r="BZ1634" s="17"/>
      <c r="CA1634" s="17"/>
      <c r="CB1634" s="17"/>
      <c r="CC1634" s="17"/>
      <c r="CD1634" s="17"/>
      <c r="CE1634" s="17"/>
    </row>
    <row r="1635" spans="1:83" x14ac:dyDescent="0.25">
      <c r="A1635" s="31"/>
      <c r="B1635" s="30"/>
      <c r="C1635" s="30"/>
      <c r="BW1635" s="17"/>
      <c r="BX1635" s="17"/>
      <c r="BY1635" s="17"/>
      <c r="BZ1635" s="17"/>
      <c r="CA1635" s="17"/>
      <c r="CB1635" s="17"/>
      <c r="CC1635" s="17"/>
      <c r="CD1635" s="17"/>
      <c r="CE1635" s="17"/>
    </row>
    <row r="1636" spans="1:83" x14ac:dyDescent="0.25">
      <c r="A1636" s="31"/>
      <c r="B1636" s="30"/>
      <c r="C1636" s="30"/>
      <c r="BW1636" s="17"/>
      <c r="BX1636" s="17"/>
      <c r="BY1636" s="17"/>
      <c r="BZ1636" s="17"/>
      <c r="CA1636" s="17"/>
      <c r="CB1636" s="17"/>
      <c r="CC1636" s="17"/>
      <c r="CD1636" s="17"/>
      <c r="CE1636" s="17"/>
    </row>
    <row r="1637" spans="1:83" x14ac:dyDescent="0.25">
      <c r="A1637" s="31"/>
      <c r="B1637" s="30"/>
      <c r="C1637" s="30"/>
      <c r="BW1637" s="17"/>
      <c r="BX1637" s="17"/>
      <c r="BY1637" s="17"/>
      <c r="BZ1637" s="17"/>
      <c r="CA1637" s="17"/>
      <c r="CB1637" s="17"/>
      <c r="CC1637" s="17"/>
      <c r="CD1637" s="17"/>
      <c r="CE1637" s="17"/>
    </row>
    <row r="1638" spans="1:83" x14ac:dyDescent="0.25">
      <c r="A1638" s="31"/>
      <c r="B1638" s="30"/>
      <c r="C1638" s="30"/>
      <c r="BW1638" s="17"/>
      <c r="BX1638" s="17"/>
      <c r="BY1638" s="17"/>
      <c r="BZ1638" s="17"/>
      <c r="CA1638" s="17"/>
      <c r="CB1638" s="17"/>
      <c r="CC1638" s="17"/>
      <c r="CD1638" s="17"/>
      <c r="CE1638" s="17"/>
    </row>
    <row r="1639" spans="1:83" x14ac:dyDescent="0.25">
      <c r="A1639" s="31"/>
      <c r="B1639" s="30"/>
      <c r="C1639" s="30"/>
      <c r="BW1639" s="17"/>
      <c r="BX1639" s="17"/>
      <c r="BY1639" s="17"/>
      <c r="BZ1639" s="17"/>
      <c r="CA1639" s="17"/>
      <c r="CB1639" s="17"/>
      <c r="CC1639" s="17"/>
      <c r="CD1639" s="17"/>
      <c r="CE1639" s="17"/>
    </row>
    <row r="1640" spans="1:83" x14ac:dyDescent="0.25">
      <c r="A1640" s="31"/>
      <c r="B1640" s="30"/>
      <c r="C1640" s="30"/>
      <c r="BW1640" s="17"/>
      <c r="BX1640" s="17"/>
      <c r="BY1640" s="17"/>
      <c r="BZ1640" s="17"/>
      <c r="CA1640" s="17"/>
      <c r="CB1640" s="17"/>
      <c r="CC1640" s="17"/>
      <c r="CD1640" s="17"/>
      <c r="CE1640" s="17"/>
    </row>
    <row r="1641" spans="1:83" x14ac:dyDescent="0.25">
      <c r="A1641" s="31"/>
      <c r="B1641" s="30"/>
      <c r="C1641" s="30"/>
      <c r="BW1641" s="17"/>
      <c r="BX1641" s="17"/>
      <c r="BY1641" s="17"/>
      <c r="BZ1641" s="17"/>
      <c r="CA1641" s="17"/>
      <c r="CB1641" s="17"/>
      <c r="CC1641" s="17"/>
      <c r="CD1641" s="17"/>
      <c r="CE1641" s="17"/>
    </row>
    <row r="1642" spans="1:83" x14ac:dyDescent="0.25">
      <c r="A1642" s="31"/>
      <c r="B1642" s="30"/>
      <c r="C1642" s="30"/>
      <c r="BW1642" s="17"/>
      <c r="BX1642" s="17"/>
      <c r="BY1642" s="17"/>
      <c r="BZ1642" s="17"/>
      <c r="CA1642" s="17"/>
      <c r="CB1642" s="17"/>
      <c r="CC1642" s="17"/>
      <c r="CD1642" s="17"/>
      <c r="CE1642" s="17"/>
    </row>
    <row r="1643" spans="1:83" x14ac:dyDescent="0.25">
      <c r="A1643" s="31"/>
      <c r="B1643" s="30"/>
      <c r="C1643" s="30"/>
      <c r="BW1643" s="17"/>
      <c r="BX1643" s="17"/>
      <c r="BY1643" s="17"/>
      <c r="BZ1643" s="17"/>
      <c r="CA1643" s="17"/>
      <c r="CB1643" s="17"/>
      <c r="CC1643" s="17"/>
      <c r="CD1643" s="17"/>
      <c r="CE1643" s="17"/>
    </row>
    <row r="1644" spans="1:83" x14ac:dyDescent="0.25">
      <c r="A1644" s="31"/>
      <c r="B1644" s="30"/>
      <c r="C1644" s="30"/>
      <c r="BW1644" s="17"/>
      <c r="BX1644" s="17"/>
      <c r="BY1644" s="17"/>
      <c r="BZ1644" s="17"/>
      <c r="CA1644" s="17"/>
      <c r="CB1644" s="17"/>
      <c r="CC1644" s="17"/>
      <c r="CD1644" s="17"/>
      <c r="CE1644" s="17"/>
    </row>
    <row r="1645" spans="1:83" x14ac:dyDescent="0.25">
      <c r="A1645" s="31"/>
      <c r="B1645" s="30"/>
      <c r="C1645" s="30"/>
      <c r="BW1645" s="17"/>
      <c r="BX1645" s="17"/>
      <c r="BY1645" s="17"/>
      <c r="BZ1645" s="17"/>
      <c r="CA1645" s="17"/>
      <c r="CB1645" s="17"/>
      <c r="CC1645" s="17"/>
      <c r="CD1645" s="17"/>
      <c r="CE1645" s="17"/>
    </row>
    <row r="1646" spans="1:83" x14ac:dyDescent="0.25">
      <c r="A1646" s="31"/>
      <c r="B1646" s="30"/>
      <c r="C1646" s="30"/>
      <c r="BW1646" s="17"/>
      <c r="BX1646" s="17"/>
      <c r="BY1646" s="17"/>
      <c r="BZ1646" s="17"/>
      <c r="CA1646" s="17"/>
      <c r="CB1646" s="17"/>
      <c r="CC1646" s="17"/>
      <c r="CD1646" s="17"/>
      <c r="CE1646" s="17"/>
    </row>
    <row r="1647" spans="1:83" x14ac:dyDescent="0.25">
      <c r="A1647" s="31"/>
      <c r="B1647" s="30"/>
      <c r="C1647" s="30"/>
      <c r="BW1647" s="17"/>
      <c r="BX1647" s="17"/>
      <c r="BY1647" s="17"/>
      <c r="BZ1647" s="17"/>
      <c r="CA1647" s="17"/>
      <c r="CB1647" s="17"/>
      <c r="CC1647" s="17"/>
      <c r="CD1647" s="17"/>
      <c r="CE1647" s="17"/>
    </row>
    <row r="1648" spans="1:83" x14ac:dyDescent="0.25">
      <c r="A1648" s="31"/>
      <c r="B1648" s="30"/>
      <c r="C1648" s="30"/>
      <c r="BW1648" s="17"/>
      <c r="BX1648" s="17"/>
      <c r="BY1648" s="17"/>
      <c r="BZ1648" s="17"/>
      <c r="CA1648" s="17"/>
      <c r="CB1648" s="17"/>
      <c r="CC1648" s="17"/>
      <c r="CD1648" s="17"/>
      <c r="CE1648" s="17"/>
    </row>
    <row r="1649" spans="1:83" x14ac:dyDescent="0.25">
      <c r="A1649" s="31"/>
      <c r="B1649" s="30"/>
      <c r="C1649" s="30"/>
      <c r="BW1649" s="17"/>
      <c r="BX1649" s="17"/>
      <c r="BY1649" s="17"/>
      <c r="BZ1649" s="17"/>
      <c r="CA1649" s="17"/>
      <c r="CB1649" s="17"/>
      <c r="CC1649" s="17"/>
      <c r="CD1649" s="17"/>
      <c r="CE1649" s="17"/>
    </row>
    <row r="1650" spans="1:83" x14ac:dyDescent="0.25">
      <c r="A1650" s="31"/>
      <c r="B1650" s="30"/>
      <c r="C1650" s="30"/>
      <c r="BW1650" s="17"/>
      <c r="BX1650" s="17"/>
      <c r="BY1650" s="17"/>
      <c r="BZ1650" s="17"/>
      <c r="CA1650" s="17"/>
      <c r="CB1650" s="17"/>
      <c r="CC1650" s="17"/>
      <c r="CD1650" s="17"/>
      <c r="CE1650" s="17"/>
    </row>
    <row r="1651" spans="1:83" x14ac:dyDescent="0.25">
      <c r="A1651" s="31"/>
      <c r="B1651" s="30"/>
      <c r="C1651" s="30"/>
      <c r="BW1651" s="17"/>
      <c r="BX1651" s="17"/>
      <c r="BY1651" s="17"/>
      <c r="BZ1651" s="17"/>
      <c r="CA1651" s="17"/>
      <c r="CB1651" s="17"/>
      <c r="CC1651" s="17"/>
      <c r="CD1651" s="17"/>
      <c r="CE1651" s="17"/>
    </row>
    <row r="1652" spans="1:83" x14ac:dyDescent="0.25">
      <c r="A1652" s="31"/>
      <c r="B1652" s="30"/>
      <c r="C1652" s="30"/>
      <c r="BW1652" s="17"/>
      <c r="BX1652" s="17"/>
      <c r="BY1652" s="17"/>
      <c r="BZ1652" s="17"/>
      <c r="CA1652" s="17"/>
      <c r="CB1652" s="17"/>
      <c r="CC1652" s="17"/>
      <c r="CD1652" s="17"/>
      <c r="CE1652" s="17"/>
    </row>
    <row r="1653" spans="1:83" x14ac:dyDescent="0.25">
      <c r="A1653" s="31"/>
      <c r="B1653" s="30"/>
      <c r="C1653" s="30"/>
      <c r="BW1653" s="17"/>
      <c r="BX1653" s="17"/>
      <c r="BY1653" s="17"/>
      <c r="BZ1653" s="17"/>
      <c r="CA1653" s="17"/>
      <c r="CB1653" s="17"/>
      <c r="CC1653" s="17"/>
      <c r="CD1653" s="17"/>
      <c r="CE1653" s="17"/>
    </row>
    <row r="1654" spans="1:83" x14ac:dyDescent="0.25">
      <c r="A1654" s="31"/>
      <c r="B1654" s="30"/>
      <c r="C1654" s="30"/>
      <c r="BW1654" s="17"/>
      <c r="BX1654" s="17"/>
      <c r="BY1654" s="17"/>
      <c r="BZ1654" s="17"/>
      <c r="CA1654" s="17"/>
      <c r="CB1654" s="17"/>
      <c r="CC1654" s="17"/>
      <c r="CD1654" s="17"/>
      <c r="CE1654" s="17"/>
    </row>
    <row r="1655" spans="1:83" x14ac:dyDescent="0.25">
      <c r="A1655" s="31"/>
      <c r="B1655" s="30"/>
      <c r="C1655" s="30"/>
      <c r="BW1655" s="17"/>
      <c r="BX1655" s="17"/>
      <c r="BY1655" s="17"/>
      <c r="BZ1655" s="17"/>
      <c r="CA1655" s="17"/>
      <c r="CB1655" s="17"/>
      <c r="CC1655" s="17"/>
      <c r="CD1655" s="17"/>
      <c r="CE1655" s="17"/>
    </row>
    <row r="1656" spans="1:83" x14ac:dyDescent="0.25">
      <c r="A1656" s="31"/>
      <c r="B1656" s="30"/>
      <c r="C1656" s="30"/>
      <c r="BW1656" s="17"/>
      <c r="BX1656" s="17"/>
      <c r="BY1656" s="17"/>
      <c r="BZ1656" s="17"/>
      <c r="CA1656" s="17"/>
      <c r="CB1656" s="17"/>
      <c r="CC1656" s="17"/>
      <c r="CD1656" s="17"/>
      <c r="CE1656" s="17"/>
    </row>
    <row r="1657" spans="1:83" x14ac:dyDescent="0.25">
      <c r="A1657" s="31"/>
      <c r="B1657" s="30"/>
      <c r="C1657" s="30"/>
      <c r="BW1657" s="17"/>
      <c r="BX1657" s="17"/>
      <c r="BY1657" s="17"/>
      <c r="BZ1657" s="17"/>
      <c r="CA1657" s="17"/>
      <c r="CB1657" s="17"/>
      <c r="CC1657" s="17"/>
      <c r="CD1657" s="17"/>
      <c r="CE1657" s="17"/>
    </row>
    <row r="1658" spans="1:83" x14ac:dyDescent="0.25">
      <c r="A1658" s="31"/>
      <c r="B1658" s="30"/>
      <c r="C1658" s="30"/>
      <c r="BW1658" s="17"/>
      <c r="BX1658" s="17"/>
      <c r="BY1658" s="17"/>
      <c r="BZ1658" s="17"/>
      <c r="CA1658" s="17"/>
      <c r="CB1658" s="17"/>
      <c r="CC1658" s="17"/>
      <c r="CD1658" s="17"/>
      <c r="CE1658" s="17"/>
    </row>
    <row r="1659" spans="1:83" x14ac:dyDescent="0.25">
      <c r="A1659" s="31"/>
      <c r="B1659" s="30"/>
      <c r="C1659" s="30"/>
      <c r="BW1659" s="17"/>
      <c r="BX1659" s="17"/>
      <c r="BY1659" s="17"/>
      <c r="BZ1659" s="17"/>
      <c r="CA1659" s="17"/>
      <c r="CB1659" s="17"/>
      <c r="CC1659" s="17"/>
      <c r="CD1659" s="17"/>
      <c r="CE1659" s="17"/>
    </row>
    <row r="1660" spans="1:83" x14ac:dyDescent="0.25">
      <c r="A1660" s="31"/>
      <c r="B1660" s="30"/>
      <c r="C1660" s="30"/>
      <c r="BW1660" s="17"/>
      <c r="BX1660" s="17"/>
      <c r="BY1660" s="17"/>
      <c r="BZ1660" s="17"/>
      <c r="CA1660" s="17"/>
      <c r="CB1660" s="17"/>
      <c r="CC1660" s="17"/>
      <c r="CD1660" s="17"/>
      <c r="CE1660" s="17"/>
    </row>
    <row r="1661" spans="1:83" x14ac:dyDescent="0.25">
      <c r="A1661" s="31"/>
      <c r="B1661" s="30"/>
      <c r="C1661" s="30"/>
      <c r="BW1661" s="17"/>
      <c r="BX1661" s="17"/>
      <c r="BY1661" s="17"/>
      <c r="BZ1661" s="17"/>
      <c r="CA1661" s="17"/>
      <c r="CB1661" s="17"/>
      <c r="CC1661" s="17"/>
      <c r="CD1661" s="17"/>
      <c r="CE1661" s="17"/>
    </row>
    <row r="1662" spans="1:83" x14ac:dyDescent="0.25">
      <c r="A1662" s="31"/>
      <c r="B1662" s="30"/>
      <c r="C1662" s="30"/>
      <c r="BW1662" s="17"/>
      <c r="BX1662" s="17"/>
      <c r="BY1662" s="17"/>
      <c r="BZ1662" s="17"/>
      <c r="CA1662" s="17"/>
      <c r="CB1662" s="17"/>
      <c r="CC1662" s="17"/>
      <c r="CD1662" s="17"/>
      <c r="CE1662" s="17"/>
    </row>
    <row r="1663" spans="1:83" x14ac:dyDescent="0.25">
      <c r="A1663" s="31"/>
      <c r="B1663" s="30"/>
      <c r="C1663" s="30"/>
      <c r="BW1663" s="17"/>
      <c r="BX1663" s="17"/>
      <c r="BY1663" s="17"/>
      <c r="BZ1663" s="17"/>
      <c r="CA1663" s="17"/>
      <c r="CB1663" s="17"/>
      <c r="CC1663" s="17"/>
      <c r="CD1663" s="17"/>
      <c r="CE1663" s="17"/>
    </row>
    <row r="1664" spans="1:83" x14ac:dyDescent="0.25">
      <c r="A1664" s="31"/>
      <c r="B1664" s="30"/>
      <c r="C1664" s="30"/>
      <c r="BW1664" s="17"/>
      <c r="BX1664" s="17"/>
      <c r="BY1664" s="17"/>
      <c r="BZ1664" s="17"/>
      <c r="CA1664" s="17"/>
      <c r="CB1664" s="17"/>
      <c r="CC1664" s="17"/>
      <c r="CD1664" s="17"/>
      <c r="CE1664" s="17"/>
    </row>
    <row r="1665" spans="1:83" x14ac:dyDescent="0.25">
      <c r="A1665" s="31"/>
      <c r="B1665" s="30"/>
      <c r="C1665" s="30"/>
      <c r="BW1665" s="17"/>
      <c r="BX1665" s="17"/>
      <c r="BY1665" s="17"/>
      <c r="BZ1665" s="17"/>
      <c r="CA1665" s="17"/>
      <c r="CB1665" s="17"/>
      <c r="CC1665" s="17"/>
      <c r="CD1665" s="17"/>
      <c r="CE1665" s="17"/>
    </row>
    <row r="1666" spans="1:83" x14ac:dyDescent="0.25">
      <c r="A1666" s="31"/>
      <c r="B1666" s="30"/>
      <c r="C1666" s="30"/>
      <c r="BW1666" s="17"/>
      <c r="BX1666" s="17"/>
      <c r="BY1666" s="17"/>
      <c r="BZ1666" s="17"/>
      <c r="CA1666" s="17"/>
      <c r="CB1666" s="17"/>
      <c r="CC1666" s="17"/>
      <c r="CD1666" s="17"/>
      <c r="CE1666" s="17"/>
    </row>
    <row r="1667" spans="1:83" x14ac:dyDescent="0.25">
      <c r="A1667" s="31"/>
      <c r="B1667" s="30"/>
      <c r="C1667" s="30"/>
      <c r="BW1667" s="17"/>
      <c r="BX1667" s="17"/>
      <c r="BY1667" s="17"/>
      <c r="BZ1667" s="17"/>
      <c r="CA1667" s="17"/>
      <c r="CB1667" s="17"/>
      <c r="CC1667" s="17"/>
      <c r="CD1667" s="17"/>
      <c r="CE1667" s="17"/>
    </row>
    <row r="1668" spans="1:83" x14ac:dyDescent="0.25">
      <c r="A1668" s="31"/>
      <c r="B1668" s="30"/>
      <c r="C1668" s="30"/>
      <c r="BW1668" s="17"/>
      <c r="BX1668" s="17"/>
      <c r="BY1668" s="17"/>
      <c r="BZ1668" s="17"/>
      <c r="CA1668" s="17"/>
      <c r="CB1668" s="17"/>
      <c r="CC1668" s="17"/>
      <c r="CD1668" s="17"/>
      <c r="CE1668" s="17"/>
    </row>
    <row r="1669" spans="1:83" x14ac:dyDescent="0.25">
      <c r="A1669" s="31"/>
      <c r="B1669" s="30"/>
      <c r="C1669" s="30"/>
      <c r="BW1669" s="17"/>
      <c r="BX1669" s="17"/>
      <c r="BY1669" s="17"/>
      <c r="BZ1669" s="17"/>
      <c r="CA1669" s="17"/>
      <c r="CB1669" s="17"/>
      <c r="CC1669" s="17"/>
      <c r="CD1669" s="17"/>
      <c r="CE1669" s="17"/>
    </row>
    <row r="1670" spans="1:83" x14ac:dyDescent="0.25">
      <c r="A1670" s="31"/>
      <c r="B1670" s="30"/>
      <c r="C1670" s="30"/>
      <c r="BW1670" s="17"/>
      <c r="BX1670" s="17"/>
      <c r="BY1670" s="17"/>
      <c r="BZ1670" s="17"/>
      <c r="CA1670" s="17"/>
      <c r="CB1670" s="17"/>
      <c r="CC1670" s="17"/>
      <c r="CD1670" s="17"/>
      <c r="CE1670" s="17"/>
    </row>
    <row r="1671" spans="1:83" x14ac:dyDescent="0.25">
      <c r="A1671" s="31"/>
      <c r="B1671" s="30"/>
      <c r="C1671" s="30"/>
      <c r="BW1671" s="17"/>
      <c r="BX1671" s="17"/>
      <c r="BY1671" s="17"/>
      <c r="BZ1671" s="17"/>
      <c r="CA1671" s="17"/>
      <c r="CB1671" s="17"/>
      <c r="CC1671" s="17"/>
      <c r="CD1671" s="17"/>
      <c r="CE1671" s="17"/>
    </row>
    <row r="1672" spans="1:83" x14ac:dyDescent="0.25">
      <c r="A1672" s="31"/>
      <c r="B1672" s="30"/>
      <c r="C1672" s="30"/>
      <c r="BW1672" s="17"/>
      <c r="BX1672" s="17"/>
      <c r="BY1672" s="17"/>
      <c r="BZ1672" s="17"/>
      <c r="CA1672" s="17"/>
      <c r="CB1672" s="17"/>
      <c r="CC1672" s="17"/>
      <c r="CD1672" s="17"/>
      <c r="CE1672" s="17"/>
    </row>
    <row r="1673" spans="1:83" x14ac:dyDescent="0.25">
      <c r="A1673" s="31"/>
      <c r="B1673" s="30"/>
      <c r="C1673" s="30"/>
      <c r="BW1673" s="17"/>
      <c r="BX1673" s="17"/>
      <c r="BY1673" s="17"/>
      <c r="BZ1673" s="17"/>
      <c r="CA1673" s="17"/>
      <c r="CB1673" s="17"/>
      <c r="CC1673" s="17"/>
      <c r="CD1673" s="17"/>
      <c r="CE1673" s="17"/>
    </row>
    <row r="1674" spans="1:83" x14ac:dyDescent="0.25">
      <c r="A1674" s="31"/>
      <c r="B1674" s="30"/>
      <c r="C1674" s="30"/>
      <c r="BW1674" s="17"/>
      <c r="BX1674" s="17"/>
      <c r="BY1674" s="17"/>
      <c r="BZ1674" s="17"/>
      <c r="CA1674" s="17"/>
      <c r="CB1674" s="17"/>
      <c r="CC1674" s="17"/>
      <c r="CD1674" s="17"/>
      <c r="CE1674" s="17"/>
    </row>
    <row r="1675" spans="1:83" x14ac:dyDescent="0.25">
      <c r="A1675" s="31"/>
      <c r="B1675" s="30"/>
      <c r="C1675" s="30"/>
      <c r="BW1675" s="17"/>
      <c r="BX1675" s="17"/>
      <c r="BY1675" s="17"/>
      <c r="BZ1675" s="17"/>
      <c r="CA1675" s="17"/>
      <c r="CB1675" s="17"/>
      <c r="CC1675" s="17"/>
      <c r="CD1675" s="17"/>
      <c r="CE1675" s="17"/>
    </row>
    <row r="1676" spans="1:83" x14ac:dyDescent="0.25">
      <c r="A1676" s="31"/>
      <c r="B1676" s="30"/>
      <c r="C1676" s="30"/>
      <c r="BW1676" s="17"/>
      <c r="BX1676" s="17"/>
      <c r="BY1676" s="17"/>
      <c r="BZ1676" s="17"/>
      <c r="CA1676" s="17"/>
      <c r="CB1676" s="17"/>
      <c r="CC1676" s="17"/>
      <c r="CD1676" s="17"/>
      <c r="CE1676" s="17"/>
    </row>
    <row r="1677" spans="1:83" x14ac:dyDescent="0.25">
      <c r="A1677" s="31"/>
      <c r="B1677" s="30"/>
      <c r="C1677" s="30"/>
      <c r="BW1677" s="17"/>
      <c r="BX1677" s="17"/>
      <c r="BY1677" s="17"/>
      <c r="BZ1677" s="17"/>
      <c r="CA1677" s="17"/>
      <c r="CB1677" s="17"/>
      <c r="CC1677" s="17"/>
      <c r="CD1677" s="17"/>
      <c r="CE1677" s="17"/>
    </row>
    <row r="1678" spans="1:83" x14ac:dyDescent="0.25">
      <c r="A1678" s="31"/>
      <c r="B1678" s="30"/>
      <c r="C1678" s="30"/>
      <c r="BW1678" s="17"/>
      <c r="BX1678" s="17"/>
      <c r="BY1678" s="17"/>
      <c r="BZ1678" s="17"/>
      <c r="CA1678" s="17"/>
      <c r="CB1678" s="17"/>
      <c r="CC1678" s="17"/>
      <c r="CD1678" s="17"/>
      <c r="CE1678" s="17"/>
    </row>
    <row r="1679" spans="1:83" x14ac:dyDescent="0.25">
      <c r="A1679" s="31"/>
      <c r="B1679" s="30"/>
      <c r="C1679" s="30"/>
      <c r="BW1679" s="17"/>
      <c r="BX1679" s="17"/>
      <c r="BY1679" s="17"/>
      <c r="BZ1679" s="17"/>
      <c r="CA1679" s="17"/>
      <c r="CB1679" s="17"/>
      <c r="CC1679" s="17"/>
      <c r="CD1679" s="17"/>
      <c r="CE1679" s="17"/>
    </row>
    <row r="1680" spans="1:83" x14ac:dyDescent="0.25">
      <c r="A1680" s="31"/>
      <c r="B1680" s="30"/>
      <c r="C1680" s="30"/>
      <c r="BW1680" s="17"/>
      <c r="BX1680" s="17"/>
      <c r="BY1680" s="17"/>
      <c r="BZ1680" s="17"/>
      <c r="CA1680" s="17"/>
      <c r="CB1680" s="17"/>
      <c r="CC1680" s="17"/>
      <c r="CD1680" s="17"/>
      <c r="CE1680" s="17"/>
    </row>
    <row r="1681" spans="1:83" x14ac:dyDescent="0.25">
      <c r="A1681" s="31"/>
      <c r="B1681" s="30"/>
      <c r="C1681" s="30"/>
      <c r="BW1681" s="17"/>
      <c r="BX1681" s="17"/>
      <c r="BY1681" s="17"/>
      <c r="BZ1681" s="17"/>
      <c r="CA1681" s="17"/>
      <c r="CB1681" s="17"/>
      <c r="CC1681" s="17"/>
      <c r="CD1681" s="17"/>
      <c r="CE1681" s="17"/>
    </row>
    <row r="1682" spans="1:83" x14ac:dyDescent="0.25">
      <c r="A1682" s="31"/>
      <c r="B1682" s="30"/>
      <c r="C1682" s="30"/>
      <c r="BW1682" s="17"/>
      <c r="BX1682" s="17"/>
      <c r="BY1682" s="17"/>
      <c r="BZ1682" s="17"/>
      <c r="CA1682" s="17"/>
      <c r="CB1682" s="17"/>
      <c r="CC1682" s="17"/>
      <c r="CD1682" s="17"/>
      <c r="CE1682" s="17"/>
    </row>
    <row r="1683" spans="1:83" x14ac:dyDescent="0.25">
      <c r="A1683" s="31"/>
      <c r="B1683" s="30"/>
      <c r="C1683" s="30"/>
      <c r="BW1683" s="17"/>
      <c r="BX1683" s="17"/>
      <c r="BY1683" s="17"/>
      <c r="BZ1683" s="17"/>
      <c r="CA1683" s="17"/>
      <c r="CB1683" s="17"/>
      <c r="CC1683" s="17"/>
      <c r="CD1683" s="17"/>
      <c r="CE1683" s="17"/>
    </row>
    <row r="1684" spans="1:83" x14ac:dyDescent="0.25">
      <c r="A1684" s="31"/>
      <c r="B1684" s="30"/>
      <c r="C1684" s="30"/>
      <c r="BW1684" s="17"/>
      <c r="BX1684" s="17"/>
      <c r="BY1684" s="17"/>
      <c r="BZ1684" s="17"/>
      <c r="CA1684" s="17"/>
      <c r="CB1684" s="17"/>
      <c r="CC1684" s="17"/>
      <c r="CD1684" s="17"/>
      <c r="CE1684" s="17"/>
    </row>
    <row r="1685" spans="1:83" x14ac:dyDescent="0.25">
      <c r="A1685" s="31"/>
      <c r="B1685" s="30"/>
      <c r="C1685" s="30"/>
      <c r="BW1685" s="17"/>
      <c r="BX1685" s="17"/>
      <c r="BY1685" s="17"/>
      <c r="BZ1685" s="17"/>
      <c r="CA1685" s="17"/>
      <c r="CB1685" s="17"/>
      <c r="CC1685" s="17"/>
      <c r="CD1685" s="17"/>
      <c r="CE1685" s="17"/>
    </row>
    <row r="1686" spans="1:83" x14ac:dyDescent="0.25">
      <c r="A1686" s="31"/>
      <c r="B1686" s="30"/>
      <c r="C1686" s="30"/>
      <c r="BW1686" s="17"/>
      <c r="BX1686" s="17"/>
      <c r="BY1686" s="17"/>
      <c r="BZ1686" s="17"/>
      <c r="CA1686" s="17"/>
      <c r="CB1686" s="17"/>
      <c r="CC1686" s="17"/>
      <c r="CD1686" s="17"/>
      <c r="CE1686" s="17"/>
    </row>
    <row r="1687" spans="1:83" x14ac:dyDescent="0.25">
      <c r="A1687" s="31"/>
      <c r="B1687" s="30"/>
      <c r="C1687" s="30"/>
      <c r="BW1687" s="17"/>
      <c r="BX1687" s="17"/>
      <c r="BY1687" s="17"/>
      <c r="BZ1687" s="17"/>
      <c r="CA1687" s="17"/>
      <c r="CB1687" s="17"/>
      <c r="CC1687" s="17"/>
      <c r="CD1687" s="17"/>
      <c r="CE1687" s="17"/>
    </row>
    <row r="1688" spans="1:83" x14ac:dyDescent="0.25">
      <c r="A1688" s="31"/>
      <c r="B1688" s="30"/>
      <c r="C1688" s="30"/>
      <c r="BW1688" s="17"/>
      <c r="BX1688" s="17"/>
      <c r="BY1688" s="17"/>
      <c r="BZ1688" s="17"/>
      <c r="CA1688" s="17"/>
      <c r="CB1688" s="17"/>
      <c r="CC1688" s="17"/>
      <c r="CD1688" s="17"/>
      <c r="CE1688" s="17"/>
    </row>
    <row r="1689" spans="1:83" x14ac:dyDescent="0.25">
      <c r="A1689" s="31"/>
      <c r="B1689" s="30"/>
      <c r="C1689" s="30"/>
      <c r="BW1689" s="17"/>
      <c r="BX1689" s="17"/>
      <c r="BY1689" s="17"/>
      <c r="BZ1689" s="17"/>
      <c r="CA1689" s="17"/>
      <c r="CB1689" s="17"/>
      <c r="CC1689" s="17"/>
      <c r="CD1689" s="17"/>
      <c r="CE1689" s="17"/>
    </row>
    <row r="1690" spans="1:83" x14ac:dyDescent="0.25">
      <c r="A1690" s="31"/>
      <c r="B1690" s="30"/>
      <c r="C1690" s="30"/>
      <c r="BW1690" s="17"/>
      <c r="BX1690" s="17"/>
      <c r="BY1690" s="17"/>
      <c r="BZ1690" s="17"/>
      <c r="CA1690" s="17"/>
      <c r="CB1690" s="17"/>
      <c r="CC1690" s="17"/>
      <c r="CD1690" s="17"/>
      <c r="CE1690" s="17"/>
    </row>
    <row r="1691" spans="1:83" x14ac:dyDescent="0.25">
      <c r="A1691" s="31"/>
      <c r="B1691" s="30"/>
      <c r="C1691" s="30"/>
      <c r="BW1691" s="17"/>
      <c r="BX1691" s="17"/>
      <c r="BY1691" s="17"/>
      <c r="BZ1691" s="17"/>
      <c r="CA1691" s="17"/>
      <c r="CB1691" s="17"/>
      <c r="CC1691" s="17"/>
      <c r="CD1691" s="17"/>
      <c r="CE1691" s="17"/>
    </row>
    <row r="1692" spans="1:83" x14ac:dyDescent="0.25">
      <c r="A1692" s="31"/>
      <c r="B1692" s="30"/>
      <c r="C1692" s="30"/>
      <c r="BW1692" s="17"/>
      <c r="BX1692" s="17"/>
      <c r="BY1692" s="17"/>
      <c r="BZ1692" s="17"/>
      <c r="CA1692" s="17"/>
      <c r="CB1692" s="17"/>
      <c r="CC1692" s="17"/>
      <c r="CD1692" s="17"/>
      <c r="CE1692" s="17"/>
    </row>
    <row r="1693" spans="1:83" x14ac:dyDescent="0.25">
      <c r="A1693" s="31"/>
      <c r="B1693" s="30"/>
      <c r="C1693" s="30"/>
      <c r="BW1693" s="17"/>
      <c r="BX1693" s="17"/>
      <c r="BY1693" s="17"/>
      <c r="BZ1693" s="17"/>
      <c r="CA1693" s="17"/>
      <c r="CB1693" s="17"/>
      <c r="CC1693" s="17"/>
      <c r="CD1693" s="17"/>
      <c r="CE1693" s="17"/>
    </row>
    <row r="1694" spans="1:83" x14ac:dyDescent="0.25">
      <c r="A1694" s="31"/>
      <c r="B1694" s="30"/>
      <c r="C1694" s="30"/>
      <c r="BW1694" s="17"/>
      <c r="BX1694" s="17"/>
      <c r="BY1694" s="17"/>
      <c r="BZ1694" s="17"/>
      <c r="CA1694" s="17"/>
      <c r="CB1694" s="17"/>
      <c r="CC1694" s="17"/>
      <c r="CD1694" s="17"/>
      <c r="CE1694" s="17"/>
    </row>
    <row r="1695" spans="1:83" x14ac:dyDescent="0.25">
      <c r="A1695" s="31"/>
      <c r="B1695" s="30"/>
      <c r="C1695" s="30"/>
      <c r="BW1695" s="17"/>
      <c r="BX1695" s="17"/>
      <c r="BY1695" s="17"/>
      <c r="BZ1695" s="17"/>
      <c r="CA1695" s="17"/>
      <c r="CB1695" s="17"/>
      <c r="CC1695" s="17"/>
      <c r="CD1695" s="17"/>
      <c r="CE1695" s="17"/>
    </row>
    <row r="1696" spans="1:83" x14ac:dyDescent="0.25">
      <c r="A1696" s="31"/>
      <c r="B1696" s="30"/>
      <c r="C1696" s="30"/>
      <c r="BW1696" s="17"/>
      <c r="BX1696" s="17"/>
      <c r="BY1696" s="17"/>
      <c r="BZ1696" s="17"/>
      <c r="CA1696" s="17"/>
      <c r="CB1696" s="17"/>
      <c r="CC1696" s="17"/>
      <c r="CD1696" s="17"/>
      <c r="CE1696" s="17"/>
    </row>
    <row r="1697" spans="1:83" x14ac:dyDescent="0.25">
      <c r="A1697" s="31"/>
      <c r="B1697" s="30"/>
      <c r="C1697" s="30"/>
      <c r="BW1697" s="17"/>
      <c r="BX1697" s="17"/>
      <c r="BY1697" s="17"/>
      <c r="BZ1697" s="17"/>
      <c r="CA1697" s="17"/>
      <c r="CB1697" s="17"/>
      <c r="CC1697" s="17"/>
      <c r="CD1697" s="17"/>
      <c r="CE1697" s="17"/>
    </row>
    <row r="1698" spans="1:83" x14ac:dyDescent="0.25">
      <c r="A1698" s="31"/>
      <c r="B1698" s="30"/>
      <c r="C1698" s="30"/>
      <c r="BW1698" s="17"/>
      <c r="BX1698" s="17"/>
      <c r="BY1698" s="17"/>
      <c r="BZ1698" s="17"/>
      <c r="CA1698" s="17"/>
      <c r="CB1698" s="17"/>
      <c r="CC1698" s="17"/>
      <c r="CD1698" s="17"/>
      <c r="CE1698" s="17"/>
    </row>
    <row r="1699" spans="1:83" x14ac:dyDescent="0.25">
      <c r="A1699" s="31"/>
      <c r="B1699" s="30"/>
      <c r="C1699" s="30"/>
      <c r="BW1699" s="17"/>
      <c r="BX1699" s="17"/>
      <c r="BY1699" s="17"/>
      <c r="BZ1699" s="17"/>
      <c r="CA1699" s="17"/>
      <c r="CB1699" s="17"/>
      <c r="CC1699" s="17"/>
      <c r="CD1699" s="17"/>
      <c r="CE1699" s="17"/>
    </row>
    <row r="1700" spans="1:83" x14ac:dyDescent="0.25">
      <c r="A1700" s="31"/>
      <c r="B1700" s="30"/>
      <c r="C1700" s="30"/>
      <c r="BW1700" s="17"/>
      <c r="BX1700" s="17"/>
      <c r="BY1700" s="17"/>
      <c r="BZ1700" s="17"/>
      <c r="CA1700" s="17"/>
      <c r="CB1700" s="17"/>
      <c r="CC1700" s="17"/>
      <c r="CD1700" s="17"/>
      <c r="CE1700" s="17"/>
    </row>
    <row r="1701" spans="1:83" x14ac:dyDescent="0.25">
      <c r="A1701" s="31"/>
      <c r="B1701" s="30"/>
      <c r="C1701" s="30"/>
      <c r="BW1701" s="17"/>
      <c r="BX1701" s="17"/>
      <c r="BY1701" s="17"/>
      <c r="BZ1701" s="17"/>
      <c r="CA1701" s="17"/>
      <c r="CB1701" s="17"/>
      <c r="CC1701" s="17"/>
      <c r="CD1701" s="17"/>
      <c r="CE1701" s="17"/>
    </row>
    <row r="1702" spans="1:83" x14ac:dyDescent="0.25">
      <c r="A1702" s="31"/>
      <c r="B1702" s="30"/>
      <c r="C1702" s="30"/>
      <c r="BW1702" s="17"/>
      <c r="BX1702" s="17"/>
      <c r="BY1702" s="17"/>
      <c r="BZ1702" s="17"/>
      <c r="CA1702" s="17"/>
      <c r="CB1702" s="17"/>
      <c r="CC1702" s="17"/>
      <c r="CD1702" s="17"/>
      <c r="CE1702" s="17"/>
    </row>
    <row r="1703" spans="1:83" x14ac:dyDescent="0.25">
      <c r="A1703" s="31"/>
      <c r="B1703" s="30"/>
      <c r="C1703" s="30"/>
      <c r="BW1703" s="17"/>
      <c r="BX1703" s="17"/>
      <c r="BY1703" s="17"/>
      <c r="BZ1703" s="17"/>
      <c r="CA1703" s="17"/>
      <c r="CB1703" s="17"/>
      <c r="CC1703" s="17"/>
      <c r="CD1703" s="17"/>
      <c r="CE1703" s="17"/>
    </row>
    <row r="1704" spans="1:83" x14ac:dyDescent="0.25">
      <c r="A1704" s="31"/>
      <c r="B1704" s="30"/>
      <c r="C1704" s="30"/>
      <c r="BW1704" s="17"/>
      <c r="BX1704" s="17"/>
      <c r="BY1704" s="17"/>
      <c r="BZ1704" s="17"/>
      <c r="CA1704" s="17"/>
      <c r="CB1704" s="17"/>
      <c r="CC1704" s="17"/>
      <c r="CD1704" s="17"/>
      <c r="CE1704" s="17"/>
    </row>
    <row r="1705" spans="1:83" x14ac:dyDescent="0.25">
      <c r="A1705" s="31"/>
      <c r="B1705" s="30"/>
      <c r="C1705" s="30"/>
      <c r="BW1705" s="17"/>
      <c r="BX1705" s="17"/>
      <c r="BY1705" s="17"/>
      <c r="BZ1705" s="17"/>
      <c r="CA1705" s="17"/>
      <c r="CB1705" s="17"/>
      <c r="CC1705" s="17"/>
      <c r="CD1705" s="17"/>
      <c r="CE1705" s="17"/>
    </row>
    <row r="1706" spans="1:83" x14ac:dyDescent="0.25">
      <c r="A1706" s="31"/>
      <c r="B1706" s="30"/>
      <c r="C1706" s="30"/>
      <c r="BW1706" s="17"/>
      <c r="BX1706" s="17"/>
      <c r="BY1706" s="17"/>
      <c r="BZ1706" s="17"/>
      <c r="CA1706" s="17"/>
      <c r="CB1706" s="17"/>
      <c r="CC1706" s="17"/>
      <c r="CD1706" s="17"/>
      <c r="CE1706" s="17"/>
    </row>
    <row r="1707" spans="1:83" x14ac:dyDescent="0.25">
      <c r="A1707" s="31"/>
      <c r="B1707" s="30"/>
      <c r="C1707" s="30"/>
      <c r="BW1707" s="17"/>
      <c r="BX1707" s="17"/>
      <c r="BY1707" s="17"/>
      <c r="BZ1707" s="17"/>
      <c r="CA1707" s="17"/>
      <c r="CB1707" s="17"/>
      <c r="CC1707" s="17"/>
      <c r="CD1707" s="17"/>
      <c r="CE1707" s="17"/>
    </row>
    <row r="1708" spans="1:83" x14ac:dyDescent="0.25">
      <c r="A1708" s="31"/>
      <c r="B1708" s="30"/>
      <c r="C1708" s="30"/>
      <c r="BW1708" s="17"/>
      <c r="BX1708" s="17"/>
      <c r="BY1708" s="17"/>
      <c r="BZ1708" s="17"/>
      <c r="CA1708" s="17"/>
      <c r="CB1708" s="17"/>
      <c r="CC1708" s="17"/>
      <c r="CD1708" s="17"/>
      <c r="CE1708" s="17"/>
    </row>
    <row r="1709" spans="1:83" x14ac:dyDescent="0.25">
      <c r="A1709" s="31"/>
      <c r="B1709" s="30"/>
      <c r="C1709" s="30"/>
      <c r="BW1709" s="17"/>
      <c r="BX1709" s="17"/>
      <c r="BY1709" s="17"/>
      <c r="BZ1709" s="17"/>
      <c r="CA1709" s="17"/>
      <c r="CB1709" s="17"/>
      <c r="CC1709" s="17"/>
      <c r="CD1709" s="17"/>
      <c r="CE1709" s="17"/>
    </row>
    <row r="1710" spans="1:83" x14ac:dyDescent="0.25">
      <c r="A1710" s="31"/>
      <c r="B1710" s="30"/>
      <c r="C1710" s="30"/>
      <c r="BW1710" s="17"/>
      <c r="BX1710" s="17"/>
      <c r="BY1710" s="17"/>
      <c r="BZ1710" s="17"/>
      <c r="CA1710" s="17"/>
      <c r="CB1710" s="17"/>
      <c r="CC1710" s="17"/>
      <c r="CD1710" s="17"/>
      <c r="CE1710" s="17"/>
    </row>
    <row r="1711" spans="1:83" x14ac:dyDescent="0.25">
      <c r="A1711" s="31"/>
      <c r="B1711" s="30"/>
      <c r="C1711" s="30"/>
      <c r="BW1711" s="17"/>
      <c r="BX1711" s="17"/>
      <c r="BY1711" s="17"/>
      <c r="BZ1711" s="17"/>
      <c r="CA1711" s="17"/>
      <c r="CB1711" s="17"/>
      <c r="CC1711" s="17"/>
      <c r="CD1711" s="17"/>
      <c r="CE1711" s="17"/>
    </row>
    <row r="1712" spans="1:83" x14ac:dyDescent="0.25">
      <c r="A1712" s="31"/>
      <c r="B1712" s="30"/>
      <c r="C1712" s="30"/>
      <c r="BW1712" s="17"/>
      <c r="BX1712" s="17"/>
      <c r="BY1712" s="17"/>
      <c r="BZ1712" s="17"/>
      <c r="CA1712" s="17"/>
      <c r="CB1712" s="17"/>
      <c r="CC1712" s="17"/>
      <c r="CD1712" s="17"/>
      <c r="CE1712" s="17"/>
    </row>
    <row r="1713" spans="1:83" x14ac:dyDescent="0.25">
      <c r="A1713" s="31"/>
      <c r="B1713" s="30"/>
      <c r="C1713" s="30"/>
      <c r="BW1713" s="17"/>
      <c r="BX1713" s="17"/>
      <c r="BY1713" s="17"/>
      <c r="BZ1713" s="17"/>
      <c r="CA1713" s="17"/>
      <c r="CB1713" s="17"/>
      <c r="CC1713" s="17"/>
      <c r="CD1713" s="17"/>
      <c r="CE1713" s="17"/>
    </row>
    <row r="1714" spans="1:83" x14ac:dyDescent="0.25">
      <c r="A1714" s="31"/>
      <c r="B1714" s="30"/>
      <c r="C1714" s="30"/>
      <c r="BW1714" s="17"/>
      <c r="BX1714" s="17"/>
      <c r="BY1714" s="17"/>
      <c r="BZ1714" s="17"/>
      <c r="CA1714" s="17"/>
      <c r="CB1714" s="17"/>
      <c r="CC1714" s="17"/>
      <c r="CD1714" s="17"/>
      <c r="CE1714" s="17"/>
    </row>
    <row r="1715" spans="1:83" x14ac:dyDescent="0.25">
      <c r="A1715" s="31"/>
      <c r="B1715" s="30"/>
      <c r="C1715" s="30"/>
      <c r="BW1715" s="17"/>
      <c r="BX1715" s="17"/>
      <c r="BY1715" s="17"/>
      <c r="BZ1715" s="17"/>
      <c r="CA1715" s="17"/>
      <c r="CB1715" s="17"/>
      <c r="CC1715" s="17"/>
      <c r="CD1715" s="17"/>
      <c r="CE1715" s="17"/>
    </row>
    <row r="1716" spans="1:83" x14ac:dyDescent="0.25">
      <c r="A1716" s="31"/>
      <c r="B1716" s="30"/>
      <c r="C1716" s="30"/>
      <c r="BW1716" s="17"/>
      <c r="BX1716" s="17"/>
      <c r="BY1716" s="17"/>
      <c r="BZ1716" s="17"/>
      <c r="CA1716" s="17"/>
      <c r="CB1716" s="17"/>
      <c r="CC1716" s="17"/>
      <c r="CD1716" s="17"/>
      <c r="CE1716" s="17"/>
    </row>
    <row r="1717" spans="1:83" x14ac:dyDescent="0.25">
      <c r="A1717" s="31"/>
      <c r="B1717" s="30"/>
      <c r="C1717" s="30"/>
      <c r="BW1717" s="17"/>
      <c r="BX1717" s="17"/>
      <c r="BY1717" s="17"/>
      <c r="BZ1717" s="17"/>
      <c r="CA1717" s="17"/>
      <c r="CB1717" s="17"/>
      <c r="CC1717" s="17"/>
      <c r="CD1717" s="17"/>
      <c r="CE1717" s="17"/>
    </row>
    <row r="1718" spans="1:83" x14ac:dyDescent="0.25">
      <c r="A1718" s="31"/>
      <c r="B1718" s="30"/>
      <c r="C1718" s="30"/>
      <c r="BW1718" s="17"/>
      <c r="BX1718" s="17"/>
      <c r="BY1718" s="17"/>
      <c r="BZ1718" s="17"/>
      <c r="CA1718" s="17"/>
      <c r="CB1718" s="17"/>
      <c r="CC1718" s="17"/>
      <c r="CD1718" s="17"/>
      <c r="CE1718" s="17"/>
    </row>
    <row r="1719" spans="1:83" x14ac:dyDescent="0.25">
      <c r="A1719" s="31"/>
      <c r="B1719" s="30"/>
      <c r="C1719" s="30"/>
      <c r="BW1719" s="17"/>
      <c r="BX1719" s="17"/>
      <c r="BY1719" s="17"/>
      <c r="BZ1719" s="17"/>
      <c r="CA1719" s="17"/>
      <c r="CB1719" s="17"/>
      <c r="CC1719" s="17"/>
      <c r="CD1719" s="17"/>
      <c r="CE1719" s="17"/>
    </row>
    <row r="1720" spans="1:83" x14ac:dyDescent="0.25">
      <c r="A1720" s="31"/>
      <c r="B1720" s="30"/>
      <c r="C1720" s="30"/>
      <c r="BW1720" s="17"/>
      <c r="BX1720" s="17"/>
      <c r="BY1720" s="17"/>
      <c r="BZ1720" s="17"/>
      <c r="CA1720" s="17"/>
      <c r="CB1720" s="17"/>
      <c r="CC1720" s="17"/>
      <c r="CD1720" s="17"/>
      <c r="CE1720" s="17"/>
    </row>
    <row r="1721" spans="1:83" x14ac:dyDescent="0.25">
      <c r="A1721" s="31"/>
      <c r="B1721" s="30"/>
      <c r="C1721" s="30"/>
      <c r="BW1721" s="17"/>
      <c r="BX1721" s="17"/>
      <c r="BY1721" s="17"/>
      <c r="BZ1721" s="17"/>
      <c r="CA1721" s="17"/>
      <c r="CB1721" s="17"/>
      <c r="CC1721" s="17"/>
      <c r="CD1721" s="17"/>
      <c r="CE1721" s="17"/>
    </row>
    <row r="1722" spans="1:83" x14ac:dyDescent="0.25">
      <c r="A1722" s="31"/>
      <c r="B1722" s="30"/>
      <c r="C1722" s="30"/>
      <c r="BW1722" s="17"/>
      <c r="BX1722" s="17"/>
      <c r="BY1722" s="17"/>
      <c r="BZ1722" s="17"/>
      <c r="CA1722" s="17"/>
      <c r="CB1722" s="17"/>
      <c r="CC1722" s="17"/>
      <c r="CD1722" s="17"/>
      <c r="CE1722" s="17"/>
    </row>
    <row r="1723" spans="1:83" x14ac:dyDescent="0.25">
      <c r="A1723" s="31"/>
      <c r="B1723" s="30"/>
      <c r="C1723" s="30"/>
      <c r="BW1723" s="17"/>
      <c r="BX1723" s="17"/>
      <c r="BY1723" s="17"/>
      <c r="BZ1723" s="17"/>
      <c r="CA1723" s="17"/>
      <c r="CB1723" s="17"/>
      <c r="CC1723" s="17"/>
      <c r="CD1723" s="17"/>
      <c r="CE1723" s="17"/>
    </row>
    <row r="1724" spans="1:83" x14ac:dyDescent="0.25">
      <c r="A1724" s="31"/>
      <c r="B1724" s="30"/>
      <c r="C1724" s="30"/>
      <c r="BW1724" s="17"/>
      <c r="BX1724" s="17"/>
      <c r="BY1724" s="17"/>
      <c r="BZ1724" s="17"/>
      <c r="CA1724" s="17"/>
      <c r="CB1724" s="17"/>
      <c r="CC1724" s="17"/>
      <c r="CD1724" s="17"/>
      <c r="CE1724" s="17"/>
    </row>
    <row r="1725" spans="1:83" x14ac:dyDescent="0.25">
      <c r="A1725" s="31"/>
      <c r="B1725" s="30"/>
      <c r="C1725" s="30"/>
      <c r="BW1725" s="17"/>
      <c r="BX1725" s="17"/>
      <c r="BY1725" s="17"/>
      <c r="BZ1725" s="17"/>
      <c r="CA1725" s="17"/>
      <c r="CB1725" s="17"/>
      <c r="CC1725" s="17"/>
      <c r="CD1725" s="17"/>
      <c r="CE1725" s="17"/>
    </row>
    <row r="1726" spans="1:83" x14ac:dyDescent="0.25">
      <c r="A1726" s="31"/>
      <c r="B1726" s="30"/>
      <c r="C1726" s="30"/>
      <c r="BW1726" s="17"/>
      <c r="BX1726" s="17"/>
      <c r="BY1726" s="17"/>
      <c r="BZ1726" s="17"/>
      <c r="CA1726" s="17"/>
      <c r="CB1726" s="17"/>
      <c r="CC1726" s="17"/>
      <c r="CD1726" s="17"/>
      <c r="CE1726" s="17"/>
    </row>
    <row r="1727" spans="1:83" x14ac:dyDescent="0.25">
      <c r="A1727" s="31"/>
      <c r="B1727" s="30"/>
      <c r="C1727" s="30"/>
      <c r="BW1727" s="17"/>
      <c r="BX1727" s="17"/>
      <c r="BY1727" s="17"/>
      <c r="BZ1727" s="17"/>
      <c r="CA1727" s="17"/>
      <c r="CB1727" s="17"/>
      <c r="CC1727" s="17"/>
      <c r="CD1727" s="17"/>
      <c r="CE1727" s="17"/>
    </row>
    <row r="1728" spans="1:83" x14ac:dyDescent="0.25">
      <c r="A1728" s="31"/>
      <c r="B1728" s="30"/>
      <c r="C1728" s="30"/>
      <c r="BW1728" s="17"/>
      <c r="BX1728" s="17"/>
      <c r="BY1728" s="17"/>
      <c r="BZ1728" s="17"/>
      <c r="CA1728" s="17"/>
      <c r="CB1728" s="17"/>
      <c r="CC1728" s="17"/>
      <c r="CD1728" s="17"/>
      <c r="CE1728" s="17"/>
    </row>
    <row r="1729" spans="1:83" x14ac:dyDescent="0.25">
      <c r="A1729" s="31"/>
      <c r="B1729" s="30"/>
      <c r="C1729" s="30"/>
      <c r="BW1729" s="17"/>
      <c r="BX1729" s="17"/>
      <c r="BY1729" s="17"/>
      <c r="BZ1729" s="17"/>
      <c r="CA1729" s="17"/>
      <c r="CB1729" s="17"/>
      <c r="CC1729" s="17"/>
      <c r="CD1729" s="17"/>
      <c r="CE1729" s="17"/>
    </row>
    <row r="1730" spans="1:83" x14ac:dyDescent="0.25">
      <c r="A1730" s="31"/>
      <c r="B1730" s="30"/>
      <c r="C1730" s="30"/>
      <c r="BW1730" s="17"/>
      <c r="BX1730" s="17"/>
      <c r="BY1730" s="17"/>
      <c r="BZ1730" s="17"/>
      <c r="CA1730" s="17"/>
      <c r="CB1730" s="17"/>
      <c r="CC1730" s="17"/>
      <c r="CD1730" s="17"/>
      <c r="CE1730" s="17"/>
    </row>
    <row r="1731" spans="1:83" x14ac:dyDescent="0.25">
      <c r="A1731" s="31"/>
      <c r="B1731" s="30"/>
      <c r="C1731" s="30"/>
      <c r="BW1731" s="17"/>
      <c r="BX1731" s="17"/>
      <c r="BY1731" s="17"/>
      <c r="BZ1731" s="17"/>
      <c r="CA1731" s="17"/>
      <c r="CB1731" s="17"/>
      <c r="CC1731" s="17"/>
      <c r="CD1731" s="17"/>
      <c r="CE1731" s="17"/>
    </row>
    <row r="1732" spans="1:83" x14ac:dyDescent="0.25">
      <c r="A1732" s="31"/>
      <c r="B1732" s="30"/>
      <c r="C1732" s="30"/>
      <c r="BW1732" s="17"/>
      <c r="BX1732" s="17"/>
      <c r="BY1732" s="17"/>
      <c r="BZ1732" s="17"/>
      <c r="CA1732" s="17"/>
      <c r="CB1732" s="17"/>
      <c r="CC1732" s="17"/>
      <c r="CD1732" s="17"/>
      <c r="CE1732" s="17"/>
    </row>
    <row r="1733" spans="1:83" x14ac:dyDescent="0.25">
      <c r="A1733" s="31"/>
      <c r="B1733" s="30"/>
      <c r="C1733" s="30"/>
      <c r="BW1733" s="17"/>
      <c r="BX1733" s="17"/>
      <c r="BY1733" s="17"/>
      <c r="BZ1733" s="17"/>
      <c r="CA1733" s="17"/>
      <c r="CB1733" s="17"/>
      <c r="CC1733" s="17"/>
      <c r="CD1733" s="17"/>
      <c r="CE1733" s="17"/>
    </row>
    <row r="1734" spans="1:83" x14ac:dyDescent="0.25">
      <c r="A1734" s="31"/>
      <c r="B1734" s="30"/>
      <c r="C1734" s="30"/>
      <c r="BW1734" s="17"/>
      <c r="BX1734" s="17"/>
      <c r="BY1734" s="17"/>
      <c r="BZ1734" s="17"/>
      <c r="CA1734" s="17"/>
      <c r="CB1734" s="17"/>
      <c r="CC1734" s="17"/>
      <c r="CD1734" s="17"/>
      <c r="CE1734" s="17"/>
    </row>
    <row r="1735" spans="1:83" x14ac:dyDescent="0.25">
      <c r="A1735" s="31"/>
      <c r="B1735" s="30"/>
      <c r="C1735" s="30"/>
      <c r="BW1735" s="17"/>
      <c r="BX1735" s="17"/>
      <c r="BY1735" s="17"/>
      <c r="BZ1735" s="17"/>
      <c r="CA1735" s="17"/>
      <c r="CB1735" s="17"/>
      <c r="CC1735" s="17"/>
      <c r="CD1735" s="17"/>
      <c r="CE1735" s="17"/>
    </row>
    <row r="1736" spans="1:83" x14ac:dyDescent="0.25">
      <c r="A1736" s="31"/>
      <c r="B1736" s="30"/>
      <c r="C1736" s="30"/>
      <c r="BW1736" s="17"/>
      <c r="BX1736" s="17"/>
      <c r="BY1736" s="17"/>
      <c r="BZ1736" s="17"/>
      <c r="CA1736" s="17"/>
      <c r="CB1736" s="17"/>
      <c r="CC1736" s="17"/>
      <c r="CD1736" s="17"/>
      <c r="CE1736" s="17"/>
    </row>
    <row r="1737" spans="1:83" x14ac:dyDescent="0.25">
      <c r="A1737" s="31"/>
      <c r="B1737" s="30"/>
      <c r="C1737" s="30"/>
      <c r="BW1737" s="17"/>
      <c r="BX1737" s="17"/>
      <c r="BY1737" s="17"/>
      <c r="BZ1737" s="17"/>
      <c r="CA1737" s="17"/>
      <c r="CB1737" s="17"/>
      <c r="CC1737" s="17"/>
      <c r="CD1737" s="17"/>
      <c r="CE1737" s="17"/>
    </row>
    <row r="1738" spans="1:83" x14ac:dyDescent="0.25">
      <c r="A1738" s="31"/>
      <c r="B1738" s="30"/>
      <c r="C1738" s="30"/>
      <c r="BW1738" s="17"/>
      <c r="BX1738" s="17"/>
      <c r="BY1738" s="17"/>
      <c r="BZ1738" s="17"/>
      <c r="CA1738" s="17"/>
      <c r="CB1738" s="17"/>
      <c r="CC1738" s="17"/>
      <c r="CD1738" s="17"/>
      <c r="CE1738" s="17"/>
    </row>
    <row r="1739" spans="1:83" x14ac:dyDescent="0.25">
      <c r="A1739" s="31"/>
      <c r="B1739" s="30"/>
      <c r="C1739" s="30"/>
      <c r="BW1739" s="17"/>
      <c r="BX1739" s="17"/>
      <c r="BY1739" s="17"/>
      <c r="BZ1739" s="17"/>
      <c r="CA1739" s="17"/>
      <c r="CB1739" s="17"/>
      <c r="CC1739" s="17"/>
      <c r="CD1739" s="17"/>
      <c r="CE1739" s="17"/>
    </row>
    <row r="1740" spans="1:83" x14ac:dyDescent="0.25">
      <c r="A1740" s="31"/>
      <c r="B1740" s="30"/>
      <c r="C1740" s="30"/>
      <c r="BW1740" s="17"/>
      <c r="BX1740" s="17"/>
      <c r="BY1740" s="17"/>
      <c r="BZ1740" s="17"/>
      <c r="CA1740" s="17"/>
      <c r="CB1740" s="17"/>
      <c r="CC1740" s="17"/>
      <c r="CD1740" s="17"/>
      <c r="CE1740" s="17"/>
    </row>
    <row r="1741" spans="1:83" x14ac:dyDescent="0.25">
      <c r="A1741" s="31"/>
      <c r="B1741" s="30"/>
      <c r="C1741" s="30"/>
      <c r="BW1741" s="17"/>
      <c r="BX1741" s="17"/>
      <c r="BY1741" s="17"/>
      <c r="BZ1741" s="17"/>
      <c r="CA1741" s="17"/>
      <c r="CB1741" s="17"/>
      <c r="CC1741" s="17"/>
      <c r="CD1741" s="17"/>
      <c r="CE1741" s="17"/>
    </row>
    <row r="1742" spans="1:83" x14ac:dyDescent="0.25">
      <c r="A1742" s="31"/>
      <c r="B1742" s="30"/>
      <c r="C1742" s="30"/>
      <c r="BW1742" s="17"/>
      <c r="BX1742" s="17"/>
      <c r="BY1742" s="17"/>
      <c r="BZ1742" s="17"/>
      <c r="CA1742" s="17"/>
      <c r="CB1742" s="17"/>
      <c r="CC1742" s="17"/>
      <c r="CD1742" s="17"/>
      <c r="CE1742" s="17"/>
    </row>
    <row r="1743" spans="1:83" x14ac:dyDescent="0.25">
      <c r="A1743" s="31"/>
      <c r="B1743" s="30"/>
      <c r="C1743" s="30"/>
      <c r="BW1743" s="17"/>
      <c r="BX1743" s="17"/>
      <c r="BY1743" s="17"/>
      <c r="BZ1743" s="17"/>
      <c r="CA1743" s="17"/>
      <c r="CB1743" s="17"/>
      <c r="CC1743" s="17"/>
      <c r="CD1743" s="17"/>
      <c r="CE1743" s="17"/>
    </row>
    <row r="1744" spans="1:83" x14ac:dyDescent="0.25">
      <c r="A1744" s="31"/>
      <c r="B1744" s="30"/>
      <c r="C1744" s="30"/>
      <c r="BW1744" s="17"/>
      <c r="BX1744" s="17"/>
      <c r="BY1744" s="17"/>
      <c r="BZ1744" s="17"/>
      <c r="CA1744" s="17"/>
      <c r="CB1744" s="17"/>
      <c r="CC1744" s="17"/>
      <c r="CD1744" s="17"/>
      <c r="CE1744" s="17"/>
    </row>
    <row r="1745" spans="1:83" x14ac:dyDescent="0.25">
      <c r="A1745" s="31"/>
      <c r="B1745" s="30"/>
      <c r="C1745" s="30"/>
      <c r="BW1745" s="17"/>
      <c r="BX1745" s="17"/>
      <c r="BY1745" s="17"/>
      <c r="BZ1745" s="17"/>
      <c r="CA1745" s="17"/>
      <c r="CB1745" s="17"/>
      <c r="CC1745" s="17"/>
      <c r="CD1745" s="17"/>
      <c r="CE1745" s="17"/>
    </row>
    <row r="1746" spans="1:83" x14ac:dyDescent="0.25">
      <c r="A1746" s="31"/>
      <c r="B1746" s="30"/>
      <c r="C1746" s="30"/>
      <c r="BW1746" s="17"/>
      <c r="BX1746" s="17"/>
      <c r="BY1746" s="17"/>
      <c r="BZ1746" s="17"/>
      <c r="CA1746" s="17"/>
      <c r="CB1746" s="17"/>
      <c r="CC1746" s="17"/>
      <c r="CD1746" s="17"/>
      <c r="CE1746" s="17"/>
    </row>
    <row r="1747" spans="1:83" x14ac:dyDescent="0.25">
      <c r="A1747" s="31"/>
      <c r="B1747" s="30"/>
      <c r="C1747" s="30"/>
      <c r="BW1747" s="17"/>
      <c r="BX1747" s="17"/>
      <c r="BY1747" s="17"/>
      <c r="BZ1747" s="17"/>
      <c r="CA1747" s="17"/>
      <c r="CB1747" s="17"/>
      <c r="CC1747" s="17"/>
      <c r="CD1747" s="17"/>
      <c r="CE1747" s="17"/>
    </row>
    <row r="1748" spans="1:83" x14ac:dyDescent="0.25">
      <c r="A1748" s="31"/>
      <c r="B1748" s="30"/>
      <c r="C1748" s="30"/>
      <c r="BW1748" s="17"/>
      <c r="BX1748" s="17"/>
      <c r="BY1748" s="17"/>
      <c r="BZ1748" s="17"/>
      <c r="CA1748" s="17"/>
      <c r="CB1748" s="17"/>
      <c r="CC1748" s="17"/>
      <c r="CD1748" s="17"/>
      <c r="CE1748" s="17"/>
    </row>
    <row r="1749" spans="1:83" x14ac:dyDescent="0.25">
      <c r="A1749" s="31"/>
      <c r="B1749" s="30"/>
      <c r="C1749" s="30"/>
      <c r="BW1749" s="17"/>
      <c r="BX1749" s="17"/>
      <c r="BY1749" s="17"/>
      <c r="BZ1749" s="17"/>
      <c r="CA1749" s="17"/>
      <c r="CB1749" s="17"/>
      <c r="CC1749" s="17"/>
      <c r="CD1749" s="17"/>
      <c r="CE1749" s="17"/>
    </row>
    <row r="1750" spans="1:83" x14ac:dyDescent="0.25">
      <c r="A1750" s="31"/>
      <c r="B1750" s="30"/>
      <c r="C1750" s="30"/>
      <c r="BW1750" s="17"/>
      <c r="BX1750" s="17"/>
      <c r="BY1750" s="17"/>
      <c r="BZ1750" s="17"/>
      <c r="CA1750" s="17"/>
      <c r="CB1750" s="17"/>
      <c r="CC1750" s="17"/>
      <c r="CD1750" s="17"/>
      <c r="CE1750" s="17"/>
    </row>
    <row r="1751" spans="1:83" x14ac:dyDescent="0.25">
      <c r="A1751" s="31"/>
      <c r="B1751" s="30"/>
      <c r="C1751" s="30"/>
      <c r="BW1751" s="17"/>
      <c r="BX1751" s="17"/>
      <c r="BY1751" s="17"/>
      <c r="BZ1751" s="17"/>
      <c r="CA1751" s="17"/>
      <c r="CB1751" s="17"/>
      <c r="CC1751" s="17"/>
      <c r="CD1751" s="17"/>
      <c r="CE1751" s="17"/>
    </row>
    <row r="1752" spans="1:83" x14ac:dyDescent="0.25">
      <c r="A1752" s="31"/>
      <c r="B1752" s="30"/>
      <c r="C1752" s="30"/>
      <c r="BW1752" s="17"/>
      <c r="BX1752" s="17"/>
      <c r="BY1752" s="17"/>
      <c r="BZ1752" s="17"/>
      <c r="CA1752" s="17"/>
      <c r="CB1752" s="17"/>
      <c r="CC1752" s="17"/>
      <c r="CD1752" s="17"/>
      <c r="CE1752" s="17"/>
    </row>
    <row r="1753" spans="1:83" x14ac:dyDescent="0.25">
      <c r="A1753" s="31"/>
      <c r="B1753" s="30"/>
      <c r="C1753" s="30"/>
      <c r="BW1753" s="17"/>
      <c r="BX1753" s="17"/>
      <c r="BY1753" s="17"/>
      <c r="BZ1753" s="17"/>
      <c r="CA1753" s="17"/>
      <c r="CB1753" s="17"/>
      <c r="CC1753" s="17"/>
      <c r="CD1753" s="17"/>
      <c r="CE1753" s="17"/>
    </row>
    <row r="1754" spans="1:83" x14ac:dyDescent="0.25">
      <c r="A1754" s="31"/>
      <c r="B1754" s="30"/>
      <c r="C1754" s="30"/>
      <c r="BW1754" s="17"/>
      <c r="BX1754" s="17"/>
      <c r="BY1754" s="17"/>
      <c r="BZ1754" s="17"/>
      <c r="CA1754" s="17"/>
      <c r="CB1754" s="17"/>
      <c r="CC1754" s="17"/>
      <c r="CD1754" s="17"/>
      <c r="CE1754" s="17"/>
    </row>
    <row r="1755" spans="1:83" x14ac:dyDescent="0.25">
      <c r="A1755" s="31"/>
      <c r="B1755" s="30"/>
      <c r="C1755" s="30"/>
      <c r="BW1755" s="17"/>
      <c r="BX1755" s="17"/>
      <c r="BY1755" s="17"/>
      <c r="BZ1755" s="17"/>
      <c r="CA1755" s="17"/>
      <c r="CB1755" s="17"/>
      <c r="CC1755" s="17"/>
      <c r="CD1755" s="17"/>
      <c r="CE1755" s="17"/>
    </row>
    <row r="1756" spans="1:83" x14ac:dyDescent="0.25">
      <c r="A1756" s="31"/>
      <c r="B1756" s="30"/>
      <c r="C1756" s="30"/>
      <c r="BW1756" s="17"/>
      <c r="BX1756" s="17"/>
      <c r="BY1756" s="17"/>
      <c r="BZ1756" s="17"/>
      <c r="CA1756" s="17"/>
      <c r="CB1756" s="17"/>
      <c r="CC1756" s="17"/>
      <c r="CD1756" s="17"/>
      <c r="CE1756" s="17"/>
    </row>
    <row r="1757" spans="1:83" x14ac:dyDescent="0.25">
      <c r="A1757" s="31"/>
      <c r="B1757" s="30"/>
      <c r="C1757" s="30"/>
      <c r="BW1757" s="17"/>
      <c r="BX1757" s="17"/>
      <c r="BY1757" s="17"/>
      <c r="BZ1757" s="17"/>
      <c r="CA1757" s="17"/>
      <c r="CB1757" s="17"/>
      <c r="CC1757" s="17"/>
      <c r="CD1757" s="17"/>
      <c r="CE1757" s="17"/>
    </row>
    <row r="1758" spans="1:83" x14ac:dyDescent="0.25">
      <c r="A1758" s="31"/>
      <c r="B1758" s="30"/>
      <c r="C1758" s="30"/>
      <c r="BW1758" s="17"/>
      <c r="BX1758" s="17"/>
      <c r="BY1758" s="17"/>
      <c r="BZ1758" s="17"/>
      <c r="CA1758" s="17"/>
      <c r="CB1758" s="17"/>
      <c r="CC1758" s="17"/>
      <c r="CD1758" s="17"/>
      <c r="CE1758" s="17"/>
    </row>
    <row r="1759" spans="1:83" x14ac:dyDescent="0.25">
      <c r="A1759" s="31"/>
      <c r="B1759" s="30"/>
      <c r="C1759" s="30"/>
      <c r="BW1759" s="17"/>
      <c r="BX1759" s="17"/>
      <c r="BY1759" s="17"/>
      <c r="BZ1759" s="17"/>
      <c r="CA1759" s="17"/>
      <c r="CB1759" s="17"/>
      <c r="CC1759" s="17"/>
      <c r="CD1759" s="17"/>
      <c r="CE1759" s="17"/>
    </row>
    <row r="1760" spans="1:83" x14ac:dyDescent="0.25">
      <c r="A1760" s="31"/>
      <c r="B1760" s="30"/>
      <c r="C1760" s="30"/>
      <c r="BW1760" s="17"/>
      <c r="BX1760" s="17"/>
      <c r="BY1760" s="17"/>
      <c r="BZ1760" s="17"/>
      <c r="CA1760" s="17"/>
      <c r="CB1760" s="17"/>
      <c r="CC1760" s="17"/>
      <c r="CD1760" s="17"/>
      <c r="CE1760" s="17"/>
    </row>
    <row r="1761" spans="1:83" x14ac:dyDescent="0.25">
      <c r="A1761" s="31"/>
      <c r="B1761" s="30"/>
      <c r="C1761" s="30"/>
      <c r="BW1761" s="17"/>
      <c r="BX1761" s="17"/>
      <c r="BY1761" s="17"/>
      <c r="BZ1761" s="17"/>
      <c r="CA1761" s="17"/>
      <c r="CB1761" s="17"/>
      <c r="CC1761" s="17"/>
      <c r="CD1761" s="17"/>
      <c r="CE1761" s="17"/>
    </row>
    <row r="1762" spans="1:83" x14ac:dyDescent="0.25">
      <c r="A1762" s="31"/>
      <c r="B1762" s="30"/>
      <c r="C1762" s="30"/>
      <c r="BW1762" s="17"/>
      <c r="BX1762" s="17"/>
      <c r="BY1762" s="17"/>
      <c r="BZ1762" s="17"/>
      <c r="CA1762" s="17"/>
      <c r="CB1762" s="17"/>
      <c r="CC1762" s="17"/>
      <c r="CD1762" s="17"/>
      <c r="CE1762" s="17"/>
    </row>
    <row r="1763" spans="1:83" x14ac:dyDescent="0.25">
      <c r="A1763" s="31"/>
      <c r="B1763" s="30"/>
      <c r="C1763" s="30"/>
      <c r="BW1763" s="17"/>
      <c r="BX1763" s="17"/>
      <c r="BY1763" s="17"/>
      <c r="BZ1763" s="17"/>
      <c r="CA1763" s="17"/>
      <c r="CB1763" s="17"/>
      <c r="CC1763" s="17"/>
      <c r="CD1763" s="17"/>
      <c r="CE1763" s="17"/>
    </row>
    <row r="1764" spans="1:83" x14ac:dyDescent="0.25">
      <c r="A1764" s="31"/>
      <c r="B1764" s="30"/>
      <c r="C1764" s="30"/>
      <c r="BW1764" s="17"/>
      <c r="BX1764" s="17"/>
      <c r="BY1764" s="17"/>
      <c r="BZ1764" s="17"/>
      <c r="CA1764" s="17"/>
      <c r="CB1764" s="17"/>
      <c r="CC1764" s="17"/>
      <c r="CD1764" s="17"/>
      <c r="CE1764" s="17"/>
    </row>
    <row r="1765" spans="1:83" x14ac:dyDescent="0.25">
      <c r="A1765" s="31"/>
      <c r="B1765" s="30"/>
      <c r="C1765" s="30"/>
      <c r="BW1765" s="17"/>
      <c r="BX1765" s="17"/>
      <c r="BY1765" s="17"/>
      <c r="BZ1765" s="17"/>
      <c r="CA1765" s="17"/>
      <c r="CB1765" s="17"/>
      <c r="CC1765" s="17"/>
      <c r="CD1765" s="17"/>
      <c r="CE1765" s="17"/>
    </row>
    <row r="1766" spans="1:83" x14ac:dyDescent="0.25">
      <c r="A1766" s="31"/>
      <c r="B1766" s="30"/>
      <c r="C1766" s="30"/>
      <c r="BW1766" s="17"/>
      <c r="BX1766" s="17"/>
      <c r="BY1766" s="17"/>
      <c r="BZ1766" s="17"/>
      <c r="CA1766" s="17"/>
      <c r="CB1766" s="17"/>
      <c r="CC1766" s="17"/>
      <c r="CD1766" s="17"/>
      <c r="CE1766" s="17"/>
    </row>
    <row r="1767" spans="1:83" x14ac:dyDescent="0.25">
      <c r="A1767" s="31"/>
      <c r="B1767" s="30"/>
      <c r="C1767" s="30"/>
      <c r="BW1767" s="17"/>
      <c r="BX1767" s="17"/>
      <c r="BY1767" s="17"/>
      <c r="BZ1767" s="17"/>
      <c r="CA1767" s="17"/>
      <c r="CB1767" s="17"/>
      <c r="CC1767" s="17"/>
      <c r="CD1767" s="17"/>
      <c r="CE1767" s="17"/>
    </row>
    <row r="1768" spans="1:83" x14ac:dyDescent="0.25">
      <c r="A1768" s="31"/>
      <c r="B1768" s="30"/>
      <c r="C1768" s="30"/>
      <c r="BW1768" s="17"/>
      <c r="BX1768" s="17"/>
      <c r="BY1768" s="17"/>
      <c r="BZ1768" s="17"/>
      <c r="CA1768" s="17"/>
      <c r="CB1768" s="17"/>
      <c r="CC1768" s="17"/>
      <c r="CD1768" s="17"/>
      <c r="CE1768" s="17"/>
    </row>
    <row r="1769" spans="1:83" x14ac:dyDescent="0.25">
      <c r="A1769" s="31"/>
      <c r="B1769" s="30"/>
      <c r="C1769" s="30"/>
      <c r="BW1769" s="17"/>
      <c r="BX1769" s="17"/>
      <c r="BY1769" s="17"/>
      <c r="BZ1769" s="17"/>
      <c r="CA1769" s="17"/>
      <c r="CB1769" s="17"/>
      <c r="CC1769" s="17"/>
      <c r="CD1769" s="17"/>
      <c r="CE1769" s="17"/>
    </row>
    <row r="1770" spans="1:83" x14ac:dyDescent="0.25">
      <c r="A1770" s="31"/>
      <c r="B1770" s="30"/>
      <c r="C1770" s="30"/>
      <c r="BW1770" s="17"/>
      <c r="BX1770" s="17"/>
      <c r="BY1770" s="17"/>
      <c r="BZ1770" s="17"/>
      <c r="CA1770" s="17"/>
      <c r="CB1770" s="17"/>
      <c r="CC1770" s="17"/>
      <c r="CD1770" s="17"/>
      <c r="CE1770" s="17"/>
    </row>
    <row r="1771" spans="1:83" x14ac:dyDescent="0.25">
      <c r="A1771" s="31"/>
      <c r="B1771" s="30"/>
      <c r="C1771" s="30"/>
      <c r="BW1771" s="17"/>
      <c r="BX1771" s="17"/>
      <c r="BY1771" s="17"/>
      <c r="BZ1771" s="17"/>
      <c r="CA1771" s="17"/>
      <c r="CB1771" s="17"/>
      <c r="CC1771" s="17"/>
      <c r="CD1771" s="17"/>
      <c r="CE1771" s="17"/>
    </row>
    <row r="1772" spans="1:83" x14ac:dyDescent="0.25">
      <c r="A1772" s="31"/>
      <c r="B1772" s="30"/>
      <c r="C1772" s="30"/>
      <c r="BW1772" s="17"/>
      <c r="BX1772" s="17"/>
      <c r="BY1772" s="17"/>
      <c r="BZ1772" s="17"/>
      <c r="CA1772" s="17"/>
      <c r="CB1772" s="17"/>
      <c r="CC1772" s="17"/>
      <c r="CD1772" s="17"/>
      <c r="CE1772" s="17"/>
    </row>
    <row r="1773" spans="1:83" x14ac:dyDescent="0.25">
      <c r="A1773" s="31"/>
      <c r="B1773" s="30"/>
      <c r="C1773" s="30"/>
      <c r="BW1773" s="17"/>
      <c r="BX1773" s="17"/>
      <c r="BY1773" s="17"/>
      <c r="BZ1773" s="17"/>
      <c r="CA1773" s="17"/>
      <c r="CB1773" s="17"/>
      <c r="CC1773" s="17"/>
      <c r="CD1773" s="17"/>
      <c r="CE1773" s="17"/>
    </row>
    <row r="1774" spans="1:83" x14ac:dyDescent="0.25">
      <c r="A1774" s="31"/>
      <c r="B1774" s="30"/>
      <c r="C1774" s="30"/>
      <c r="BW1774" s="17"/>
      <c r="BX1774" s="17"/>
      <c r="BY1774" s="17"/>
      <c r="BZ1774" s="17"/>
      <c r="CA1774" s="17"/>
      <c r="CB1774" s="17"/>
      <c r="CC1774" s="17"/>
      <c r="CD1774" s="17"/>
      <c r="CE1774" s="17"/>
    </row>
    <row r="1775" spans="1:83" x14ac:dyDescent="0.25">
      <c r="A1775" s="31"/>
      <c r="B1775" s="30"/>
      <c r="C1775" s="30"/>
      <c r="BW1775" s="17"/>
      <c r="BX1775" s="17"/>
      <c r="BY1775" s="17"/>
      <c r="BZ1775" s="17"/>
      <c r="CA1775" s="17"/>
      <c r="CB1775" s="17"/>
      <c r="CC1775" s="17"/>
      <c r="CD1775" s="17"/>
      <c r="CE1775" s="17"/>
    </row>
    <row r="1776" spans="1:83" x14ac:dyDescent="0.25">
      <c r="A1776" s="31"/>
      <c r="B1776" s="30"/>
      <c r="C1776" s="30"/>
      <c r="BW1776" s="17"/>
      <c r="BX1776" s="17"/>
      <c r="BY1776" s="17"/>
      <c r="BZ1776" s="17"/>
      <c r="CA1776" s="17"/>
      <c r="CB1776" s="17"/>
      <c r="CC1776" s="17"/>
      <c r="CD1776" s="17"/>
      <c r="CE1776" s="17"/>
    </row>
    <row r="1777" spans="1:83" x14ac:dyDescent="0.25">
      <c r="A1777" s="31"/>
      <c r="B1777" s="30"/>
      <c r="C1777" s="30"/>
      <c r="BW1777" s="17"/>
      <c r="BX1777" s="17"/>
      <c r="BY1777" s="17"/>
      <c r="BZ1777" s="17"/>
      <c r="CA1777" s="17"/>
      <c r="CB1777" s="17"/>
      <c r="CC1777" s="17"/>
      <c r="CD1777" s="17"/>
      <c r="CE1777" s="17"/>
    </row>
    <row r="1778" spans="1:83" x14ac:dyDescent="0.25">
      <c r="A1778" s="31"/>
      <c r="B1778" s="30"/>
      <c r="C1778" s="30"/>
      <c r="BW1778" s="17"/>
      <c r="BX1778" s="17"/>
      <c r="BY1778" s="17"/>
      <c r="BZ1778" s="17"/>
      <c r="CA1778" s="17"/>
      <c r="CB1778" s="17"/>
      <c r="CC1778" s="17"/>
      <c r="CD1778" s="17"/>
      <c r="CE1778" s="17"/>
    </row>
    <row r="1779" spans="1:83" x14ac:dyDescent="0.25">
      <c r="A1779" s="31"/>
      <c r="B1779" s="30"/>
      <c r="C1779" s="30"/>
      <c r="BW1779" s="17"/>
      <c r="BX1779" s="17"/>
      <c r="BY1779" s="17"/>
      <c r="BZ1779" s="17"/>
      <c r="CA1779" s="17"/>
      <c r="CB1779" s="17"/>
      <c r="CC1779" s="17"/>
      <c r="CD1779" s="17"/>
      <c r="CE1779" s="17"/>
    </row>
    <row r="1780" spans="1:83" x14ac:dyDescent="0.25">
      <c r="A1780" s="31"/>
      <c r="B1780" s="30"/>
      <c r="C1780" s="30"/>
      <c r="BW1780" s="17"/>
      <c r="BX1780" s="17"/>
      <c r="BY1780" s="17"/>
      <c r="BZ1780" s="17"/>
      <c r="CA1780" s="17"/>
      <c r="CB1780" s="17"/>
      <c r="CC1780" s="17"/>
      <c r="CD1780" s="17"/>
      <c r="CE1780" s="17"/>
    </row>
    <row r="1781" spans="1:83" x14ac:dyDescent="0.25">
      <c r="A1781" s="31"/>
      <c r="B1781" s="30"/>
      <c r="C1781" s="30"/>
      <c r="BW1781" s="17"/>
      <c r="BX1781" s="17"/>
      <c r="BY1781" s="17"/>
      <c r="BZ1781" s="17"/>
      <c r="CA1781" s="17"/>
      <c r="CB1781" s="17"/>
      <c r="CC1781" s="17"/>
      <c r="CD1781" s="17"/>
      <c r="CE1781" s="17"/>
    </row>
    <row r="1782" spans="1:83" x14ac:dyDescent="0.25">
      <c r="A1782" s="31"/>
      <c r="B1782" s="30"/>
      <c r="C1782" s="30"/>
      <c r="BW1782" s="17"/>
      <c r="BX1782" s="17"/>
      <c r="BY1782" s="17"/>
      <c r="BZ1782" s="17"/>
      <c r="CA1782" s="17"/>
      <c r="CB1782" s="17"/>
      <c r="CC1782" s="17"/>
      <c r="CD1782" s="17"/>
      <c r="CE1782" s="17"/>
    </row>
    <row r="1783" spans="1:83" x14ac:dyDescent="0.25">
      <c r="A1783" s="31"/>
      <c r="B1783" s="30"/>
      <c r="C1783" s="30"/>
      <c r="BW1783" s="17"/>
      <c r="BX1783" s="17"/>
      <c r="BY1783" s="17"/>
      <c r="BZ1783" s="17"/>
      <c r="CA1783" s="17"/>
      <c r="CB1783" s="17"/>
      <c r="CC1783" s="17"/>
      <c r="CD1783" s="17"/>
      <c r="CE1783" s="17"/>
    </row>
    <row r="1784" spans="1:83" x14ac:dyDescent="0.25">
      <c r="A1784" s="31"/>
      <c r="B1784" s="30"/>
      <c r="C1784" s="30"/>
      <c r="BW1784" s="17"/>
      <c r="BX1784" s="17"/>
      <c r="BY1784" s="17"/>
      <c r="BZ1784" s="17"/>
      <c r="CA1784" s="17"/>
      <c r="CB1784" s="17"/>
      <c r="CC1784" s="17"/>
      <c r="CD1784" s="17"/>
      <c r="CE1784" s="17"/>
    </row>
    <row r="1785" spans="1:83" x14ac:dyDescent="0.25">
      <c r="A1785" s="31"/>
      <c r="B1785" s="30"/>
      <c r="C1785" s="30"/>
      <c r="BW1785" s="17"/>
      <c r="BX1785" s="17"/>
      <c r="BY1785" s="17"/>
      <c r="BZ1785" s="17"/>
      <c r="CA1785" s="17"/>
      <c r="CB1785" s="17"/>
      <c r="CC1785" s="17"/>
      <c r="CD1785" s="17"/>
      <c r="CE1785" s="17"/>
    </row>
    <row r="1786" spans="1:83" x14ac:dyDescent="0.25">
      <c r="A1786" s="31"/>
      <c r="B1786" s="30"/>
      <c r="C1786" s="30"/>
      <c r="BW1786" s="17"/>
      <c r="BX1786" s="17"/>
      <c r="BY1786" s="17"/>
      <c r="BZ1786" s="17"/>
      <c r="CA1786" s="17"/>
      <c r="CB1786" s="17"/>
      <c r="CC1786" s="17"/>
      <c r="CD1786" s="17"/>
      <c r="CE1786" s="17"/>
    </row>
    <row r="1787" spans="1:83" x14ac:dyDescent="0.25">
      <c r="A1787" s="31"/>
      <c r="B1787" s="30"/>
      <c r="C1787" s="30"/>
      <c r="BW1787" s="17"/>
      <c r="BX1787" s="17"/>
      <c r="BY1787" s="17"/>
      <c r="BZ1787" s="17"/>
      <c r="CA1787" s="17"/>
      <c r="CB1787" s="17"/>
      <c r="CC1787" s="17"/>
      <c r="CD1787" s="17"/>
      <c r="CE1787" s="17"/>
    </row>
    <row r="1788" spans="1:83" x14ac:dyDescent="0.25">
      <c r="A1788" s="31"/>
      <c r="B1788" s="30"/>
      <c r="C1788" s="30"/>
      <c r="BW1788" s="17"/>
      <c r="BX1788" s="17"/>
      <c r="BY1788" s="17"/>
      <c r="BZ1788" s="17"/>
      <c r="CA1788" s="17"/>
      <c r="CB1788" s="17"/>
      <c r="CC1788" s="17"/>
      <c r="CD1788" s="17"/>
      <c r="CE1788" s="17"/>
    </row>
    <row r="1789" spans="1:83" x14ac:dyDescent="0.25">
      <c r="A1789" s="31"/>
      <c r="B1789" s="30"/>
      <c r="C1789" s="30"/>
      <c r="BW1789" s="17"/>
      <c r="BX1789" s="17"/>
      <c r="BY1789" s="17"/>
      <c r="BZ1789" s="17"/>
      <c r="CA1789" s="17"/>
      <c r="CB1789" s="17"/>
      <c r="CC1789" s="17"/>
      <c r="CD1789" s="17"/>
      <c r="CE1789" s="17"/>
    </row>
    <row r="1790" spans="1:83" x14ac:dyDescent="0.25">
      <c r="A1790" s="31"/>
      <c r="B1790" s="30"/>
      <c r="C1790" s="30"/>
      <c r="BW1790" s="17"/>
      <c r="BX1790" s="17"/>
      <c r="BY1790" s="17"/>
      <c r="BZ1790" s="17"/>
      <c r="CA1790" s="17"/>
      <c r="CB1790" s="17"/>
      <c r="CC1790" s="17"/>
      <c r="CD1790" s="17"/>
      <c r="CE1790" s="17"/>
    </row>
    <row r="1791" spans="1:83" x14ac:dyDescent="0.25">
      <c r="A1791" s="31"/>
      <c r="B1791" s="30"/>
      <c r="C1791" s="30"/>
      <c r="BW1791" s="17"/>
      <c r="BX1791" s="17"/>
      <c r="BY1791" s="17"/>
      <c r="BZ1791" s="17"/>
      <c r="CA1791" s="17"/>
      <c r="CB1791" s="17"/>
      <c r="CC1791" s="17"/>
      <c r="CD1791" s="17"/>
      <c r="CE1791" s="17"/>
    </row>
    <row r="1792" spans="1:83" x14ac:dyDescent="0.25">
      <c r="A1792" s="31"/>
      <c r="B1792" s="30"/>
      <c r="C1792" s="30"/>
      <c r="BW1792" s="17"/>
      <c r="BX1792" s="17"/>
      <c r="BY1792" s="17"/>
      <c r="BZ1792" s="17"/>
      <c r="CA1792" s="17"/>
      <c r="CB1792" s="17"/>
      <c r="CC1792" s="17"/>
      <c r="CD1792" s="17"/>
      <c r="CE1792" s="17"/>
    </row>
    <row r="1793" spans="1:83" x14ac:dyDescent="0.25">
      <c r="A1793" s="31"/>
      <c r="B1793" s="30"/>
      <c r="C1793" s="30"/>
      <c r="BW1793" s="17"/>
      <c r="BX1793" s="17"/>
      <c r="BY1793" s="17"/>
      <c r="BZ1793" s="17"/>
      <c r="CA1793" s="17"/>
      <c r="CB1793" s="17"/>
      <c r="CC1793" s="17"/>
      <c r="CD1793" s="17"/>
      <c r="CE1793" s="17"/>
    </row>
    <row r="1794" spans="1:83" x14ac:dyDescent="0.25">
      <c r="A1794" s="31"/>
      <c r="B1794" s="30"/>
      <c r="C1794" s="30"/>
      <c r="BW1794" s="17"/>
      <c r="BX1794" s="17"/>
      <c r="BY1794" s="17"/>
      <c r="BZ1794" s="17"/>
      <c r="CA1794" s="17"/>
      <c r="CB1794" s="17"/>
      <c r="CC1794" s="17"/>
      <c r="CD1794" s="17"/>
      <c r="CE1794" s="17"/>
    </row>
    <row r="1795" spans="1:83" x14ac:dyDescent="0.25">
      <c r="A1795" s="31"/>
      <c r="B1795" s="30"/>
      <c r="C1795" s="30"/>
      <c r="BW1795" s="17"/>
      <c r="BX1795" s="17"/>
      <c r="BY1795" s="17"/>
      <c r="BZ1795" s="17"/>
      <c r="CA1795" s="17"/>
      <c r="CB1795" s="17"/>
      <c r="CC1795" s="17"/>
      <c r="CD1795" s="17"/>
      <c r="CE1795" s="17"/>
    </row>
    <row r="1796" spans="1:83" x14ac:dyDescent="0.25">
      <c r="A1796" s="31"/>
      <c r="B1796" s="30"/>
      <c r="C1796" s="30"/>
      <c r="BW1796" s="17"/>
      <c r="BX1796" s="17"/>
      <c r="BY1796" s="17"/>
      <c r="BZ1796" s="17"/>
      <c r="CA1796" s="17"/>
      <c r="CB1796" s="17"/>
      <c r="CC1796" s="17"/>
      <c r="CD1796" s="17"/>
      <c r="CE1796" s="17"/>
    </row>
    <row r="1797" spans="1:83" x14ac:dyDescent="0.25">
      <c r="A1797" s="31"/>
      <c r="B1797" s="30"/>
      <c r="C1797" s="30"/>
      <c r="BW1797" s="17"/>
      <c r="BX1797" s="17"/>
      <c r="BY1797" s="17"/>
      <c r="BZ1797" s="17"/>
      <c r="CA1797" s="17"/>
      <c r="CB1797" s="17"/>
      <c r="CC1797" s="17"/>
      <c r="CD1797" s="17"/>
      <c r="CE1797" s="17"/>
    </row>
    <row r="1798" spans="1:83" x14ac:dyDescent="0.25">
      <c r="A1798" s="31"/>
      <c r="B1798" s="30"/>
      <c r="C1798" s="30"/>
      <c r="BW1798" s="17"/>
      <c r="BX1798" s="17"/>
      <c r="BY1798" s="17"/>
      <c r="BZ1798" s="17"/>
      <c r="CA1798" s="17"/>
      <c r="CB1798" s="17"/>
      <c r="CC1798" s="17"/>
      <c r="CD1798" s="17"/>
      <c r="CE1798" s="17"/>
    </row>
    <row r="1799" spans="1:83" x14ac:dyDescent="0.25">
      <c r="A1799" s="31"/>
      <c r="B1799" s="30"/>
      <c r="C1799" s="30"/>
      <c r="BW1799" s="17"/>
      <c r="BX1799" s="17"/>
      <c r="BY1799" s="17"/>
      <c r="BZ1799" s="17"/>
      <c r="CA1799" s="17"/>
      <c r="CB1799" s="17"/>
      <c r="CC1799" s="17"/>
      <c r="CD1799" s="17"/>
      <c r="CE1799" s="17"/>
    </row>
    <row r="1800" spans="1:83" x14ac:dyDescent="0.25">
      <c r="A1800" s="31"/>
      <c r="B1800" s="30"/>
      <c r="C1800" s="30"/>
      <c r="BW1800" s="17"/>
      <c r="BX1800" s="17"/>
      <c r="BY1800" s="17"/>
      <c r="BZ1800" s="17"/>
      <c r="CA1800" s="17"/>
      <c r="CB1800" s="17"/>
      <c r="CC1800" s="17"/>
      <c r="CD1800" s="17"/>
      <c r="CE1800" s="17"/>
    </row>
    <row r="1801" spans="1:83" x14ac:dyDescent="0.25">
      <c r="A1801" s="31"/>
      <c r="B1801" s="30"/>
      <c r="C1801" s="30"/>
      <c r="BW1801" s="17"/>
      <c r="BX1801" s="17"/>
      <c r="BY1801" s="17"/>
      <c r="BZ1801" s="17"/>
      <c r="CA1801" s="17"/>
      <c r="CB1801" s="17"/>
      <c r="CC1801" s="17"/>
      <c r="CD1801" s="17"/>
      <c r="CE1801" s="17"/>
    </row>
    <row r="1802" spans="1:83" x14ac:dyDescent="0.25">
      <c r="A1802" s="31"/>
      <c r="B1802" s="30"/>
      <c r="C1802" s="30"/>
      <c r="BW1802" s="17"/>
      <c r="BX1802" s="17"/>
      <c r="BY1802" s="17"/>
      <c r="BZ1802" s="17"/>
      <c r="CA1802" s="17"/>
      <c r="CB1802" s="17"/>
      <c r="CC1802" s="17"/>
      <c r="CD1802" s="17"/>
      <c r="CE1802" s="17"/>
    </row>
    <row r="1803" spans="1:83" x14ac:dyDescent="0.25">
      <c r="A1803" s="31"/>
      <c r="B1803" s="30"/>
      <c r="C1803" s="30"/>
      <c r="BW1803" s="17"/>
      <c r="BX1803" s="17"/>
      <c r="BY1803" s="17"/>
      <c r="BZ1803" s="17"/>
      <c r="CA1803" s="17"/>
      <c r="CB1803" s="17"/>
      <c r="CC1803" s="17"/>
      <c r="CD1803" s="17"/>
      <c r="CE1803" s="17"/>
    </row>
    <row r="1804" spans="1:83" x14ac:dyDescent="0.25">
      <c r="A1804" s="31"/>
      <c r="B1804" s="30"/>
      <c r="C1804" s="30"/>
      <c r="BW1804" s="17"/>
      <c r="BX1804" s="17"/>
      <c r="BY1804" s="17"/>
      <c r="BZ1804" s="17"/>
      <c r="CA1804" s="17"/>
      <c r="CB1804" s="17"/>
      <c r="CC1804" s="17"/>
      <c r="CD1804" s="17"/>
      <c r="CE1804" s="17"/>
    </row>
    <row r="1805" spans="1:83" x14ac:dyDescent="0.25">
      <c r="A1805" s="31"/>
      <c r="B1805" s="30"/>
      <c r="C1805" s="30"/>
      <c r="BW1805" s="17"/>
      <c r="BX1805" s="17"/>
      <c r="BY1805" s="17"/>
      <c r="BZ1805" s="17"/>
      <c r="CA1805" s="17"/>
      <c r="CB1805" s="17"/>
      <c r="CC1805" s="17"/>
      <c r="CD1805" s="17"/>
      <c r="CE1805" s="17"/>
    </row>
    <row r="1806" spans="1:83" x14ac:dyDescent="0.25">
      <c r="A1806" s="31"/>
      <c r="B1806" s="30"/>
      <c r="C1806" s="30"/>
      <c r="BW1806" s="17"/>
      <c r="BX1806" s="17"/>
      <c r="BY1806" s="17"/>
      <c r="BZ1806" s="17"/>
      <c r="CA1806" s="17"/>
      <c r="CB1806" s="17"/>
      <c r="CC1806" s="17"/>
      <c r="CD1806" s="17"/>
      <c r="CE1806" s="17"/>
    </row>
    <row r="1807" spans="1:83" x14ac:dyDescent="0.25">
      <c r="A1807" s="31"/>
      <c r="B1807" s="30"/>
      <c r="C1807" s="30"/>
      <c r="BW1807" s="17"/>
      <c r="BX1807" s="17"/>
      <c r="BY1807" s="17"/>
      <c r="BZ1807" s="17"/>
      <c r="CA1807" s="17"/>
      <c r="CB1807" s="17"/>
      <c r="CC1807" s="17"/>
      <c r="CD1807" s="17"/>
      <c r="CE1807" s="17"/>
    </row>
    <row r="1808" spans="1:83" x14ac:dyDescent="0.25">
      <c r="A1808" s="31"/>
      <c r="B1808" s="30"/>
      <c r="C1808" s="30"/>
      <c r="BW1808" s="17"/>
      <c r="BX1808" s="17"/>
      <c r="BY1808" s="17"/>
      <c r="BZ1808" s="17"/>
      <c r="CA1808" s="17"/>
      <c r="CB1808" s="17"/>
      <c r="CC1808" s="17"/>
      <c r="CD1808" s="17"/>
      <c r="CE1808" s="17"/>
    </row>
    <row r="1809" spans="1:83" x14ac:dyDescent="0.25">
      <c r="A1809" s="31"/>
      <c r="B1809" s="30"/>
      <c r="C1809" s="30"/>
      <c r="BW1809" s="17"/>
      <c r="BX1809" s="17"/>
      <c r="BY1809" s="17"/>
      <c r="BZ1809" s="17"/>
      <c r="CA1809" s="17"/>
      <c r="CB1809" s="17"/>
      <c r="CC1809" s="17"/>
      <c r="CD1809" s="17"/>
      <c r="CE1809" s="17"/>
    </row>
    <row r="1810" spans="1:83" x14ac:dyDescent="0.25">
      <c r="A1810" s="31"/>
      <c r="B1810" s="30"/>
      <c r="C1810" s="30"/>
      <c r="BW1810" s="17"/>
      <c r="BX1810" s="17"/>
      <c r="BY1810" s="17"/>
      <c r="BZ1810" s="17"/>
      <c r="CA1810" s="17"/>
      <c r="CB1810" s="17"/>
      <c r="CC1810" s="17"/>
      <c r="CD1810" s="17"/>
      <c r="CE1810" s="17"/>
    </row>
    <row r="1811" spans="1:83" x14ac:dyDescent="0.25">
      <c r="A1811" s="31"/>
      <c r="B1811" s="30"/>
      <c r="C1811" s="30"/>
      <c r="BW1811" s="17"/>
      <c r="BX1811" s="17"/>
      <c r="BY1811" s="17"/>
      <c r="BZ1811" s="17"/>
      <c r="CA1811" s="17"/>
      <c r="CB1811" s="17"/>
      <c r="CC1811" s="17"/>
      <c r="CD1811" s="17"/>
      <c r="CE1811" s="17"/>
    </row>
    <row r="1812" spans="1:83" x14ac:dyDescent="0.25">
      <c r="A1812" s="31"/>
      <c r="B1812" s="30"/>
      <c r="C1812" s="30"/>
      <c r="BW1812" s="17"/>
      <c r="BX1812" s="17"/>
      <c r="BY1812" s="17"/>
      <c r="BZ1812" s="17"/>
      <c r="CA1812" s="17"/>
      <c r="CB1812" s="17"/>
      <c r="CC1812" s="17"/>
      <c r="CD1812" s="17"/>
      <c r="CE1812" s="17"/>
    </row>
    <row r="1813" spans="1:83" x14ac:dyDescent="0.25">
      <c r="A1813" s="31"/>
      <c r="B1813" s="30"/>
      <c r="C1813" s="30"/>
      <c r="BW1813" s="17"/>
      <c r="BX1813" s="17"/>
      <c r="BY1813" s="17"/>
      <c r="BZ1813" s="17"/>
      <c r="CA1813" s="17"/>
      <c r="CB1813" s="17"/>
      <c r="CC1813" s="17"/>
      <c r="CD1813" s="17"/>
      <c r="CE1813" s="17"/>
    </row>
    <row r="1814" spans="1:83" x14ac:dyDescent="0.25">
      <c r="A1814" s="31"/>
      <c r="B1814" s="30"/>
      <c r="C1814" s="30"/>
      <c r="BW1814" s="17"/>
      <c r="BX1814" s="17"/>
      <c r="BY1814" s="17"/>
      <c r="BZ1814" s="17"/>
      <c r="CA1814" s="17"/>
      <c r="CB1814" s="17"/>
      <c r="CC1814" s="17"/>
      <c r="CD1814" s="17"/>
      <c r="CE1814" s="17"/>
    </row>
    <row r="1815" spans="1:83" x14ac:dyDescent="0.25">
      <c r="A1815" s="31"/>
      <c r="B1815" s="30"/>
      <c r="C1815" s="30"/>
      <c r="BW1815" s="17"/>
      <c r="BX1815" s="17"/>
      <c r="BY1815" s="17"/>
      <c r="BZ1815" s="17"/>
      <c r="CA1815" s="17"/>
      <c r="CB1815" s="17"/>
      <c r="CC1815" s="17"/>
      <c r="CD1815" s="17"/>
      <c r="CE1815" s="17"/>
    </row>
    <row r="1816" spans="1:83" x14ac:dyDescent="0.25">
      <c r="A1816" s="31"/>
      <c r="B1816" s="30"/>
      <c r="C1816" s="30"/>
      <c r="BW1816" s="17"/>
      <c r="BX1816" s="17"/>
      <c r="BY1816" s="17"/>
      <c r="BZ1816" s="17"/>
      <c r="CA1816" s="17"/>
      <c r="CB1816" s="17"/>
      <c r="CC1816" s="17"/>
      <c r="CD1816" s="17"/>
      <c r="CE1816" s="17"/>
    </row>
    <row r="1817" spans="1:83" x14ac:dyDescent="0.25">
      <c r="A1817" s="31"/>
      <c r="B1817" s="30"/>
      <c r="C1817" s="30"/>
      <c r="BW1817" s="17"/>
      <c r="BX1817" s="17"/>
      <c r="BY1817" s="17"/>
      <c r="BZ1817" s="17"/>
      <c r="CA1817" s="17"/>
      <c r="CB1817" s="17"/>
      <c r="CC1817" s="17"/>
      <c r="CD1817" s="17"/>
      <c r="CE1817" s="17"/>
    </row>
    <row r="1818" spans="1:83" x14ac:dyDescent="0.25">
      <c r="A1818" s="31"/>
      <c r="B1818" s="30"/>
      <c r="C1818" s="30"/>
      <c r="BW1818" s="17"/>
      <c r="BX1818" s="17"/>
      <c r="BY1818" s="17"/>
      <c r="BZ1818" s="17"/>
      <c r="CA1818" s="17"/>
      <c r="CB1818" s="17"/>
      <c r="CC1818" s="17"/>
      <c r="CD1818" s="17"/>
      <c r="CE1818" s="17"/>
    </row>
    <row r="1819" spans="1:83" x14ac:dyDescent="0.25">
      <c r="A1819" s="31"/>
      <c r="B1819" s="30"/>
      <c r="C1819" s="30"/>
      <c r="BW1819" s="17"/>
      <c r="BX1819" s="17"/>
      <c r="BY1819" s="17"/>
      <c r="BZ1819" s="17"/>
      <c r="CA1819" s="17"/>
      <c r="CB1819" s="17"/>
      <c r="CC1819" s="17"/>
      <c r="CD1819" s="17"/>
      <c r="CE1819" s="17"/>
    </row>
    <row r="1820" spans="1:83" x14ac:dyDescent="0.25">
      <c r="A1820" s="31"/>
      <c r="B1820" s="30"/>
      <c r="C1820" s="30"/>
      <c r="BW1820" s="17"/>
      <c r="BX1820" s="17"/>
      <c r="BY1820" s="17"/>
      <c r="BZ1820" s="17"/>
      <c r="CA1820" s="17"/>
      <c r="CB1820" s="17"/>
      <c r="CC1820" s="17"/>
      <c r="CD1820" s="17"/>
      <c r="CE1820" s="17"/>
    </row>
    <row r="1821" spans="1:83" x14ac:dyDescent="0.25">
      <c r="A1821" s="31"/>
      <c r="B1821" s="30"/>
      <c r="C1821" s="30"/>
      <c r="BW1821" s="17"/>
      <c r="BX1821" s="17"/>
      <c r="BY1821" s="17"/>
      <c r="BZ1821" s="17"/>
      <c r="CA1821" s="17"/>
      <c r="CB1821" s="17"/>
      <c r="CC1821" s="17"/>
      <c r="CD1821" s="17"/>
      <c r="CE1821" s="17"/>
    </row>
    <row r="1822" spans="1:83" x14ac:dyDescent="0.25">
      <c r="A1822" s="31"/>
      <c r="B1822" s="30"/>
      <c r="C1822" s="30"/>
      <c r="BW1822" s="17"/>
      <c r="BX1822" s="17"/>
      <c r="BY1822" s="17"/>
      <c r="BZ1822" s="17"/>
      <c r="CA1822" s="17"/>
      <c r="CB1822" s="17"/>
      <c r="CC1822" s="17"/>
      <c r="CD1822" s="17"/>
      <c r="CE1822" s="17"/>
    </row>
    <row r="1823" spans="1:83" x14ac:dyDescent="0.25">
      <c r="A1823" s="31"/>
      <c r="B1823" s="30"/>
      <c r="C1823" s="30"/>
      <c r="BW1823" s="17"/>
      <c r="BX1823" s="17"/>
      <c r="BY1823" s="17"/>
      <c r="BZ1823" s="17"/>
      <c r="CA1823" s="17"/>
      <c r="CB1823" s="17"/>
      <c r="CC1823" s="17"/>
      <c r="CD1823" s="17"/>
      <c r="CE1823" s="17"/>
    </row>
    <row r="1824" spans="1:83" x14ac:dyDescent="0.25">
      <c r="A1824" s="31"/>
      <c r="B1824" s="30"/>
      <c r="C1824" s="30"/>
      <c r="BW1824" s="17"/>
      <c r="BX1824" s="17"/>
      <c r="BY1824" s="17"/>
      <c r="BZ1824" s="17"/>
      <c r="CA1824" s="17"/>
      <c r="CB1824" s="17"/>
      <c r="CC1824" s="17"/>
      <c r="CD1824" s="17"/>
      <c r="CE1824" s="17"/>
    </row>
    <row r="1825" spans="1:83" x14ac:dyDescent="0.25">
      <c r="A1825" s="31"/>
      <c r="B1825" s="30"/>
      <c r="C1825" s="30"/>
      <c r="BW1825" s="17"/>
      <c r="BX1825" s="17"/>
      <c r="BY1825" s="17"/>
      <c r="BZ1825" s="17"/>
      <c r="CA1825" s="17"/>
      <c r="CB1825" s="17"/>
      <c r="CC1825" s="17"/>
      <c r="CD1825" s="17"/>
      <c r="CE1825" s="17"/>
    </row>
    <row r="1826" spans="1:83" x14ac:dyDescent="0.25">
      <c r="A1826" s="31"/>
      <c r="B1826" s="30"/>
      <c r="C1826" s="30"/>
      <c r="BW1826" s="17"/>
      <c r="BX1826" s="17"/>
      <c r="BY1826" s="17"/>
      <c r="BZ1826" s="17"/>
      <c r="CA1826" s="17"/>
      <c r="CB1826" s="17"/>
      <c r="CC1826" s="17"/>
      <c r="CD1826" s="17"/>
      <c r="CE1826" s="17"/>
    </row>
    <row r="1827" spans="1:83" x14ac:dyDescent="0.25">
      <c r="A1827" s="31"/>
      <c r="B1827" s="30"/>
      <c r="C1827" s="30"/>
      <c r="BW1827" s="17"/>
      <c r="BX1827" s="17"/>
      <c r="BY1827" s="17"/>
      <c r="BZ1827" s="17"/>
      <c r="CA1827" s="17"/>
      <c r="CB1827" s="17"/>
      <c r="CC1827" s="17"/>
      <c r="CD1827" s="17"/>
      <c r="CE1827" s="17"/>
    </row>
    <row r="1828" spans="1:83" x14ac:dyDescent="0.25">
      <c r="A1828" s="31"/>
      <c r="B1828" s="30"/>
      <c r="C1828" s="30"/>
      <c r="BW1828" s="17"/>
      <c r="BX1828" s="17"/>
      <c r="BY1828" s="17"/>
      <c r="BZ1828" s="17"/>
      <c r="CA1828" s="17"/>
      <c r="CB1828" s="17"/>
      <c r="CC1828" s="17"/>
      <c r="CD1828" s="17"/>
      <c r="CE1828" s="17"/>
    </row>
    <row r="1829" spans="1:83" x14ac:dyDescent="0.25">
      <c r="A1829" s="31"/>
      <c r="B1829" s="30"/>
      <c r="C1829" s="30"/>
      <c r="BW1829" s="17"/>
      <c r="BX1829" s="17"/>
      <c r="BY1829" s="17"/>
      <c r="BZ1829" s="17"/>
      <c r="CA1829" s="17"/>
      <c r="CB1829" s="17"/>
      <c r="CC1829" s="17"/>
      <c r="CD1829" s="17"/>
      <c r="CE1829" s="17"/>
    </row>
    <row r="1830" spans="1:83" x14ac:dyDescent="0.25">
      <c r="A1830" s="31"/>
      <c r="B1830" s="30"/>
      <c r="C1830" s="30"/>
      <c r="BW1830" s="17"/>
      <c r="BX1830" s="17"/>
      <c r="BY1830" s="17"/>
      <c r="BZ1830" s="17"/>
      <c r="CA1830" s="17"/>
      <c r="CB1830" s="17"/>
      <c r="CC1830" s="17"/>
      <c r="CD1830" s="17"/>
      <c r="CE1830" s="17"/>
    </row>
    <row r="1831" spans="1:83" x14ac:dyDescent="0.25">
      <c r="A1831" s="31"/>
      <c r="B1831" s="30"/>
      <c r="C1831" s="30"/>
      <c r="BW1831" s="17"/>
      <c r="BX1831" s="17"/>
      <c r="BY1831" s="17"/>
      <c r="BZ1831" s="17"/>
      <c r="CA1831" s="17"/>
      <c r="CB1831" s="17"/>
      <c r="CC1831" s="17"/>
      <c r="CD1831" s="17"/>
      <c r="CE1831" s="17"/>
    </row>
    <row r="1832" spans="1:83" x14ac:dyDescent="0.25">
      <c r="A1832" s="31"/>
      <c r="B1832" s="30"/>
      <c r="C1832" s="30"/>
      <c r="BW1832" s="17"/>
      <c r="BX1832" s="17"/>
      <c r="BY1832" s="17"/>
      <c r="BZ1832" s="17"/>
      <c r="CA1832" s="17"/>
      <c r="CB1832" s="17"/>
      <c r="CC1832" s="17"/>
      <c r="CD1832" s="17"/>
      <c r="CE1832" s="17"/>
    </row>
    <row r="1833" spans="1:83" x14ac:dyDescent="0.25">
      <c r="A1833" s="31"/>
      <c r="B1833" s="30"/>
      <c r="C1833" s="30"/>
      <c r="BW1833" s="17"/>
      <c r="BX1833" s="17"/>
      <c r="BY1833" s="17"/>
      <c r="BZ1833" s="17"/>
      <c r="CA1833" s="17"/>
      <c r="CB1833" s="17"/>
      <c r="CC1833" s="17"/>
      <c r="CD1833" s="17"/>
      <c r="CE1833" s="17"/>
    </row>
    <row r="1834" spans="1:83" x14ac:dyDescent="0.25">
      <c r="A1834" s="31"/>
      <c r="B1834" s="30"/>
      <c r="C1834" s="30"/>
      <c r="BW1834" s="17"/>
      <c r="BX1834" s="17"/>
      <c r="BY1834" s="17"/>
      <c r="BZ1834" s="17"/>
      <c r="CA1834" s="17"/>
      <c r="CB1834" s="17"/>
      <c r="CC1834" s="17"/>
      <c r="CD1834" s="17"/>
      <c r="CE1834" s="17"/>
    </row>
    <row r="1835" spans="1:83" x14ac:dyDescent="0.25">
      <c r="A1835" s="31"/>
      <c r="B1835" s="30"/>
      <c r="C1835" s="30"/>
      <c r="BW1835" s="17"/>
      <c r="BX1835" s="17"/>
      <c r="BY1835" s="17"/>
      <c r="BZ1835" s="17"/>
      <c r="CA1835" s="17"/>
      <c r="CB1835" s="17"/>
      <c r="CC1835" s="17"/>
      <c r="CD1835" s="17"/>
      <c r="CE1835" s="17"/>
    </row>
    <row r="1836" spans="1:83" x14ac:dyDescent="0.25">
      <c r="A1836" s="31"/>
      <c r="B1836" s="30"/>
      <c r="C1836" s="30"/>
      <c r="BW1836" s="17"/>
      <c r="BX1836" s="17"/>
      <c r="BY1836" s="17"/>
      <c r="BZ1836" s="17"/>
      <c r="CA1836" s="17"/>
      <c r="CB1836" s="17"/>
      <c r="CC1836" s="17"/>
      <c r="CD1836" s="17"/>
      <c r="CE1836" s="17"/>
    </row>
    <row r="1837" spans="1:83" x14ac:dyDescent="0.25">
      <c r="A1837" s="31"/>
      <c r="B1837" s="30"/>
      <c r="C1837" s="30"/>
      <c r="BW1837" s="17"/>
      <c r="BX1837" s="17"/>
      <c r="BY1837" s="17"/>
      <c r="BZ1837" s="17"/>
      <c r="CA1837" s="17"/>
      <c r="CB1837" s="17"/>
      <c r="CC1837" s="17"/>
      <c r="CD1837" s="17"/>
      <c r="CE1837" s="17"/>
    </row>
    <row r="1838" spans="1:83" x14ac:dyDescent="0.25">
      <c r="A1838" s="31"/>
      <c r="B1838" s="30"/>
      <c r="C1838" s="30"/>
      <c r="BW1838" s="17"/>
      <c r="BX1838" s="17"/>
      <c r="BY1838" s="17"/>
      <c r="BZ1838" s="17"/>
      <c r="CA1838" s="17"/>
      <c r="CB1838" s="17"/>
      <c r="CC1838" s="17"/>
      <c r="CD1838" s="17"/>
      <c r="CE1838" s="17"/>
    </row>
    <row r="1839" spans="1:83" x14ac:dyDescent="0.25">
      <c r="A1839" s="31"/>
      <c r="B1839" s="30"/>
      <c r="C1839" s="30"/>
      <c r="BW1839" s="17"/>
      <c r="BX1839" s="17"/>
      <c r="BY1839" s="17"/>
      <c r="BZ1839" s="17"/>
      <c r="CA1839" s="17"/>
      <c r="CB1839" s="17"/>
      <c r="CC1839" s="17"/>
      <c r="CD1839" s="17"/>
      <c r="CE1839" s="17"/>
    </row>
    <row r="1840" spans="1:83" x14ac:dyDescent="0.25">
      <c r="A1840" s="31"/>
      <c r="B1840" s="30"/>
      <c r="C1840" s="30"/>
      <c r="BW1840" s="17"/>
      <c r="BX1840" s="17"/>
      <c r="BY1840" s="17"/>
      <c r="BZ1840" s="17"/>
      <c r="CA1840" s="17"/>
      <c r="CB1840" s="17"/>
      <c r="CC1840" s="17"/>
      <c r="CD1840" s="17"/>
      <c r="CE1840" s="17"/>
    </row>
    <row r="1841" spans="1:83" x14ac:dyDescent="0.25">
      <c r="A1841" s="31"/>
      <c r="B1841" s="30"/>
      <c r="C1841" s="30"/>
      <c r="BW1841" s="17"/>
      <c r="BX1841" s="17"/>
      <c r="BY1841" s="17"/>
      <c r="BZ1841" s="17"/>
      <c r="CA1841" s="17"/>
      <c r="CB1841" s="17"/>
      <c r="CC1841" s="17"/>
      <c r="CD1841" s="17"/>
      <c r="CE1841" s="17"/>
    </row>
    <row r="1842" spans="1:83" x14ac:dyDescent="0.25">
      <c r="A1842" s="31"/>
      <c r="B1842" s="30"/>
      <c r="C1842" s="30"/>
      <c r="BW1842" s="17"/>
      <c r="BX1842" s="17"/>
      <c r="BY1842" s="17"/>
      <c r="BZ1842" s="17"/>
      <c r="CA1842" s="17"/>
      <c r="CB1842" s="17"/>
      <c r="CC1842" s="17"/>
      <c r="CD1842" s="17"/>
      <c r="CE1842" s="17"/>
    </row>
    <row r="1843" spans="1:83" x14ac:dyDescent="0.25">
      <c r="A1843" s="31"/>
      <c r="B1843" s="30"/>
      <c r="C1843" s="30"/>
      <c r="BW1843" s="17"/>
      <c r="BX1843" s="17"/>
      <c r="BY1843" s="17"/>
      <c r="BZ1843" s="17"/>
      <c r="CA1843" s="17"/>
      <c r="CB1843" s="17"/>
      <c r="CC1843" s="17"/>
      <c r="CD1843" s="17"/>
      <c r="CE1843" s="17"/>
    </row>
    <row r="1844" spans="1:83" x14ac:dyDescent="0.25">
      <c r="A1844" s="31"/>
      <c r="B1844" s="30"/>
      <c r="C1844" s="30"/>
      <c r="BW1844" s="17"/>
      <c r="BX1844" s="17"/>
      <c r="BY1844" s="17"/>
      <c r="BZ1844" s="17"/>
      <c r="CA1844" s="17"/>
      <c r="CB1844" s="17"/>
      <c r="CC1844" s="17"/>
      <c r="CD1844" s="17"/>
      <c r="CE1844" s="17"/>
    </row>
    <row r="1845" spans="1:83" x14ac:dyDescent="0.25">
      <c r="A1845" s="31"/>
      <c r="B1845" s="30"/>
      <c r="C1845" s="30"/>
      <c r="BW1845" s="17"/>
      <c r="BX1845" s="17"/>
      <c r="BY1845" s="17"/>
      <c r="BZ1845" s="17"/>
      <c r="CA1845" s="17"/>
      <c r="CB1845" s="17"/>
      <c r="CC1845" s="17"/>
      <c r="CD1845" s="17"/>
      <c r="CE1845" s="17"/>
    </row>
    <row r="1846" spans="1:83" x14ac:dyDescent="0.25">
      <c r="A1846" s="31"/>
      <c r="B1846" s="30"/>
      <c r="C1846" s="30"/>
      <c r="BW1846" s="17"/>
      <c r="BX1846" s="17"/>
      <c r="BY1846" s="17"/>
      <c r="BZ1846" s="17"/>
      <c r="CA1846" s="17"/>
      <c r="CB1846" s="17"/>
      <c r="CC1846" s="17"/>
      <c r="CD1846" s="17"/>
      <c r="CE1846" s="17"/>
    </row>
    <row r="1847" spans="1:83" x14ac:dyDescent="0.25">
      <c r="A1847" s="31"/>
      <c r="B1847" s="30"/>
      <c r="C1847" s="30"/>
      <c r="BW1847" s="17"/>
      <c r="BX1847" s="17"/>
      <c r="BY1847" s="17"/>
      <c r="BZ1847" s="17"/>
      <c r="CA1847" s="17"/>
      <c r="CB1847" s="17"/>
      <c r="CC1847" s="17"/>
      <c r="CD1847" s="17"/>
      <c r="CE1847" s="17"/>
    </row>
    <row r="1848" spans="1:83" x14ac:dyDescent="0.25">
      <c r="A1848" s="31"/>
      <c r="B1848" s="30"/>
      <c r="C1848" s="30"/>
      <c r="BW1848" s="17"/>
      <c r="BX1848" s="17"/>
      <c r="BY1848" s="17"/>
      <c r="BZ1848" s="17"/>
      <c r="CA1848" s="17"/>
      <c r="CB1848" s="17"/>
      <c r="CC1848" s="17"/>
      <c r="CD1848" s="17"/>
      <c r="CE1848" s="17"/>
    </row>
    <row r="1849" spans="1:83" x14ac:dyDescent="0.25">
      <c r="A1849" s="31"/>
      <c r="B1849" s="30"/>
      <c r="C1849" s="30"/>
      <c r="BW1849" s="17"/>
      <c r="BX1849" s="17"/>
      <c r="BY1849" s="17"/>
      <c r="BZ1849" s="17"/>
      <c r="CA1849" s="17"/>
      <c r="CB1849" s="17"/>
      <c r="CC1849" s="17"/>
      <c r="CD1849" s="17"/>
      <c r="CE1849" s="17"/>
    </row>
    <row r="1850" spans="1:83" x14ac:dyDescent="0.25">
      <c r="A1850" s="31"/>
      <c r="B1850" s="30"/>
      <c r="C1850" s="30"/>
      <c r="BW1850" s="17"/>
      <c r="BX1850" s="17"/>
      <c r="BY1850" s="17"/>
      <c r="BZ1850" s="17"/>
      <c r="CA1850" s="17"/>
      <c r="CB1850" s="17"/>
      <c r="CC1850" s="17"/>
      <c r="CD1850" s="17"/>
      <c r="CE1850" s="17"/>
    </row>
    <row r="1851" spans="1:83" x14ac:dyDescent="0.25">
      <c r="A1851" s="31"/>
      <c r="B1851" s="30"/>
      <c r="C1851" s="30"/>
      <c r="BW1851" s="17"/>
      <c r="BX1851" s="17"/>
      <c r="BY1851" s="17"/>
      <c r="BZ1851" s="17"/>
      <c r="CA1851" s="17"/>
      <c r="CB1851" s="17"/>
      <c r="CC1851" s="17"/>
      <c r="CD1851" s="17"/>
      <c r="CE1851" s="17"/>
    </row>
    <row r="1852" spans="1:83" x14ac:dyDescent="0.25">
      <c r="A1852" s="31"/>
      <c r="B1852" s="30"/>
      <c r="C1852" s="30"/>
      <c r="BW1852" s="17"/>
      <c r="BX1852" s="17"/>
      <c r="BY1852" s="17"/>
      <c r="BZ1852" s="17"/>
      <c r="CA1852" s="17"/>
      <c r="CB1852" s="17"/>
      <c r="CC1852" s="17"/>
      <c r="CD1852" s="17"/>
      <c r="CE1852" s="17"/>
    </row>
    <row r="1853" spans="1:83" x14ac:dyDescent="0.25">
      <c r="A1853" s="31"/>
      <c r="B1853" s="30"/>
      <c r="C1853" s="30"/>
      <c r="BW1853" s="17"/>
      <c r="BX1853" s="17"/>
      <c r="BY1853" s="17"/>
      <c r="BZ1853" s="17"/>
      <c r="CA1853" s="17"/>
      <c r="CB1853" s="17"/>
      <c r="CC1853" s="17"/>
      <c r="CD1853" s="17"/>
      <c r="CE1853" s="17"/>
    </row>
    <row r="1854" spans="1:83" x14ac:dyDescent="0.25">
      <c r="A1854" s="31"/>
      <c r="B1854" s="30"/>
      <c r="C1854" s="30"/>
      <c r="BW1854" s="17"/>
      <c r="BX1854" s="17"/>
      <c r="BY1854" s="17"/>
      <c r="BZ1854" s="17"/>
      <c r="CA1854" s="17"/>
      <c r="CB1854" s="17"/>
      <c r="CC1854" s="17"/>
      <c r="CD1854" s="17"/>
      <c r="CE1854" s="17"/>
    </row>
    <row r="1855" spans="1:83" x14ac:dyDescent="0.25">
      <c r="A1855" s="31"/>
      <c r="B1855" s="30"/>
      <c r="C1855" s="30"/>
      <c r="BW1855" s="17"/>
      <c r="BX1855" s="17"/>
      <c r="BY1855" s="17"/>
      <c r="BZ1855" s="17"/>
      <c r="CA1855" s="17"/>
      <c r="CB1855" s="17"/>
      <c r="CC1855" s="17"/>
      <c r="CD1855" s="17"/>
      <c r="CE1855" s="17"/>
    </row>
    <row r="1856" spans="1:83" x14ac:dyDescent="0.25">
      <c r="A1856" s="31"/>
      <c r="B1856" s="30"/>
      <c r="C1856" s="30"/>
      <c r="BW1856" s="17"/>
      <c r="BX1856" s="17"/>
      <c r="BY1856" s="17"/>
      <c r="BZ1856" s="17"/>
      <c r="CA1856" s="17"/>
      <c r="CB1856" s="17"/>
      <c r="CC1856" s="17"/>
      <c r="CD1856" s="17"/>
      <c r="CE1856" s="17"/>
    </row>
    <row r="1857" spans="1:83" x14ac:dyDescent="0.25">
      <c r="A1857" s="31"/>
      <c r="B1857" s="30"/>
      <c r="C1857" s="30"/>
      <c r="BW1857" s="17"/>
      <c r="BX1857" s="17"/>
      <c r="BY1857" s="17"/>
      <c r="BZ1857" s="17"/>
      <c r="CA1857" s="17"/>
      <c r="CB1857" s="17"/>
      <c r="CC1857" s="17"/>
      <c r="CD1857" s="17"/>
      <c r="CE1857" s="17"/>
    </row>
    <row r="1858" spans="1:83" x14ac:dyDescent="0.25">
      <c r="A1858" s="31"/>
      <c r="B1858" s="30"/>
      <c r="C1858" s="30"/>
      <c r="BW1858" s="17"/>
      <c r="BX1858" s="17"/>
      <c r="BY1858" s="17"/>
      <c r="BZ1858" s="17"/>
      <c r="CA1858" s="17"/>
      <c r="CB1858" s="17"/>
      <c r="CC1858" s="17"/>
      <c r="CD1858" s="17"/>
      <c r="CE1858" s="17"/>
    </row>
    <row r="1859" spans="1:83" x14ac:dyDescent="0.25">
      <c r="A1859" s="31"/>
      <c r="B1859" s="30"/>
      <c r="C1859" s="30"/>
      <c r="BW1859" s="17"/>
      <c r="BX1859" s="17"/>
      <c r="BY1859" s="17"/>
      <c r="BZ1859" s="17"/>
      <c r="CA1859" s="17"/>
      <c r="CB1859" s="17"/>
      <c r="CC1859" s="17"/>
      <c r="CD1859" s="17"/>
      <c r="CE1859" s="17"/>
    </row>
    <row r="1860" spans="1:83" x14ac:dyDescent="0.25">
      <c r="A1860" s="31"/>
      <c r="B1860" s="30"/>
      <c r="C1860" s="30"/>
      <c r="BW1860" s="17"/>
      <c r="BX1860" s="17"/>
      <c r="BY1860" s="17"/>
      <c r="BZ1860" s="17"/>
      <c r="CA1860" s="17"/>
      <c r="CB1860" s="17"/>
      <c r="CC1860" s="17"/>
      <c r="CD1860" s="17"/>
      <c r="CE1860" s="17"/>
    </row>
    <row r="1861" spans="1:83" x14ac:dyDescent="0.25">
      <c r="A1861" s="31"/>
      <c r="B1861" s="30"/>
      <c r="C1861" s="30"/>
      <c r="BW1861" s="17"/>
      <c r="BX1861" s="17"/>
      <c r="BY1861" s="17"/>
      <c r="BZ1861" s="17"/>
      <c r="CA1861" s="17"/>
      <c r="CB1861" s="17"/>
      <c r="CC1861" s="17"/>
      <c r="CD1861" s="17"/>
      <c r="CE1861" s="17"/>
    </row>
    <row r="1862" spans="1:83" x14ac:dyDescent="0.25">
      <c r="A1862" s="31"/>
      <c r="B1862" s="30"/>
      <c r="C1862" s="30"/>
      <c r="BW1862" s="17"/>
      <c r="BX1862" s="17"/>
      <c r="BY1862" s="17"/>
      <c r="BZ1862" s="17"/>
      <c r="CA1862" s="17"/>
      <c r="CB1862" s="17"/>
      <c r="CC1862" s="17"/>
      <c r="CD1862" s="17"/>
      <c r="CE1862" s="17"/>
    </row>
    <row r="1863" spans="1:83" x14ac:dyDescent="0.25">
      <c r="A1863" s="31"/>
      <c r="B1863" s="30"/>
      <c r="C1863" s="30"/>
      <c r="BW1863" s="17"/>
      <c r="BX1863" s="17"/>
      <c r="BY1863" s="17"/>
      <c r="BZ1863" s="17"/>
      <c r="CA1863" s="17"/>
      <c r="CB1863" s="17"/>
      <c r="CC1863" s="17"/>
      <c r="CD1863" s="17"/>
      <c r="CE1863" s="17"/>
    </row>
    <row r="1864" spans="1:83" x14ac:dyDescent="0.25">
      <c r="A1864" s="31"/>
      <c r="B1864" s="30"/>
      <c r="C1864" s="30"/>
      <c r="BW1864" s="17"/>
      <c r="BX1864" s="17"/>
      <c r="BY1864" s="17"/>
      <c r="BZ1864" s="17"/>
      <c r="CA1864" s="17"/>
      <c r="CB1864" s="17"/>
      <c r="CC1864" s="17"/>
      <c r="CD1864" s="17"/>
      <c r="CE1864" s="17"/>
    </row>
    <row r="1865" spans="1:83" x14ac:dyDescent="0.25">
      <c r="A1865" s="31"/>
      <c r="B1865" s="30"/>
      <c r="C1865" s="30"/>
      <c r="BW1865" s="17"/>
      <c r="BX1865" s="17"/>
      <c r="BY1865" s="17"/>
      <c r="BZ1865" s="17"/>
      <c r="CA1865" s="17"/>
      <c r="CB1865" s="17"/>
      <c r="CC1865" s="17"/>
      <c r="CD1865" s="17"/>
      <c r="CE1865" s="17"/>
    </row>
    <row r="1866" spans="1:83" x14ac:dyDescent="0.25">
      <c r="A1866" s="31"/>
      <c r="B1866" s="30"/>
      <c r="C1866" s="30"/>
      <c r="BW1866" s="17"/>
      <c r="BX1866" s="17"/>
      <c r="BY1866" s="17"/>
      <c r="BZ1866" s="17"/>
      <c r="CA1866" s="17"/>
      <c r="CB1866" s="17"/>
      <c r="CC1866" s="17"/>
      <c r="CD1866" s="17"/>
      <c r="CE1866" s="17"/>
    </row>
    <row r="1867" spans="1:83" x14ac:dyDescent="0.25">
      <c r="A1867" s="31"/>
      <c r="B1867" s="30"/>
      <c r="C1867" s="30"/>
      <c r="BW1867" s="17"/>
      <c r="BX1867" s="17"/>
      <c r="BY1867" s="17"/>
      <c r="BZ1867" s="17"/>
      <c r="CA1867" s="17"/>
      <c r="CB1867" s="17"/>
      <c r="CC1867" s="17"/>
      <c r="CD1867" s="17"/>
      <c r="CE1867" s="17"/>
    </row>
    <row r="1868" spans="1:83" x14ac:dyDescent="0.25">
      <c r="A1868" s="31"/>
      <c r="B1868" s="30"/>
      <c r="C1868" s="30"/>
      <c r="BW1868" s="17"/>
      <c r="BX1868" s="17"/>
      <c r="BY1868" s="17"/>
      <c r="BZ1868" s="17"/>
      <c r="CA1868" s="17"/>
      <c r="CB1868" s="17"/>
      <c r="CC1868" s="17"/>
      <c r="CD1868" s="17"/>
      <c r="CE1868" s="17"/>
    </row>
    <row r="1869" spans="1:83" x14ac:dyDescent="0.25">
      <c r="A1869" s="31"/>
      <c r="B1869" s="30"/>
      <c r="C1869" s="30"/>
      <c r="BW1869" s="17"/>
      <c r="BX1869" s="17"/>
      <c r="BY1869" s="17"/>
      <c r="BZ1869" s="17"/>
      <c r="CA1869" s="17"/>
      <c r="CB1869" s="17"/>
      <c r="CC1869" s="17"/>
      <c r="CD1869" s="17"/>
      <c r="CE1869" s="17"/>
    </row>
    <row r="1870" spans="1:83" x14ac:dyDescent="0.25">
      <c r="A1870" s="31"/>
      <c r="B1870" s="30"/>
      <c r="C1870" s="30"/>
      <c r="BW1870" s="17"/>
      <c r="BX1870" s="17"/>
      <c r="BY1870" s="17"/>
      <c r="BZ1870" s="17"/>
      <c r="CA1870" s="17"/>
      <c r="CB1870" s="17"/>
      <c r="CC1870" s="17"/>
      <c r="CD1870" s="17"/>
      <c r="CE1870" s="17"/>
    </row>
    <row r="1871" spans="1:83" x14ac:dyDescent="0.25">
      <c r="A1871" s="31"/>
      <c r="B1871" s="30"/>
      <c r="C1871" s="30"/>
      <c r="BW1871" s="17"/>
      <c r="BX1871" s="17"/>
      <c r="BY1871" s="17"/>
      <c r="BZ1871" s="17"/>
      <c r="CA1871" s="17"/>
      <c r="CB1871" s="17"/>
      <c r="CC1871" s="17"/>
      <c r="CD1871" s="17"/>
      <c r="CE1871" s="17"/>
    </row>
    <row r="1872" spans="1:83" x14ac:dyDescent="0.25">
      <c r="A1872" s="31"/>
      <c r="B1872" s="30"/>
      <c r="C1872" s="30"/>
      <c r="BW1872" s="17"/>
      <c r="BX1872" s="17"/>
      <c r="BY1872" s="17"/>
      <c r="BZ1872" s="17"/>
      <c r="CA1872" s="17"/>
      <c r="CB1872" s="17"/>
      <c r="CC1872" s="17"/>
      <c r="CD1872" s="17"/>
      <c r="CE1872" s="17"/>
    </row>
    <row r="1873" spans="1:83" x14ac:dyDescent="0.25">
      <c r="A1873" s="31"/>
      <c r="B1873" s="30"/>
      <c r="C1873" s="30"/>
      <c r="BW1873" s="17"/>
      <c r="BX1873" s="17"/>
      <c r="BY1873" s="17"/>
      <c r="BZ1873" s="17"/>
      <c r="CA1873" s="17"/>
      <c r="CB1873" s="17"/>
      <c r="CC1873" s="17"/>
      <c r="CD1873" s="17"/>
      <c r="CE1873" s="17"/>
    </row>
    <row r="1874" spans="1:83" x14ac:dyDescent="0.25">
      <c r="A1874" s="31"/>
      <c r="B1874" s="30"/>
      <c r="C1874" s="30"/>
      <c r="BW1874" s="17"/>
      <c r="BX1874" s="17"/>
      <c r="BY1874" s="17"/>
      <c r="BZ1874" s="17"/>
      <c r="CA1874" s="17"/>
      <c r="CB1874" s="17"/>
      <c r="CC1874" s="17"/>
      <c r="CD1874" s="17"/>
      <c r="CE1874" s="17"/>
    </row>
    <row r="1875" spans="1:83" x14ac:dyDescent="0.25">
      <c r="A1875" s="31"/>
      <c r="B1875" s="30"/>
      <c r="C1875" s="30"/>
      <c r="BW1875" s="17"/>
      <c r="BX1875" s="17"/>
      <c r="BY1875" s="17"/>
      <c r="BZ1875" s="17"/>
      <c r="CA1875" s="17"/>
      <c r="CB1875" s="17"/>
      <c r="CC1875" s="17"/>
      <c r="CD1875" s="17"/>
      <c r="CE1875" s="17"/>
    </row>
    <row r="1876" spans="1:83" x14ac:dyDescent="0.25">
      <c r="A1876" s="31"/>
      <c r="B1876" s="30"/>
      <c r="C1876" s="30"/>
      <c r="BW1876" s="17"/>
      <c r="BX1876" s="17"/>
      <c r="BY1876" s="17"/>
      <c r="BZ1876" s="17"/>
      <c r="CA1876" s="17"/>
      <c r="CB1876" s="17"/>
      <c r="CC1876" s="17"/>
      <c r="CD1876" s="17"/>
      <c r="CE1876" s="17"/>
    </row>
    <row r="1877" spans="1:83" x14ac:dyDescent="0.25">
      <c r="A1877" s="31"/>
      <c r="B1877" s="30"/>
      <c r="C1877" s="30"/>
      <c r="BW1877" s="17"/>
      <c r="BX1877" s="17"/>
      <c r="BY1877" s="17"/>
      <c r="BZ1877" s="17"/>
      <c r="CA1877" s="17"/>
      <c r="CB1877" s="17"/>
      <c r="CC1877" s="17"/>
      <c r="CD1877" s="17"/>
      <c r="CE1877" s="17"/>
    </row>
    <row r="1878" spans="1:83" x14ac:dyDescent="0.25">
      <c r="A1878" s="31"/>
      <c r="B1878" s="30"/>
      <c r="C1878" s="30"/>
      <c r="BW1878" s="17"/>
      <c r="BX1878" s="17"/>
      <c r="BY1878" s="17"/>
      <c r="BZ1878" s="17"/>
      <c r="CA1878" s="17"/>
      <c r="CB1878" s="17"/>
      <c r="CC1878" s="17"/>
      <c r="CD1878" s="17"/>
      <c r="CE1878" s="17"/>
    </row>
    <row r="1879" spans="1:83" x14ac:dyDescent="0.25">
      <c r="A1879" s="31"/>
      <c r="B1879" s="30"/>
      <c r="C1879" s="30"/>
      <c r="BW1879" s="17"/>
      <c r="BX1879" s="17"/>
      <c r="BY1879" s="17"/>
      <c r="BZ1879" s="17"/>
      <c r="CA1879" s="17"/>
      <c r="CB1879" s="17"/>
      <c r="CC1879" s="17"/>
      <c r="CD1879" s="17"/>
      <c r="CE1879" s="17"/>
    </row>
    <row r="1880" spans="1:83" x14ac:dyDescent="0.25">
      <c r="A1880" s="31"/>
      <c r="B1880" s="30"/>
      <c r="C1880" s="30"/>
      <c r="BW1880" s="17"/>
      <c r="BX1880" s="17"/>
      <c r="BY1880" s="17"/>
      <c r="BZ1880" s="17"/>
      <c r="CA1880" s="17"/>
      <c r="CB1880" s="17"/>
      <c r="CC1880" s="17"/>
      <c r="CD1880" s="17"/>
      <c r="CE1880" s="17"/>
    </row>
    <row r="1881" spans="1:83" x14ac:dyDescent="0.25">
      <c r="A1881" s="31"/>
      <c r="B1881" s="30"/>
      <c r="C1881" s="30"/>
      <c r="BW1881" s="17"/>
      <c r="BX1881" s="17"/>
      <c r="BY1881" s="17"/>
      <c r="BZ1881" s="17"/>
      <c r="CA1881" s="17"/>
      <c r="CB1881" s="17"/>
      <c r="CC1881" s="17"/>
      <c r="CD1881" s="17"/>
      <c r="CE1881" s="17"/>
    </row>
    <row r="1882" spans="1:83" x14ac:dyDescent="0.25">
      <c r="A1882" s="31"/>
      <c r="B1882" s="30"/>
      <c r="C1882" s="30"/>
      <c r="BW1882" s="17"/>
      <c r="BX1882" s="17"/>
      <c r="BY1882" s="17"/>
      <c r="BZ1882" s="17"/>
      <c r="CA1882" s="17"/>
      <c r="CB1882" s="17"/>
      <c r="CC1882" s="17"/>
      <c r="CD1882" s="17"/>
      <c r="CE1882" s="17"/>
    </row>
    <row r="1883" spans="1:83" x14ac:dyDescent="0.25">
      <c r="A1883" s="31"/>
      <c r="B1883" s="30"/>
      <c r="C1883" s="30"/>
      <c r="BW1883" s="17"/>
      <c r="BX1883" s="17"/>
      <c r="BY1883" s="17"/>
      <c r="BZ1883" s="17"/>
      <c r="CA1883" s="17"/>
      <c r="CB1883" s="17"/>
      <c r="CC1883" s="17"/>
      <c r="CD1883" s="17"/>
      <c r="CE1883" s="17"/>
    </row>
    <row r="1884" spans="1:83" x14ac:dyDescent="0.25">
      <c r="A1884" s="31"/>
      <c r="B1884" s="30"/>
      <c r="C1884" s="30"/>
      <c r="BW1884" s="17"/>
      <c r="BX1884" s="17"/>
      <c r="BY1884" s="17"/>
      <c r="BZ1884" s="17"/>
      <c r="CA1884" s="17"/>
      <c r="CB1884" s="17"/>
      <c r="CC1884" s="17"/>
      <c r="CD1884" s="17"/>
      <c r="CE1884" s="17"/>
    </row>
    <row r="1885" spans="1:83" x14ac:dyDescent="0.25">
      <c r="A1885" s="31"/>
      <c r="B1885" s="30"/>
      <c r="C1885" s="30"/>
      <c r="BW1885" s="17"/>
      <c r="BX1885" s="17"/>
      <c r="BY1885" s="17"/>
      <c r="BZ1885" s="17"/>
      <c r="CA1885" s="17"/>
      <c r="CB1885" s="17"/>
      <c r="CC1885" s="17"/>
      <c r="CD1885" s="17"/>
      <c r="CE1885" s="17"/>
    </row>
    <row r="1886" spans="1:83" x14ac:dyDescent="0.25">
      <c r="A1886" s="31"/>
      <c r="B1886" s="30"/>
      <c r="C1886" s="30"/>
      <c r="BW1886" s="17"/>
      <c r="BX1886" s="17"/>
      <c r="BY1886" s="17"/>
      <c r="BZ1886" s="17"/>
      <c r="CA1886" s="17"/>
      <c r="CB1886" s="17"/>
      <c r="CC1886" s="17"/>
      <c r="CD1886" s="17"/>
      <c r="CE1886" s="17"/>
    </row>
    <row r="1887" spans="1:83" x14ac:dyDescent="0.25">
      <c r="A1887" s="31"/>
      <c r="B1887" s="30"/>
      <c r="C1887" s="30"/>
      <c r="BW1887" s="17"/>
      <c r="BX1887" s="17"/>
      <c r="BY1887" s="17"/>
      <c r="BZ1887" s="17"/>
      <c r="CA1887" s="17"/>
      <c r="CB1887" s="17"/>
      <c r="CC1887" s="17"/>
      <c r="CD1887" s="17"/>
      <c r="CE1887" s="17"/>
    </row>
    <row r="1888" spans="1:83" x14ac:dyDescent="0.25">
      <c r="A1888" s="31"/>
      <c r="B1888" s="30"/>
      <c r="C1888" s="30"/>
      <c r="BW1888" s="17"/>
      <c r="BX1888" s="17"/>
      <c r="BY1888" s="17"/>
      <c r="BZ1888" s="17"/>
      <c r="CA1888" s="17"/>
      <c r="CB1888" s="17"/>
      <c r="CC1888" s="17"/>
      <c r="CD1888" s="17"/>
      <c r="CE1888" s="17"/>
    </row>
    <row r="1889" spans="1:83" x14ac:dyDescent="0.25">
      <c r="A1889" s="31"/>
      <c r="B1889" s="30"/>
      <c r="C1889" s="30"/>
      <c r="BW1889" s="17"/>
      <c r="BX1889" s="17"/>
      <c r="BY1889" s="17"/>
      <c r="BZ1889" s="17"/>
      <c r="CA1889" s="17"/>
      <c r="CB1889" s="17"/>
      <c r="CC1889" s="17"/>
      <c r="CD1889" s="17"/>
      <c r="CE1889" s="17"/>
    </row>
    <row r="1890" spans="1:83" x14ac:dyDescent="0.25">
      <c r="A1890" s="31"/>
      <c r="B1890" s="30"/>
      <c r="C1890" s="30"/>
      <c r="BW1890" s="17"/>
      <c r="BX1890" s="17"/>
      <c r="BY1890" s="17"/>
      <c r="BZ1890" s="17"/>
      <c r="CA1890" s="17"/>
      <c r="CB1890" s="17"/>
      <c r="CC1890" s="17"/>
      <c r="CD1890" s="17"/>
      <c r="CE1890" s="17"/>
    </row>
    <row r="1891" spans="1:83" x14ac:dyDescent="0.25">
      <c r="A1891" s="31"/>
      <c r="B1891" s="30"/>
      <c r="C1891" s="30"/>
      <c r="BW1891" s="17"/>
      <c r="BX1891" s="17"/>
      <c r="BY1891" s="17"/>
      <c r="BZ1891" s="17"/>
      <c r="CA1891" s="17"/>
      <c r="CB1891" s="17"/>
      <c r="CC1891" s="17"/>
      <c r="CD1891" s="17"/>
      <c r="CE1891" s="17"/>
    </row>
    <row r="1892" spans="1:83" x14ac:dyDescent="0.25">
      <c r="A1892" s="31"/>
      <c r="B1892" s="30"/>
      <c r="C1892" s="30"/>
      <c r="BW1892" s="17"/>
      <c r="BX1892" s="17"/>
      <c r="BY1892" s="17"/>
      <c r="BZ1892" s="17"/>
      <c r="CA1892" s="17"/>
      <c r="CB1892" s="17"/>
      <c r="CC1892" s="17"/>
      <c r="CD1892" s="17"/>
      <c r="CE1892" s="17"/>
    </row>
    <row r="1893" spans="1:83" x14ac:dyDescent="0.25">
      <c r="A1893" s="31"/>
      <c r="B1893" s="30"/>
      <c r="C1893" s="30"/>
      <c r="BW1893" s="17"/>
      <c r="BX1893" s="17"/>
      <c r="BY1893" s="17"/>
      <c r="BZ1893" s="17"/>
      <c r="CA1893" s="17"/>
      <c r="CB1893" s="17"/>
      <c r="CC1893" s="17"/>
      <c r="CD1893" s="17"/>
      <c r="CE1893" s="17"/>
    </row>
    <row r="1894" spans="1:83" x14ac:dyDescent="0.25">
      <c r="A1894" s="31"/>
      <c r="B1894" s="30"/>
      <c r="C1894" s="30"/>
      <c r="BW1894" s="17"/>
      <c r="BX1894" s="17"/>
      <c r="BY1894" s="17"/>
      <c r="BZ1894" s="17"/>
      <c r="CA1894" s="17"/>
      <c r="CB1894" s="17"/>
      <c r="CC1894" s="17"/>
      <c r="CD1894" s="17"/>
      <c r="CE1894" s="17"/>
    </row>
    <row r="1895" spans="1:83" x14ac:dyDescent="0.25">
      <c r="A1895" s="31"/>
      <c r="B1895" s="30"/>
      <c r="C1895" s="30"/>
      <c r="BW1895" s="17"/>
      <c r="BX1895" s="17"/>
      <c r="BY1895" s="17"/>
      <c r="BZ1895" s="17"/>
      <c r="CA1895" s="17"/>
      <c r="CB1895" s="17"/>
      <c r="CC1895" s="17"/>
      <c r="CD1895" s="17"/>
      <c r="CE1895" s="17"/>
    </row>
    <row r="1896" spans="1:83" x14ac:dyDescent="0.25">
      <c r="A1896" s="31"/>
      <c r="B1896" s="30"/>
      <c r="C1896" s="30"/>
      <c r="BW1896" s="17"/>
      <c r="BX1896" s="17"/>
      <c r="BY1896" s="17"/>
      <c r="BZ1896" s="17"/>
      <c r="CA1896" s="17"/>
      <c r="CB1896" s="17"/>
      <c r="CC1896" s="17"/>
      <c r="CD1896" s="17"/>
      <c r="CE1896" s="17"/>
    </row>
    <row r="1897" spans="1:83" x14ac:dyDescent="0.25">
      <c r="A1897" s="31"/>
      <c r="B1897" s="30"/>
      <c r="C1897" s="30"/>
      <c r="BW1897" s="17"/>
      <c r="BX1897" s="17"/>
      <c r="BY1897" s="17"/>
      <c r="BZ1897" s="17"/>
      <c r="CA1897" s="17"/>
      <c r="CB1897" s="17"/>
      <c r="CC1897" s="17"/>
      <c r="CD1897" s="17"/>
      <c r="CE1897" s="17"/>
    </row>
    <row r="1898" spans="1:83" x14ac:dyDescent="0.25">
      <c r="A1898" s="31"/>
      <c r="B1898" s="30"/>
      <c r="C1898" s="30"/>
      <c r="BW1898" s="17"/>
      <c r="BX1898" s="17"/>
      <c r="BY1898" s="17"/>
      <c r="BZ1898" s="17"/>
      <c r="CA1898" s="17"/>
      <c r="CB1898" s="17"/>
      <c r="CC1898" s="17"/>
      <c r="CD1898" s="17"/>
      <c r="CE1898" s="17"/>
    </row>
    <row r="1899" spans="1:83" x14ac:dyDescent="0.25">
      <c r="A1899" s="31"/>
      <c r="B1899" s="30"/>
      <c r="C1899" s="30"/>
      <c r="BW1899" s="17"/>
      <c r="BX1899" s="17"/>
      <c r="BY1899" s="17"/>
      <c r="BZ1899" s="17"/>
      <c r="CA1899" s="17"/>
      <c r="CB1899" s="17"/>
      <c r="CC1899" s="17"/>
      <c r="CD1899" s="17"/>
      <c r="CE1899" s="17"/>
    </row>
    <row r="1900" spans="1:83" x14ac:dyDescent="0.25">
      <c r="A1900" s="31"/>
      <c r="B1900" s="30"/>
      <c r="C1900" s="30"/>
      <c r="BW1900" s="17"/>
      <c r="BX1900" s="17"/>
      <c r="BY1900" s="17"/>
      <c r="BZ1900" s="17"/>
      <c r="CA1900" s="17"/>
      <c r="CB1900" s="17"/>
      <c r="CC1900" s="17"/>
      <c r="CD1900" s="17"/>
      <c r="CE1900" s="17"/>
    </row>
    <row r="1901" spans="1:83" x14ac:dyDescent="0.25">
      <c r="A1901" s="31"/>
      <c r="B1901" s="30"/>
      <c r="C1901" s="30"/>
      <c r="BW1901" s="17"/>
      <c r="BX1901" s="17"/>
      <c r="BY1901" s="17"/>
      <c r="BZ1901" s="17"/>
      <c r="CA1901" s="17"/>
      <c r="CB1901" s="17"/>
      <c r="CC1901" s="17"/>
      <c r="CD1901" s="17"/>
      <c r="CE1901" s="17"/>
    </row>
    <row r="1902" spans="1:83" x14ac:dyDescent="0.25">
      <c r="A1902" s="31"/>
      <c r="B1902" s="30"/>
      <c r="C1902" s="30"/>
      <c r="BW1902" s="17"/>
      <c r="BX1902" s="17"/>
      <c r="BY1902" s="17"/>
      <c r="BZ1902" s="17"/>
      <c r="CA1902" s="17"/>
      <c r="CB1902" s="17"/>
      <c r="CC1902" s="17"/>
      <c r="CD1902" s="17"/>
      <c r="CE1902" s="17"/>
    </row>
    <row r="1903" spans="1:83" x14ac:dyDescent="0.25">
      <c r="A1903" s="31"/>
      <c r="B1903" s="30"/>
      <c r="C1903" s="30"/>
      <c r="BW1903" s="17"/>
      <c r="BX1903" s="17"/>
      <c r="BY1903" s="17"/>
      <c r="BZ1903" s="17"/>
      <c r="CA1903" s="17"/>
      <c r="CB1903" s="17"/>
      <c r="CC1903" s="17"/>
      <c r="CD1903" s="17"/>
      <c r="CE1903" s="17"/>
    </row>
    <row r="1904" spans="1:83" x14ac:dyDescent="0.25">
      <c r="A1904" s="31"/>
      <c r="B1904" s="30"/>
      <c r="C1904" s="30"/>
      <c r="BW1904" s="17"/>
      <c r="BX1904" s="17"/>
      <c r="BY1904" s="17"/>
      <c r="BZ1904" s="17"/>
      <c r="CA1904" s="17"/>
      <c r="CB1904" s="17"/>
      <c r="CC1904" s="17"/>
      <c r="CD1904" s="17"/>
      <c r="CE1904" s="17"/>
    </row>
    <row r="1905" spans="1:83" x14ac:dyDescent="0.25">
      <c r="A1905" s="31"/>
      <c r="B1905" s="30"/>
      <c r="C1905" s="30"/>
      <c r="BW1905" s="17"/>
      <c r="BX1905" s="17"/>
      <c r="BY1905" s="17"/>
      <c r="BZ1905" s="17"/>
      <c r="CA1905" s="17"/>
      <c r="CB1905" s="17"/>
      <c r="CC1905" s="17"/>
      <c r="CD1905" s="17"/>
      <c r="CE1905" s="17"/>
    </row>
    <row r="1906" spans="1:83" x14ac:dyDescent="0.25">
      <c r="A1906" s="31"/>
      <c r="B1906" s="30"/>
      <c r="C1906" s="30"/>
      <c r="BW1906" s="17"/>
      <c r="BX1906" s="17"/>
      <c r="BY1906" s="17"/>
      <c r="BZ1906" s="17"/>
      <c r="CA1906" s="17"/>
      <c r="CB1906" s="17"/>
      <c r="CC1906" s="17"/>
      <c r="CD1906" s="17"/>
      <c r="CE1906" s="17"/>
    </row>
    <row r="1907" spans="1:83" x14ac:dyDescent="0.25">
      <c r="A1907" s="31"/>
      <c r="B1907" s="30"/>
      <c r="C1907" s="30"/>
      <c r="BW1907" s="17"/>
      <c r="BX1907" s="17"/>
      <c r="BY1907" s="17"/>
      <c r="BZ1907" s="17"/>
      <c r="CA1907" s="17"/>
      <c r="CB1907" s="17"/>
      <c r="CC1907" s="17"/>
      <c r="CD1907" s="17"/>
      <c r="CE1907" s="17"/>
    </row>
    <row r="1908" spans="1:83" x14ac:dyDescent="0.25">
      <c r="A1908" s="31"/>
      <c r="B1908" s="30"/>
      <c r="C1908" s="30"/>
      <c r="BW1908" s="17"/>
      <c r="BX1908" s="17"/>
      <c r="BY1908" s="17"/>
      <c r="BZ1908" s="17"/>
      <c r="CA1908" s="17"/>
      <c r="CB1908" s="17"/>
      <c r="CC1908" s="17"/>
      <c r="CD1908" s="17"/>
      <c r="CE1908" s="17"/>
    </row>
    <row r="1909" spans="1:83" x14ac:dyDescent="0.25">
      <c r="A1909" s="31"/>
      <c r="B1909" s="30"/>
      <c r="C1909" s="30"/>
      <c r="BW1909" s="17"/>
      <c r="BX1909" s="17"/>
      <c r="BY1909" s="17"/>
      <c r="BZ1909" s="17"/>
      <c r="CA1909" s="17"/>
      <c r="CB1909" s="17"/>
      <c r="CC1909" s="17"/>
      <c r="CD1909" s="17"/>
      <c r="CE1909" s="17"/>
    </row>
    <row r="1910" spans="1:83" x14ac:dyDescent="0.25">
      <c r="A1910" s="31"/>
      <c r="B1910" s="30"/>
      <c r="C1910" s="30"/>
      <c r="BW1910" s="17"/>
      <c r="BX1910" s="17"/>
      <c r="BY1910" s="17"/>
      <c r="BZ1910" s="17"/>
      <c r="CA1910" s="17"/>
      <c r="CB1910" s="17"/>
      <c r="CC1910" s="17"/>
      <c r="CD1910" s="17"/>
      <c r="CE1910" s="17"/>
    </row>
    <row r="1911" spans="1:83" x14ac:dyDescent="0.25">
      <c r="A1911" s="31"/>
      <c r="B1911" s="30"/>
      <c r="C1911" s="30"/>
      <c r="BW1911" s="17"/>
      <c r="BX1911" s="17"/>
      <c r="BY1911" s="17"/>
      <c r="BZ1911" s="17"/>
      <c r="CA1911" s="17"/>
      <c r="CB1911" s="17"/>
      <c r="CC1911" s="17"/>
      <c r="CD1911" s="17"/>
      <c r="CE1911" s="17"/>
    </row>
    <row r="1912" spans="1:83" x14ac:dyDescent="0.25">
      <c r="A1912" s="31"/>
      <c r="B1912" s="30"/>
      <c r="C1912" s="30"/>
      <c r="BW1912" s="17"/>
      <c r="BX1912" s="17"/>
      <c r="BY1912" s="17"/>
      <c r="BZ1912" s="17"/>
      <c r="CA1912" s="17"/>
      <c r="CB1912" s="17"/>
      <c r="CC1912" s="17"/>
      <c r="CD1912" s="17"/>
      <c r="CE1912" s="17"/>
    </row>
    <row r="1913" spans="1:83" x14ac:dyDescent="0.25">
      <c r="A1913" s="31"/>
      <c r="B1913" s="30"/>
      <c r="C1913" s="30"/>
      <c r="BW1913" s="17"/>
      <c r="BX1913" s="17"/>
      <c r="BY1913" s="17"/>
      <c r="BZ1913" s="17"/>
      <c r="CA1913" s="17"/>
      <c r="CB1913" s="17"/>
      <c r="CC1913" s="17"/>
      <c r="CD1913" s="17"/>
      <c r="CE1913" s="17"/>
    </row>
    <row r="1914" spans="1:83" x14ac:dyDescent="0.25">
      <c r="A1914" s="31"/>
      <c r="B1914" s="30"/>
      <c r="C1914" s="30"/>
      <c r="BW1914" s="17"/>
      <c r="BX1914" s="17"/>
      <c r="BY1914" s="17"/>
      <c r="BZ1914" s="17"/>
      <c r="CA1914" s="17"/>
      <c r="CB1914" s="17"/>
      <c r="CC1914" s="17"/>
      <c r="CD1914" s="17"/>
      <c r="CE1914" s="17"/>
    </row>
    <row r="1915" spans="1:83" x14ac:dyDescent="0.25">
      <c r="A1915" s="31"/>
      <c r="B1915" s="30"/>
      <c r="C1915" s="30"/>
      <c r="BW1915" s="17"/>
      <c r="BX1915" s="17"/>
      <c r="BY1915" s="17"/>
      <c r="BZ1915" s="17"/>
      <c r="CA1915" s="17"/>
      <c r="CB1915" s="17"/>
      <c r="CC1915" s="17"/>
      <c r="CD1915" s="17"/>
      <c r="CE1915" s="17"/>
    </row>
    <row r="1916" spans="1:83" x14ac:dyDescent="0.25">
      <c r="A1916" s="31"/>
      <c r="B1916" s="30"/>
      <c r="C1916" s="30"/>
      <c r="BW1916" s="17"/>
      <c r="BX1916" s="17"/>
      <c r="BY1916" s="17"/>
      <c r="BZ1916" s="17"/>
      <c r="CA1916" s="17"/>
      <c r="CB1916" s="17"/>
      <c r="CC1916" s="17"/>
      <c r="CD1916" s="17"/>
      <c r="CE1916" s="17"/>
    </row>
    <row r="1917" spans="1:83" x14ac:dyDescent="0.25">
      <c r="A1917" s="31"/>
      <c r="B1917" s="30"/>
      <c r="C1917" s="30"/>
      <c r="BW1917" s="17"/>
      <c r="BX1917" s="17"/>
      <c r="BY1917" s="17"/>
      <c r="BZ1917" s="17"/>
      <c r="CA1917" s="17"/>
      <c r="CB1917" s="17"/>
      <c r="CC1917" s="17"/>
      <c r="CD1917" s="17"/>
      <c r="CE1917" s="17"/>
    </row>
    <row r="1918" spans="1:83" x14ac:dyDescent="0.25">
      <c r="A1918" s="31"/>
      <c r="B1918" s="30"/>
      <c r="C1918" s="30"/>
      <c r="BW1918" s="17"/>
      <c r="BX1918" s="17"/>
      <c r="BY1918" s="17"/>
      <c r="BZ1918" s="17"/>
      <c r="CA1918" s="17"/>
      <c r="CB1918" s="17"/>
      <c r="CC1918" s="17"/>
      <c r="CD1918" s="17"/>
      <c r="CE1918" s="17"/>
    </row>
    <row r="1919" spans="1:83" x14ac:dyDescent="0.25">
      <c r="A1919" s="31"/>
      <c r="B1919" s="30"/>
      <c r="C1919" s="30"/>
      <c r="BW1919" s="17"/>
      <c r="BX1919" s="17"/>
      <c r="BY1919" s="17"/>
      <c r="BZ1919" s="17"/>
      <c r="CA1919" s="17"/>
      <c r="CB1919" s="17"/>
      <c r="CC1919" s="17"/>
      <c r="CD1919" s="17"/>
      <c r="CE1919" s="17"/>
    </row>
    <row r="1920" spans="1:83" x14ac:dyDescent="0.25">
      <c r="A1920" s="31"/>
      <c r="B1920" s="30"/>
      <c r="C1920" s="30"/>
      <c r="BW1920" s="17"/>
      <c r="BX1920" s="17"/>
      <c r="BY1920" s="17"/>
      <c r="BZ1920" s="17"/>
      <c r="CA1920" s="17"/>
      <c r="CB1920" s="17"/>
      <c r="CC1920" s="17"/>
      <c r="CD1920" s="17"/>
      <c r="CE1920" s="17"/>
    </row>
    <row r="1921" spans="1:83" x14ac:dyDescent="0.25">
      <c r="A1921" s="31"/>
      <c r="B1921" s="30"/>
      <c r="C1921" s="30"/>
      <c r="BW1921" s="17"/>
      <c r="BX1921" s="17"/>
      <c r="BY1921" s="17"/>
      <c r="BZ1921" s="17"/>
      <c r="CA1921" s="17"/>
      <c r="CB1921" s="17"/>
      <c r="CC1921" s="17"/>
      <c r="CD1921" s="17"/>
      <c r="CE1921" s="17"/>
    </row>
    <row r="1922" spans="1:83" x14ac:dyDescent="0.25">
      <c r="A1922" s="31"/>
      <c r="B1922" s="30"/>
      <c r="C1922" s="30"/>
      <c r="BW1922" s="17"/>
      <c r="BX1922" s="17"/>
      <c r="BY1922" s="17"/>
      <c r="BZ1922" s="17"/>
      <c r="CA1922" s="17"/>
      <c r="CB1922" s="17"/>
      <c r="CC1922" s="17"/>
      <c r="CD1922" s="17"/>
      <c r="CE1922" s="17"/>
    </row>
    <row r="1923" spans="1:83" x14ac:dyDescent="0.25">
      <c r="A1923" s="31"/>
      <c r="B1923" s="30"/>
      <c r="C1923" s="30"/>
      <c r="BW1923" s="17"/>
      <c r="BX1923" s="17"/>
      <c r="BY1923" s="17"/>
      <c r="BZ1923" s="17"/>
      <c r="CA1923" s="17"/>
      <c r="CB1923" s="17"/>
      <c r="CC1923" s="17"/>
      <c r="CD1923" s="17"/>
      <c r="CE1923" s="17"/>
    </row>
    <row r="1924" spans="1:83" x14ac:dyDescent="0.25">
      <c r="A1924" s="31"/>
      <c r="B1924" s="30"/>
      <c r="C1924" s="30"/>
      <c r="BW1924" s="17"/>
      <c r="BX1924" s="17"/>
      <c r="BY1924" s="17"/>
      <c r="BZ1924" s="17"/>
      <c r="CA1924" s="17"/>
      <c r="CB1924" s="17"/>
      <c r="CC1924" s="17"/>
      <c r="CD1924" s="17"/>
      <c r="CE1924" s="17"/>
    </row>
    <row r="1925" spans="1:83" x14ac:dyDescent="0.25">
      <c r="A1925" s="31"/>
      <c r="B1925" s="30"/>
      <c r="C1925" s="30"/>
      <c r="BW1925" s="17"/>
      <c r="BX1925" s="17"/>
      <c r="BY1925" s="17"/>
      <c r="BZ1925" s="17"/>
      <c r="CA1925" s="17"/>
      <c r="CB1925" s="17"/>
      <c r="CC1925" s="17"/>
      <c r="CD1925" s="17"/>
      <c r="CE1925" s="17"/>
    </row>
    <row r="1926" spans="1:83" x14ac:dyDescent="0.25">
      <c r="A1926" s="31"/>
      <c r="B1926" s="30"/>
      <c r="C1926" s="30"/>
      <c r="BW1926" s="17"/>
      <c r="BX1926" s="17"/>
      <c r="BY1926" s="17"/>
      <c r="BZ1926" s="17"/>
      <c r="CA1926" s="17"/>
      <c r="CB1926" s="17"/>
      <c r="CC1926" s="17"/>
      <c r="CD1926" s="17"/>
      <c r="CE1926" s="17"/>
    </row>
    <row r="1927" spans="1:83" x14ac:dyDescent="0.25">
      <c r="A1927" s="31"/>
      <c r="B1927" s="30"/>
      <c r="C1927" s="30"/>
      <c r="BW1927" s="17"/>
      <c r="BX1927" s="17"/>
      <c r="BY1927" s="17"/>
      <c r="BZ1927" s="17"/>
      <c r="CA1927" s="17"/>
      <c r="CB1927" s="17"/>
      <c r="CC1927" s="17"/>
      <c r="CD1927" s="17"/>
      <c r="CE1927" s="17"/>
    </row>
    <row r="1928" spans="1:83" x14ac:dyDescent="0.25">
      <c r="A1928" s="31"/>
      <c r="B1928" s="30"/>
      <c r="C1928" s="30"/>
      <c r="BW1928" s="17"/>
      <c r="BX1928" s="17"/>
      <c r="BY1928" s="17"/>
      <c r="BZ1928" s="17"/>
      <c r="CA1928" s="17"/>
      <c r="CB1928" s="17"/>
      <c r="CC1928" s="17"/>
      <c r="CD1928" s="17"/>
      <c r="CE1928" s="17"/>
    </row>
    <row r="1929" spans="1:83" x14ac:dyDescent="0.25">
      <c r="A1929" s="31"/>
      <c r="B1929" s="30"/>
      <c r="C1929" s="30"/>
      <c r="BW1929" s="17"/>
      <c r="BX1929" s="17"/>
      <c r="BY1929" s="17"/>
      <c r="BZ1929" s="17"/>
      <c r="CA1929" s="17"/>
      <c r="CB1929" s="17"/>
      <c r="CC1929" s="17"/>
      <c r="CD1929" s="17"/>
      <c r="CE1929" s="17"/>
    </row>
    <row r="1930" spans="1:83" x14ac:dyDescent="0.25">
      <c r="A1930" s="31"/>
      <c r="B1930" s="30"/>
      <c r="C1930" s="30"/>
      <c r="BW1930" s="17"/>
      <c r="BX1930" s="17"/>
      <c r="BY1930" s="17"/>
      <c r="BZ1930" s="17"/>
      <c r="CA1930" s="17"/>
      <c r="CB1930" s="17"/>
      <c r="CC1930" s="17"/>
      <c r="CD1930" s="17"/>
      <c r="CE1930" s="17"/>
    </row>
    <row r="1931" spans="1:83" x14ac:dyDescent="0.25">
      <c r="A1931" s="31"/>
      <c r="B1931" s="30"/>
      <c r="C1931" s="30"/>
      <c r="BW1931" s="17"/>
      <c r="BX1931" s="17"/>
      <c r="BY1931" s="17"/>
      <c r="BZ1931" s="17"/>
      <c r="CA1931" s="17"/>
      <c r="CB1931" s="17"/>
      <c r="CC1931" s="17"/>
      <c r="CD1931" s="17"/>
      <c r="CE1931" s="17"/>
    </row>
    <row r="1932" spans="1:83" x14ac:dyDescent="0.25">
      <c r="A1932" s="31"/>
      <c r="B1932" s="30"/>
      <c r="C1932" s="30"/>
      <c r="BW1932" s="17"/>
      <c r="BX1932" s="17"/>
      <c r="BY1932" s="17"/>
      <c r="BZ1932" s="17"/>
      <c r="CA1932" s="17"/>
      <c r="CB1932" s="17"/>
      <c r="CC1932" s="17"/>
      <c r="CD1932" s="17"/>
      <c r="CE1932" s="17"/>
    </row>
    <row r="1933" spans="1:83" x14ac:dyDescent="0.25">
      <c r="A1933" s="31"/>
      <c r="B1933" s="30"/>
      <c r="C1933" s="30"/>
      <c r="BW1933" s="17"/>
      <c r="BX1933" s="17"/>
      <c r="BY1933" s="17"/>
      <c r="BZ1933" s="17"/>
      <c r="CA1933" s="17"/>
      <c r="CB1933" s="17"/>
      <c r="CC1933" s="17"/>
      <c r="CD1933" s="17"/>
      <c r="CE1933" s="17"/>
    </row>
    <row r="1934" spans="1:83" x14ac:dyDescent="0.25">
      <c r="A1934" s="31"/>
      <c r="B1934" s="30"/>
      <c r="C1934" s="30"/>
      <c r="BW1934" s="17"/>
      <c r="BX1934" s="17"/>
      <c r="BY1934" s="17"/>
      <c r="BZ1934" s="17"/>
      <c r="CA1934" s="17"/>
      <c r="CB1934" s="17"/>
      <c r="CC1934" s="17"/>
      <c r="CD1934" s="17"/>
      <c r="CE1934" s="17"/>
    </row>
    <row r="1935" spans="1:83" x14ac:dyDescent="0.25">
      <c r="A1935" s="31"/>
      <c r="B1935" s="30"/>
      <c r="C1935" s="30"/>
      <c r="BW1935" s="17"/>
      <c r="BX1935" s="17"/>
      <c r="BY1935" s="17"/>
      <c r="BZ1935" s="17"/>
      <c r="CA1935" s="17"/>
      <c r="CB1935" s="17"/>
      <c r="CC1935" s="17"/>
      <c r="CD1935" s="17"/>
      <c r="CE1935" s="17"/>
    </row>
    <row r="1936" spans="1:83" x14ac:dyDescent="0.25">
      <c r="A1936" s="31"/>
      <c r="B1936" s="30"/>
      <c r="C1936" s="30"/>
      <c r="BW1936" s="17"/>
      <c r="BX1936" s="17"/>
      <c r="BY1936" s="17"/>
      <c r="BZ1936" s="17"/>
      <c r="CA1936" s="17"/>
      <c r="CB1936" s="17"/>
      <c r="CC1936" s="17"/>
      <c r="CD1936" s="17"/>
      <c r="CE1936" s="17"/>
    </row>
    <row r="1937" spans="1:83" x14ac:dyDescent="0.25">
      <c r="A1937" s="31"/>
      <c r="B1937" s="30"/>
      <c r="C1937" s="30"/>
      <c r="BW1937" s="17"/>
      <c r="BX1937" s="17"/>
      <c r="BY1937" s="17"/>
      <c r="BZ1937" s="17"/>
      <c r="CA1937" s="17"/>
      <c r="CB1937" s="17"/>
      <c r="CC1937" s="17"/>
      <c r="CD1937" s="17"/>
      <c r="CE1937" s="17"/>
    </row>
    <row r="1938" spans="1:83" x14ac:dyDescent="0.25">
      <c r="A1938" s="31"/>
      <c r="B1938" s="30"/>
      <c r="C1938" s="30"/>
      <c r="BW1938" s="17"/>
      <c r="BX1938" s="17"/>
      <c r="BY1938" s="17"/>
      <c r="BZ1938" s="17"/>
      <c r="CA1938" s="17"/>
      <c r="CB1938" s="17"/>
      <c r="CC1938" s="17"/>
      <c r="CD1938" s="17"/>
      <c r="CE1938" s="17"/>
    </row>
    <row r="1939" spans="1:83" x14ac:dyDescent="0.25">
      <c r="A1939" s="31"/>
      <c r="B1939" s="30"/>
      <c r="C1939" s="30"/>
      <c r="BW1939" s="17"/>
      <c r="BX1939" s="17"/>
      <c r="BY1939" s="17"/>
      <c r="BZ1939" s="17"/>
      <c r="CA1939" s="17"/>
      <c r="CB1939" s="17"/>
      <c r="CC1939" s="17"/>
      <c r="CD1939" s="17"/>
      <c r="CE1939" s="17"/>
    </row>
    <row r="1940" spans="1:83" x14ac:dyDescent="0.25">
      <c r="A1940" s="31"/>
      <c r="B1940" s="30"/>
      <c r="C1940" s="30"/>
      <c r="BW1940" s="17"/>
      <c r="BX1940" s="17"/>
      <c r="BY1940" s="17"/>
      <c r="BZ1940" s="17"/>
      <c r="CA1940" s="17"/>
      <c r="CB1940" s="17"/>
      <c r="CC1940" s="17"/>
      <c r="CD1940" s="17"/>
      <c r="CE1940" s="17"/>
    </row>
    <row r="1941" spans="1:83" x14ac:dyDescent="0.25">
      <c r="A1941" s="31"/>
      <c r="B1941" s="30"/>
      <c r="C1941" s="30"/>
      <c r="BW1941" s="17"/>
      <c r="BX1941" s="17"/>
      <c r="BY1941" s="17"/>
      <c r="BZ1941" s="17"/>
      <c r="CA1941" s="17"/>
      <c r="CB1941" s="17"/>
      <c r="CC1941" s="17"/>
      <c r="CD1941" s="17"/>
      <c r="CE1941" s="17"/>
    </row>
    <row r="1942" spans="1:83" x14ac:dyDescent="0.25">
      <c r="A1942" s="31"/>
      <c r="B1942" s="30"/>
      <c r="C1942" s="30"/>
      <c r="BW1942" s="17"/>
      <c r="BX1942" s="17"/>
      <c r="BY1942" s="17"/>
      <c r="BZ1942" s="17"/>
      <c r="CA1942" s="17"/>
      <c r="CB1942" s="17"/>
      <c r="CC1942" s="17"/>
      <c r="CD1942" s="17"/>
      <c r="CE1942" s="17"/>
    </row>
    <row r="1943" spans="1:83" x14ac:dyDescent="0.25">
      <c r="A1943" s="31"/>
      <c r="B1943" s="30"/>
      <c r="C1943" s="30"/>
      <c r="BW1943" s="17"/>
      <c r="BX1943" s="17"/>
      <c r="BY1943" s="17"/>
      <c r="BZ1943" s="17"/>
      <c r="CA1943" s="17"/>
      <c r="CB1943" s="17"/>
      <c r="CC1943" s="17"/>
      <c r="CD1943" s="17"/>
      <c r="CE1943" s="17"/>
    </row>
    <row r="1944" spans="1:83" x14ac:dyDescent="0.25">
      <c r="A1944" s="31"/>
      <c r="B1944" s="30"/>
      <c r="C1944" s="30"/>
      <c r="BW1944" s="17"/>
      <c r="BX1944" s="17"/>
      <c r="BY1944" s="17"/>
      <c r="BZ1944" s="17"/>
      <c r="CA1944" s="17"/>
      <c r="CB1944" s="17"/>
      <c r="CC1944" s="17"/>
      <c r="CD1944" s="17"/>
      <c r="CE1944" s="17"/>
    </row>
    <row r="1945" spans="1:83" x14ac:dyDescent="0.25">
      <c r="A1945" s="31"/>
      <c r="B1945" s="30"/>
      <c r="C1945" s="30"/>
      <c r="BW1945" s="17"/>
      <c r="BX1945" s="17"/>
      <c r="BY1945" s="17"/>
      <c r="BZ1945" s="17"/>
      <c r="CA1945" s="17"/>
      <c r="CB1945" s="17"/>
      <c r="CC1945" s="17"/>
      <c r="CD1945" s="17"/>
      <c r="CE1945" s="17"/>
    </row>
    <row r="1946" spans="1:83" x14ac:dyDescent="0.25">
      <c r="A1946" s="31"/>
      <c r="B1946" s="30"/>
      <c r="C1946" s="30"/>
      <c r="BW1946" s="17"/>
      <c r="BX1946" s="17"/>
      <c r="BY1946" s="17"/>
      <c r="BZ1946" s="17"/>
      <c r="CA1946" s="17"/>
      <c r="CB1946" s="17"/>
      <c r="CC1946" s="17"/>
      <c r="CD1946" s="17"/>
      <c r="CE1946" s="17"/>
    </row>
    <row r="1947" spans="1:83" x14ac:dyDescent="0.25">
      <c r="A1947" s="31"/>
      <c r="B1947" s="30"/>
      <c r="C1947" s="30"/>
      <c r="BW1947" s="17"/>
      <c r="BX1947" s="17"/>
      <c r="BY1947" s="17"/>
      <c r="BZ1947" s="17"/>
      <c r="CA1947" s="17"/>
      <c r="CB1947" s="17"/>
      <c r="CC1947" s="17"/>
      <c r="CD1947" s="17"/>
      <c r="CE1947" s="17"/>
    </row>
    <row r="1948" spans="1:83" x14ac:dyDescent="0.25">
      <c r="A1948" s="31"/>
      <c r="B1948" s="30"/>
      <c r="C1948" s="30"/>
      <c r="BW1948" s="17"/>
      <c r="BX1948" s="17"/>
      <c r="BY1948" s="17"/>
      <c r="BZ1948" s="17"/>
      <c r="CA1948" s="17"/>
      <c r="CB1948" s="17"/>
      <c r="CC1948" s="17"/>
      <c r="CD1948" s="17"/>
      <c r="CE1948" s="17"/>
    </row>
    <row r="1949" spans="1:83" x14ac:dyDescent="0.25">
      <c r="A1949" s="31"/>
      <c r="B1949" s="30"/>
      <c r="C1949" s="30"/>
      <c r="BW1949" s="17"/>
      <c r="BX1949" s="17"/>
      <c r="BY1949" s="17"/>
      <c r="BZ1949" s="17"/>
      <c r="CA1949" s="17"/>
      <c r="CB1949" s="17"/>
      <c r="CC1949" s="17"/>
      <c r="CD1949" s="17"/>
      <c r="CE1949" s="17"/>
    </row>
    <row r="1950" spans="1:83" x14ac:dyDescent="0.25">
      <c r="A1950" s="31"/>
      <c r="B1950" s="30"/>
      <c r="C1950" s="30"/>
      <c r="BW1950" s="17"/>
      <c r="BX1950" s="17"/>
      <c r="BY1950" s="17"/>
      <c r="BZ1950" s="17"/>
      <c r="CA1950" s="17"/>
      <c r="CB1950" s="17"/>
      <c r="CC1950" s="17"/>
      <c r="CD1950" s="17"/>
      <c r="CE1950" s="17"/>
    </row>
    <row r="1951" spans="1:83" x14ac:dyDescent="0.25">
      <c r="A1951" s="31"/>
      <c r="B1951" s="30"/>
      <c r="C1951" s="30"/>
      <c r="BW1951" s="17"/>
      <c r="BX1951" s="17"/>
      <c r="BY1951" s="17"/>
      <c r="BZ1951" s="17"/>
      <c r="CA1951" s="17"/>
      <c r="CB1951" s="17"/>
      <c r="CC1951" s="17"/>
      <c r="CD1951" s="17"/>
      <c r="CE1951" s="17"/>
    </row>
    <row r="1952" spans="1:83" x14ac:dyDescent="0.25">
      <c r="A1952" s="31"/>
      <c r="B1952" s="30"/>
      <c r="C1952" s="30"/>
      <c r="BW1952" s="17"/>
      <c r="BX1952" s="17"/>
      <c r="BY1952" s="17"/>
      <c r="BZ1952" s="17"/>
      <c r="CA1952" s="17"/>
      <c r="CB1952" s="17"/>
      <c r="CC1952" s="17"/>
      <c r="CD1952" s="17"/>
      <c r="CE1952" s="17"/>
    </row>
    <row r="1953" spans="1:83" x14ac:dyDescent="0.25">
      <c r="A1953" s="31"/>
      <c r="B1953" s="30"/>
      <c r="C1953" s="30"/>
      <c r="BW1953" s="17"/>
      <c r="BX1953" s="17"/>
      <c r="BY1953" s="17"/>
      <c r="BZ1953" s="17"/>
      <c r="CA1953" s="17"/>
      <c r="CB1953" s="17"/>
      <c r="CC1953" s="17"/>
      <c r="CD1953" s="17"/>
      <c r="CE1953" s="17"/>
    </row>
    <row r="1954" spans="1:83" x14ac:dyDescent="0.25">
      <c r="A1954" s="31"/>
      <c r="B1954" s="30"/>
      <c r="C1954" s="30"/>
      <c r="BW1954" s="17"/>
      <c r="BX1954" s="17"/>
      <c r="BY1954" s="17"/>
      <c r="BZ1954" s="17"/>
      <c r="CA1954" s="17"/>
      <c r="CB1954" s="17"/>
      <c r="CC1954" s="17"/>
      <c r="CD1954" s="17"/>
      <c r="CE1954" s="17"/>
    </row>
    <row r="1955" spans="1:83" x14ac:dyDescent="0.25">
      <c r="A1955" s="31"/>
      <c r="B1955" s="30"/>
      <c r="C1955" s="30"/>
      <c r="BW1955" s="17"/>
      <c r="BX1955" s="17"/>
      <c r="BY1955" s="17"/>
      <c r="BZ1955" s="17"/>
      <c r="CA1955" s="17"/>
      <c r="CB1955" s="17"/>
      <c r="CC1955" s="17"/>
      <c r="CD1955" s="17"/>
      <c r="CE1955" s="17"/>
    </row>
    <row r="1956" spans="1:83" x14ac:dyDescent="0.25">
      <c r="A1956" s="31"/>
      <c r="B1956" s="30"/>
      <c r="C1956" s="30"/>
      <c r="BW1956" s="17"/>
      <c r="BX1956" s="17"/>
      <c r="BY1956" s="17"/>
      <c r="BZ1956" s="17"/>
      <c r="CA1956" s="17"/>
      <c r="CB1956" s="17"/>
      <c r="CC1956" s="17"/>
      <c r="CD1956" s="17"/>
      <c r="CE1956" s="17"/>
    </row>
    <row r="1957" spans="1:83" x14ac:dyDescent="0.25">
      <c r="A1957" s="31"/>
      <c r="B1957" s="30"/>
      <c r="C1957" s="30"/>
      <c r="BW1957" s="17"/>
      <c r="BX1957" s="17"/>
      <c r="BY1957" s="17"/>
      <c r="BZ1957" s="17"/>
      <c r="CA1957" s="17"/>
      <c r="CB1957" s="17"/>
      <c r="CC1957" s="17"/>
      <c r="CD1957" s="17"/>
      <c r="CE1957" s="17"/>
    </row>
    <row r="1958" spans="1:83" x14ac:dyDescent="0.25">
      <c r="A1958" s="31"/>
      <c r="B1958" s="30"/>
      <c r="C1958" s="30"/>
      <c r="BW1958" s="17"/>
      <c r="BX1958" s="17"/>
      <c r="BY1958" s="17"/>
      <c r="BZ1958" s="17"/>
      <c r="CA1958" s="17"/>
      <c r="CB1958" s="17"/>
      <c r="CC1958" s="17"/>
      <c r="CD1958" s="17"/>
      <c r="CE1958" s="17"/>
    </row>
    <row r="1959" spans="1:83" x14ac:dyDescent="0.25">
      <c r="A1959" s="31"/>
      <c r="B1959" s="30"/>
      <c r="C1959" s="30"/>
      <c r="BW1959" s="17"/>
      <c r="BX1959" s="17"/>
      <c r="BY1959" s="17"/>
      <c r="BZ1959" s="17"/>
      <c r="CA1959" s="17"/>
      <c r="CB1959" s="17"/>
      <c r="CC1959" s="17"/>
      <c r="CD1959" s="17"/>
      <c r="CE1959" s="17"/>
    </row>
    <row r="1960" spans="1:83" x14ac:dyDescent="0.25">
      <c r="A1960" s="31"/>
      <c r="B1960" s="30"/>
      <c r="C1960" s="30"/>
      <c r="BW1960" s="17"/>
      <c r="BX1960" s="17"/>
      <c r="BY1960" s="17"/>
      <c r="BZ1960" s="17"/>
      <c r="CA1960" s="17"/>
      <c r="CB1960" s="17"/>
      <c r="CC1960" s="17"/>
      <c r="CD1960" s="17"/>
      <c r="CE1960" s="17"/>
    </row>
    <row r="1961" spans="1:83" x14ac:dyDescent="0.25">
      <c r="A1961" s="31"/>
      <c r="B1961" s="30"/>
      <c r="C1961" s="30"/>
      <c r="BW1961" s="17"/>
      <c r="BX1961" s="17"/>
      <c r="BY1961" s="17"/>
      <c r="BZ1961" s="17"/>
      <c r="CA1961" s="17"/>
      <c r="CB1961" s="17"/>
      <c r="CC1961" s="17"/>
      <c r="CD1961" s="17"/>
      <c r="CE1961" s="17"/>
    </row>
    <row r="1962" spans="1:83" x14ac:dyDescent="0.25">
      <c r="A1962" s="31"/>
      <c r="B1962" s="30"/>
      <c r="C1962" s="30"/>
      <c r="BW1962" s="17"/>
      <c r="BX1962" s="17"/>
      <c r="BY1962" s="17"/>
      <c r="BZ1962" s="17"/>
      <c r="CA1962" s="17"/>
      <c r="CB1962" s="17"/>
      <c r="CC1962" s="17"/>
      <c r="CD1962" s="17"/>
      <c r="CE1962" s="17"/>
    </row>
    <row r="1963" spans="1:83" x14ac:dyDescent="0.25">
      <c r="A1963" s="31"/>
      <c r="B1963" s="30"/>
      <c r="C1963" s="30"/>
      <c r="BW1963" s="17"/>
      <c r="BX1963" s="17"/>
      <c r="BY1963" s="17"/>
      <c r="BZ1963" s="17"/>
      <c r="CA1963" s="17"/>
      <c r="CB1963" s="17"/>
      <c r="CC1963" s="17"/>
      <c r="CD1963" s="17"/>
      <c r="CE1963" s="17"/>
    </row>
    <row r="1964" spans="1:83" x14ac:dyDescent="0.25">
      <c r="A1964" s="31"/>
      <c r="B1964" s="30"/>
      <c r="C1964" s="30"/>
      <c r="BW1964" s="17"/>
      <c r="BX1964" s="17"/>
      <c r="BY1964" s="17"/>
      <c r="BZ1964" s="17"/>
      <c r="CA1964" s="17"/>
      <c r="CB1964" s="17"/>
      <c r="CC1964" s="17"/>
      <c r="CD1964" s="17"/>
      <c r="CE1964" s="17"/>
    </row>
    <row r="1965" spans="1:83" x14ac:dyDescent="0.25">
      <c r="A1965" s="31"/>
      <c r="B1965" s="30"/>
      <c r="C1965" s="30"/>
      <c r="BW1965" s="17"/>
      <c r="BX1965" s="17"/>
      <c r="BY1965" s="17"/>
      <c r="BZ1965" s="17"/>
      <c r="CA1965" s="17"/>
      <c r="CB1965" s="17"/>
      <c r="CC1965" s="17"/>
      <c r="CD1965" s="17"/>
      <c r="CE1965" s="17"/>
    </row>
    <row r="1966" spans="1:83" x14ac:dyDescent="0.25">
      <c r="A1966" s="31"/>
      <c r="B1966" s="30"/>
      <c r="C1966" s="30"/>
      <c r="BW1966" s="17"/>
      <c r="BX1966" s="17"/>
      <c r="BY1966" s="17"/>
      <c r="BZ1966" s="17"/>
      <c r="CA1966" s="17"/>
      <c r="CB1966" s="17"/>
      <c r="CC1966" s="17"/>
      <c r="CD1966" s="17"/>
      <c r="CE1966" s="17"/>
    </row>
    <row r="1967" spans="1:83" x14ac:dyDescent="0.25">
      <c r="A1967" s="31"/>
      <c r="B1967" s="30"/>
      <c r="C1967" s="30"/>
      <c r="BW1967" s="17"/>
      <c r="BX1967" s="17"/>
      <c r="BY1967" s="17"/>
      <c r="BZ1967" s="17"/>
      <c r="CA1967" s="17"/>
      <c r="CB1967" s="17"/>
      <c r="CC1967" s="17"/>
      <c r="CD1967" s="17"/>
      <c r="CE1967" s="17"/>
    </row>
    <row r="1968" spans="1:83" x14ac:dyDescent="0.25">
      <c r="A1968" s="31"/>
      <c r="B1968" s="30"/>
      <c r="C1968" s="30"/>
      <c r="BW1968" s="17"/>
      <c r="BX1968" s="17"/>
      <c r="BY1968" s="17"/>
      <c r="BZ1968" s="17"/>
      <c r="CA1968" s="17"/>
      <c r="CB1968" s="17"/>
      <c r="CC1968" s="17"/>
      <c r="CD1968" s="17"/>
      <c r="CE1968" s="17"/>
    </row>
    <row r="1969" spans="1:83" x14ac:dyDescent="0.25">
      <c r="A1969" s="31"/>
      <c r="B1969" s="30"/>
      <c r="C1969" s="30"/>
      <c r="BW1969" s="17"/>
      <c r="BX1969" s="17"/>
      <c r="BY1969" s="17"/>
      <c r="BZ1969" s="17"/>
      <c r="CA1969" s="17"/>
      <c r="CB1969" s="17"/>
      <c r="CC1969" s="17"/>
      <c r="CD1969" s="17"/>
      <c r="CE1969" s="17"/>
    </row>
    <row r="1970" spans="1:83" x14ac:dyDescent="0.25">
      <c r="A1970" s="31"/>
      <c r="B1970" s="30"/>
      <c r="C1970" s="30"/>
      <c r="BW1970" s="17"/>
      <c r="BX1970" s="17"/>
      <c r="BY1970" s="17"/>
      <c r="BZ1970" s="17"/>
      <c r="CA1970" s="17"/>
      <c r="CB1970" s="17"/>
      <c r="CC1970" s="17"/>
      <c r="CD1970" s="17"/>
      <c r="CE1970" s="17"/>
    </row>
    <row r="1971" spans="1:83" x14ac:dyDescent="0.25">
      <c r="A1971" s="31"/>
      <c r="B1971" s="30"/>
      <c r="C1971" s="30"/>
      <c r="BW1971" s="17"/>
      <c r="BX1971" s="17"/>
      <c r="BY1971" s="17"/>
      <c r="BZ1971" s="17"/>
      <c r="CA1971" s="17"/>
      <c r="CB1971" s="17"/>
      <c r="CC1971" s="17"/>
      <c r="CD1971" s="17"/>
      <c r="CE1971" s="17"/>
    </row>
    <row r="1972" spans="1:83" x14ac:dyDescent="0.25">
      <c r="A1972" s="31"/>
      <c r="B1972" s="30"/>
      <c r="C1972" s="30"/>
      <c r="BW1972" s="17"/>
      <c r="BX1972" s="17"/>
      <c r="BY1972" s="17"/>
      <c r="BZ1972" s="17"/>
      <c r="CA1972" s="17"/>
      <c r="CB1972" s="17"/>
      <c r="CC1972" s="17"/>
      <c r="CD1972" s="17"/>
      <c r="CE1972" s="17"/>
    </row>
    <row r="1973" spans="1:83" x14ac:dyDescent="0.25">
      <c r="A1973" s="31"/>
      <c r="B1973" s="30"/>
      <c r="C1973" s="30"/>
      <c r="BW1973" s="17"/>
      <c r="BX1973" s="17"/>
      <c r="BY1973" s="17"/>
      <c r="BZ1973" s="17"/>
      <c r="CA1973" s="17"/>
      <c r="CB1973" s="17"/>
      <c r="CC1973" s="17"/>
      <c r="CD1973" s="17"/>
      <c r="CE1973" s="17"/>
    </row>
    <row r="1974" spans="1:83" x14ac:dyDescent="0.25">
      <c r="A1974" s="31"/>
      <c r="B1974" s="30"/>
      <c r="C1974" s="30"/>
      <c r="BW1974" s="17"/>
      <c r="BX1974" s="17"/>
      <c r="BY1974" s="17"/>
      <c r="BZ1974" s="17"/>
      <c r="CA1974" s="17"/>
      <c r="CB1974" s="17"/>
      <c r="CC1974" s="17"/>
      <c r="CD1974" s="17"/>
      <c r="CE1974" s="17"/>
    </row>
    <row r="1975" spans="1:83" x14ac:dyDescent="0.25">
      <c r="A1975" s="31"/>
      <c r="B1975" s="30"/>
      <c r="C1975" s="30"/>
      <c r="BW1975" s="17"/>
      <c r="BX1975" s="17"/>
      <c r="BY1975" s="17"/>
      <c r="BZ1975" s="17"/>
      <c r="CA1975" s="17"/>
      <c r="CB1975" s="17"/>
      <c r="CC1975" s="17"/>
      <c r="CD1975" s="17"/>
      <c r="CE1975" s="17"/>
    </row>
    <row r="1976" spans="1:83" x14ac:dyDescent="0.25">
      <c r="A1976" s="31"/>
      <c r="B1976" s="30"/>
      <c r="C1976" s="30"/>
      <c r="BW1976" s="17"/>
      <c r="BX1976" s="17"/>
      <c r="BY1976" s="17"/>
      <c r="BZ1976" s="17"/>
      <c r="CA1976" s="17"/>
      <c r="CB1976" s="17"/>
      <c r="CC1976" s="17"/>
      <c r="CD1976" s="17"/>
      <c r="CE1976" s="17"/>
    </row>
    <row r="1977" spans="1:83" x14ac:dyDescent="0.25">
      <c r="A1977" s="31"/>
      <c r="B1977" s="30"/>
      <c r="C1977" s="30"/>
      <c r="BW1977" s="17"/>
      <c r="BX1977" s="17"/>
      <c r="BY1977" s="17"/>
      <c r="BZ1977" s="17"/>
      <c r="CA1977" s="17"/>
      <c r="CB1977" s="17"/>
      <c r="CC1977" s="17"/>
      <c r="CD1977" s="17"/>
      <c r="CE1977" s="17"/>
    </row>
    <row r="1978" spans="1:83" x14ac:dyDescent="0.25">
      <c r="A1978" s="31"/>
      <c r="B1978" s="30"/>
      <c r="C1978" s="30"/>
      <c r="BW1978" s="17"/>
      <c r="BX1978" s="17"/>
      <c r="BY1978" s="17"/>
      <c r="BZ1978" s="17"/>
      <c r="CA1978" s="17"/>
      <c r="CB1978" s="17"/>
      <c r="CC1978" s="17"/>
      <c r="CD1978" s="17"/>
      <c r="CE1978" s="17"/>
    </row>
    <row r="1979" spans="1:83" x14ac:dyDescent="0.25">
      <c r="A1979" s="31"/>
      <c r="B1979" s="30"/>
      <c r="C1979" s="30"/>
      <c r="BW1979" s="17"/>
      <c r="BX1979" s="17"/>
      <c r="BY1979" s="17"/>
      <c r="BZ1979" s="17"/>
      <c r="CA1979" s="17"/>
      <c r="CB1979" s="17"/>
      <c r="CC1979" s="17"/>
      <c r="CD1979" s="17"/>
      <c r="CE1979" s="17"/>
    </row>
    <row r="1980" spans="1:83" x14ac:dyDescent="0.25">
      <c r="A1980" s="31"/>
      <c r="B1980" s="30"/>
      <c r="C1980" s="30"/>
      <c r="BW1980" s="17"/>
      <c r="BX1980" s="17"/>
      <c r="BY1980" s="17"/>
      <c r="BZ1980" s="17"/>
      <c r="CA1980" s="17"/>
      <c r="CB1980" s="17"/>
      <c r="CC1980" s="17"/>
      <c r="CD1980" s="17"/>
      <c r="CE1980" s="17"/>
    </row>
    <row r="1981" spans="1:83" x14ac:dyDescent="0.25">
      <c r="A1981" s="31"/>
      <c r="B1981" s="30"/>
      <c r="C1981" s="30"/>
      <c r="BW1981" s="17"/>
      <c r="BX1981" s="17"/>
      <c r="BY1981" s="17"/>
      <c r="BZ1981" s="17"/>
      <c r="CA1981" s="17"/>
      <c r="CB1981" s="17"/>
      <c r="CC1981" s="17"/>
      <c r="CD1981" s="17"/>
      <c r="CE1981" s="17"/>
    </row>
    <row r="1982" spans="1:83" x14ac:dyDescent="0.25">
      <c r="A1982" s="31"/>
      <c r="B1982" s="30"/>
      <c r="C1982" s="30"/>
      <c r="BW1982" s="17"/>
      <c r="BX1982" s="17"/>
      <c r="BY1982" s="17"/>
      <c r="BZ1982" s="17"/>
      <c r="CA1982" s="17"/>
      <c r="CB1982" s="17"/>
      <c r="CC1982" s="17"/>
      <c r="CD1982" s="17"/>
      <c r="CE1982" s="17"/>
    </row>
    <row r="1983" spans="1:83" x14ac:dyDescent="0.25">
      <c r="A1983" s="31"/>
      <c r="B1983" s="30"/>
      <c r="C1983" s="30"/>
      <c r="BW1983" s="17"/>
      <c r="BX1983" s="17"/>
      <c r="BY1983" s="17"/>
      <c r="BZ1983" s="17"/>
      <c r="CA1983" s="17"/>
      <c r="CB1983" s="17"/>
      <c r="CC1983" s="17"/>
      <c r="CD1983" s="17"/>
      <c r="CE1983" s="17"/>
    </row>
    <row r="1984" spans="1:83" x14ac:dyDescent="0.25">
      <c r="A1984" s="31"/>
      <c r="B1984" s="30"/>
      <c r="C1984" s="30"/>
      <c r="BW1984" s="17"/>
      <c r="BX1984" s="17"/>
      <c r="BY1984" s="17"/>
      <c r="BZ1984" s="17"/>
      <c r="CA1984" s="17"/>
      <c r="CB1984" s="17"/>
      <c r="CC1984" s="17"/>
      <c r="CD1984" s="17"/>
      <c r="CE1984" s="17"/>
    </row>
    <row r="1985" spans="1:83" x14ac:dyDescent="0.25">
      <c r="A1985" s="31"/>
      <c r="B1985" s="30"/>
      <c r="C1985" s="30"/>
      <c r="BW1985" s="17"/>
      <c r="BX1985" s="17"/>
      <c r="BY1985" s="17"/>
      <c r="BZ1985" s="17"/>
      <c r="CA1985" s="17"/>
      <c r="CB1985" s="17"/>
      <c r="CC1985" s="17"/>
      <c r="CD1985" s="17"/>
      <c r="CE1985" s="17"/>
    </row>
    <row r="1986" spans="1:83" x14ac:dyDescent="0.25">
      <c r="A1986" s="31"/>
      <c r="B1986" s="30"/>
      <c r="C1986" s="30"/>
      <c r="BW1986" s="17"/>
      <c r="BX1986" s="17"/>
      <c r="BY1986" s="17"/>
      <c r="BZ1986" s="17"/>
      <c r="CA1986" s="17"/>
      <c r="CB1986" s="17"/>
      <c r="CC1986" s="17"/>
      <c r="CD1986" s="17"/>
      <c r="CE1986" s="17"/>
    </row>
    <row r="1987" spans="1:83" x14ac:dyDescent="0.25">
      <c r="A1987" s="31"/>
      <c r="B1987" s="30"/>
      <c r="C1987" s="30"/>
      <c r="BW1987" s="17"/>
      <c r="BX1987" s="17"/>
      <c r="BY1987" s="17"/>
      <c r="BZ1987" s="17"/>
      <c r="CA1987" s="17"/>
      <c r="CB1987" s="17"/>
      <c r="CC1987" s="17"/>
      <c r="CD1987" s="17"/>
      <c r="CE1987" s="17"/>
    </row>
    <row r="1988" spans="1:83" x14ac:dyDescent="0.25">
      <c r="A1988" s="31"/>
      <c r="B1988" s="30"/>
      <c r="C1988" s="30"/>
      <c r="BW1988" s="17"/>
      <c r="BX1988" s="17"/>
      <c r="BY1988" s="17"/>
      <c r="BZ1988" s="17"/>
      <c r="CA1988" s="17"/>
      <c r="CB1988" s="17"/>
      <c r="CC1988" s="17"/>
      <c r="CD1988" s="17"/>
      <c r="CE1988" s="17"/>
    </row>
    <row r="1989" spans="1:83" x14ac:dyDescent="0.25">
      <c r="A1989" s="31"/>
      <c r="B1989" s="30"/>
      <c r="C1989" s="30"/>
      <c r="BW1989" s="17"/>
      <c r="BX1989" s="17"/>
      <c r="BY1989" s="17"/>
      <c r="BZ1989" s="17"/>
      <c r="CA1989" s="17"/>
      <c r="CB1989" s="17"/>
      <c r="CC1989" s="17"/>
      <c r="CD1989" s="17"/>
      <c r="CE1989" s="17"/>
    </row>
    <row r="1990" spans="1:83" x14ac:dyDescent="0.25">
      <c r="A1990" s="31"/>
      <c r="B1990" s="30"/>
      <c r="C1990" s="30"/>
      <c r="BW1990" s="17"/>
      <c r="BX1990" s="17"/>
      <c r="BY1990" s="17"/>
      <c r="BZ1990" s="17"/>
      <c r="CA1990" s="17"/>
      <c r="CB1990" s="17"/>
      <c r="CC1990" s="17"/>
      <c r="CD1990" s="17"/>
      <c r="CE1990" s="17"/>
    </row>
    <row r="1991" spans="1:83" x14ac:dyDescent="0.25">
      <c r="A1991" s="31"/>
      <c r="B1991" s="30"/>
      <c r="C1991" s="30"/>
      <c r="BW1991" s="17"/>
      <c r="BX1991" s="17"/>
      <c r="BY1991" s="17"/>
      <c r="BZ1991" s="17"/>
      <c r="CA1991" s="17"/>
      <c r="CB1991" s="17"/>
      <c r="CC1991" s="17"/>
      <c r="CD1991" s="17"/>
      <c r="CE1991" s="17"/>
    </row>
    <row r="1992" spans="1:83" x14ac:dyDescent="0.25">
      <c r="A1992" s="31"/>
      <c r="B1992" s="30"/>
      <c r="C1992" s="30"/>
      <c r="BW1992" s="17"/>
      <c r="BX1992" s="17"/>
      <c r="BY1992" s="17"/>
      <c r="BZ1992" s="17"/>
      <c r="CA1992" s="17"/>
      <c r="CB1992" s="17"/>
      <c r="CC1992" s="17"/>
      <c r="CD1992" s="17"/>
      <c r="CE1992" s="17"/>
    </row>
    <row r="1993" spans="1:83" x14ac:dyDescent="0.25">
      <c r="A1993" s="31"/>
      <c r="B1993" s="30"/>
      <c r="C1993" s="30"/>
      <c r="BW1993" s="17"/>
      <c r="BX1993" s="17"/>
      <c r="BY1993" s="17"/>
      <c r="BZ1993" s="17"/>
      <c r="CA1993" s="17"/>
      <c r="CB1993" s="17"/>
      <c r="CC1993" s="17"/>
      <c r="CD1993" s="17"/>
      <c r="CE1993" s="17"/>
    </row>
    <row r="1994" spans="1:83" x14ac:dyDescent="0.25">
      <c r="A1994" s="31"/>
      <c r="B1994" s="30"/>
      <c r="C1994" s="30"/>
      <c r="BW1994" s="17"/>
      <c r="BX1994" s="17"/>
      <c r="BY1994" s="17"/>
      <c r="BZ1994" s="17"/>
      <c r="CA1994" s="17"/>
      <c r="CB1994" s="17"/>
      <c r="CC1994" s="17"/>
      <c r="CD1994" s="17"/>
      <c r="CE1994" s="17"/>
    </row>
    <row r="1995" spans="1:83" x14ac:dyDescent="0.25">
      <c r="A1995" s="31"/>
      <c r="B1995" s="30"/>
      <c r="C1995" s="30"/>
      <c r="BW1995" s="17"/>
      <c r="BX1995" s="17"/>
      <c r="BY1995" s="17"/>
      <c r="BZ1995" s="17"/>
      <c r="CA1995" s="17"/>
      <c r="CB1995" s="17"/>
      <c r="CC1995" s="17"/>
      <c r="CD1995" s="17"/>
      <c r="CE1995" s="17"/>
    </row>
    <row r="1996" spans="1:83" x14ac:dyDescent="0.25">
      <c r="A1996" s="31"/>
      <c r="B1996" s="30"/>
      <c r="C1996" s="30"/>
      <c r="BW1996" s="17"/>
      <c r="BX1996" s="17"/>
      <c r="BY1996" s="17"/>
      <c r="BZ1996" s="17"/>
      <c r="CA1996" s="17"/>
      <c r="CB1996" s="17"/>
      <c r="CC1996" s="17"/>
      <c r="CD1996" s="17"/>
      <c r="CE1996" s="17"/>
    </row>
    <row r="1997" spans="1:83" x14ac:dyDescent="0.25">
      <c r="A1997" s="31"/>
      <c r="B1997" s="30"/>
      <c r="C1997" s="30"/>
      <c r="BW1997" s="17"/>
      <c r="BX1997" s="17"/>
      <c r="BY1997" s="17"/>
      <c r="BZ1997" s="17"/>
      <c r="CA1997" s="17"/>
      <c r="CB1997" s="17"/>
      <c r="CC1997" s="17"/>
      <c r="CD1997" s="17"/>
      <c r="CE1997" s="17"/>
    </row>
    <row r="1998" spans="1:83" x14ac:dyDescent="0.25">
      <c r="A1998" s="31"/>
      <c r="B1998" s="30"/>
      <c r="C1998" s="30"/>
      <c r="BW1998" s="17"/>
      <c r="BX1998" s="17"/>
      <c r="BY1998" s="17"/>
      <c r="BZ1998" s="17"/>
      <c r="CA1998" s="17"/>
      <c r="CB1998" s="17"/>
      <c r="CC1998" s="17"/>
      <c r="CD1998" s="17"/>
      <c r="CE1998" s="17"/>
    </row>
    <row r="1999" spans="1:83" x14ac:dyDescent="0.25">
      <c r="A1999" s="31"/>
      <c r="B1999" s="30"/>
      <c r="C1999" s="30"/>
      <c r="BW1999" s="17"/>
      <c r="BX1999" s="17"/>
      <c r="BY1999" s="17"/>
      <c r="BZ1999" s="17"/>
      <c r="CA1999" s="17"/>
      <c r="CB1999" s="17"/>
      <c r="CC1999" s="17"/>
      <c r="CD1999" s="17"/>
      <c r="CE1999" s="17"/>
    </row>
    <row r="2000" spans="1:83" x14ac:dyDescent="0.25">
      <c r="A2000" s="31"/>
      <c r="B2000" s="30"/>
      <c r="C2000" s="30"/>
      <c r="BW2000" s="17"/>
      <c r="BX2000" s="17"/>
      <c r="BY2000" s="17"/>
      <c r="BZ2000" s="17"/>
      <c r="CA2000" s="17"/>
      <c r="CB2000" s="17"/>
      <c r="CC2000" s="17"/>
      <c r="CD2000" s="17"/>
      <c r="CE2000" s="17"/>
    </row>
    <row r="2001" spans="1:3" x14ac:dyDescent="0.25">
      <c r="A2001" s="31"/>
      <c r="B2001" s="30"/>
      <c r="C2001" s="30"/>
    </row>
    <row r="2002" spans="1:3" x14ac:dyDescent="0.25">
      <c r="A2002" s="31"/>
      <c r="B2002" s="30"/>
      <c r="C2002" s="30"/>
    </row>
    <row r="2003" spans="1:3" x14ac:dyDescent="0.25">
      <c r="A2003" s="31"/>
      <c r="B2003" s="30"/>
      <c r="C2003" s="30"/>
    </row>
    <row r="2004" spans="1:3" x14ac:dyDescent="0.25">
      <c r="A2004" s="31"/>
      <c r="B2004" s="30"/>
      <c r="C2004" s="30"/>
    </row>
    <row r="2005" spans="1:3" x14ac:dyDescent="0.25">
      <c r="A2005" s="31"/>
      <c r="B2005" s="30"/>
      <c r="C2005" s="30"/>
    </row>
    <row r="2006" spans="1:3" x14ac:dyDescent="0.25">
      <c r="A2006" s="31"/>
      <c r="B2006" s="30"/>
      <c r="C2006" s="30"/>
    </row>
    <row r="2007" spans="1:3" x14ac:dyDescent="0.25">
      <c r="A2007" s="31"/>
      <c r="B2007" s="30"/>
      <c r="C2007" s="30"/>
    </row>
    <row r="2008" spans="1:3" x14ac:dyDescent="0.25">
      <c r="A2008" s="31"/>
      <c r="B2008" s="30"/>
      <c r="C2008" s="30"/>
    </row>
    <row r="2009" spans="1:3" x14ac:dyDescent="0.25">
      <c r="A2009" s="31"/>
      <c r="B2009" s="30"/>
      <c r="C2009" s="30"/>
    </row>
    <row r="2010" spans="1:3" x14ac:dyDescent="0.25">
      <c r="A2010" s="31"/>
      <c r="B2010" s="30"/>
      <c r="C2010" s="30"/>
    </row>
    <row r="2011" spans="1:3" x14ac:dyDescent="0.25">
      <c r="A2011" s="31"/>
      <c r="B2011" s="30"/>
      <c r="C2011" s="30"/>
    </row>
    <row r="2012" spans="1:3" x14ac:dyDescent="0.25">
      <c r="A2012" s="31"/>
      <c r="B2012" s="30"/>
      <c r="C2012" s="30"/>
    </row>
    <row r="2013" spans="1:3" x14ac:dyDescent="0.25">
      <c r="A2013" s="31"/>
      <c r="B2013" s="30"/>
      <c r="C2013" s="30"/>
    </row>
    <row r="2014" spans="1:3" x14ac:dyDescent="0.25">
      <c r="A2014" s="31"/>
      <c r="B2014" s="30"/>
      <c r="C2014" s="30"/>
    </row>
    <row r="2015" spans="1:3" x14ac:dyDescent="0.25">
      <c r="A2015" s="31"/>
      <c r="B2015" s="30"/>
      <c r="C2015" s="30"/>
    </row>
    <row r="2016" spans="1:3" x14ac:dyDescent="0.25">
      <c r="A2016" s="31"/>
      <c r="B2016" s="30"/>
      <c r="C2016" s="30"/>
    </row>
    <row r="2017" spans="1:3" x14ac:dyDescent="0.25">
      <c r="A2017" s="31"/>
      <c r="B2017" s="30"/>
      <c r="C2017" s="30"/>
    </row>
    <row r="2018" spans="1:3" x14ac:dyDescent="0.25">
      <c r="A2018" s="31"/>
      <c r="B2018" s="30"/>
      <c r="C2018" s="30"/>
    </row>
    <row r="2019" spans="1:3" x14ac:dyDescent="0.25">
      <c r="A2019" s="31"/>
      <c r="B2019" s="30"/>
      <c r="C2019" s="30"/>
    </row>
    <row r="2020" spans="1:3" x14ac:dyDescent="0.25">
      <c r="A2020" s="31"/>
      <c r="B2020" s="30"/>
      <c r="C2020" s="30"/>
    </row>
    <row r="2021" spans="1:3" x14ac:dyDescent="0.25">
      <c r="A2021" s="31"/>
      <c r="B2021" s="30"/>
      <c r="C2021" s="30"/>
    </row>
    <row r="2022" spans="1:3" x14ac:dyDescent="0.25">
      <c r="A2022" s="31"/>
      <c r="B2022" s="30"/>
      <c r="C2022" s="30"/>
    </row>
    <row r="2023" spans="1:3" x14ac:dyDescent="0.25">
      <c r="A2023" s="31"/>
      <c r="B2023" s="30"/>
      <c r="C2023" s="30"/>
    </row>
    <row r="2024" spans="1:3" x14ac:dyDescent="0.25">
      <c r="A2024" s="31"/>
      <c r="B2024" s="30"/>
      <c r="C2024" s="30"/>
    </row>
    <row r="2025" spans="1:3" x14ac:dyDescent="0.25">
      <c r="A2025" s="31"/>
      <c r="B2025" s="30"/>
      <c r="C2025" s="30"/>
    </row>
    <row r="2026" spans="1:3" x14ac:dyDescent="0.25">
      <c r="A2026" s="31"/>
      <c r="B2026" s="30"/>
      <c r="C2026" s="30"/>
    </row>
    <row r="2027" spans="1:3" x14ac:dyDescent="0.25">
      <c r="A2027" s="31"/>
      <c r="B2027" s="30"/>
      <c r="C2027" s="30"/>
    </row>
    <row r="2028" spans="1:3" x14ac:dyDescent="0.25">
      <c r="A2028" s="31"/>
      <c r="B2028" s="30"/>
      <c r="C2028" s="30"/>
    </row>
    <row r="2029" spans="1:3" x14ac:dyDescent="0.25">
      <c r="A2029" s="31"/>
      <c r="B2029" s="30"/>
      <c r="C2029" s="30"/>
    </row>
    <row r="2030" spans="1:3" x14ac:dyDescent="0.25">
      <c r="A2030" s="31"/>
      <c r="B2030" s="30"/>
      <c r="C2030" s="30"/>
    </row>
    <row r="2031" spans="1:3" x14ac:dyDescent="0.25">
      <c r="A2031" s="31"/>
      <c r="B2031" s="30"/>
      <c r="C2031" s="30"/>
    </row>
    <row r="2032" spans="1:3" x14ac:dyDescent="0.25">
      <c r="A2032" s="31"/>
      <c r="B2032" s="30"/>
      <c r="C2032" s="30"/>
    </row>
    <row r="2033" spans="1:3" x14ac:dyDescent="0.25">
      <c r="A2033" s="31"/>
      <c r="B2033" s="30"/>
      <c r="C2033" s="30"/>
    </row>
    <row r="2034" spans="1:3" x14ac:dyDescent="0.25">
      <c r="A2034" s="31"/>
      <c r="B2034" s="30"/>
      <c r="C2034" s="30"/>
    </row>
    <row r="2035" spans="1:3" x14ac:dyDescent="0.25">
      <c r="A2035" s="31"/>
      <c r="B2035" s="30"/>
      <c r="C2035" s="30"/>
    </row>
    <row r="2036" spans="1:3" x14ac:dyDescent="0.25">
      <c r="A2036" s="31"/>
      <c r="B2036" s="30"/>
      <c r="C2036" s="30"/>
    </row>
    <row r="2037" spans="1:3" x14ac:dyDescent="0.25">
      <c r="A2037" s="31"/>
      <c r="B2037" s="30"/>
      <c r="C2037" s="30"/>
    </row>
    <row r="2038" spans="1:3" x14ac:dyDescent="0.25">
      <c r="A2038" s="31"/>
      <c r="B2038" s="30"/>
      <c r="C2038" s="30"/>
    </row>
    <row r="2039" spans="1:3" x14ac:dyDescent="0.25">
      <c r="A2039" s="31"/>
      <c r="B2039" s="30"/>
      <c r="C2039" s="30"/>
    </row>
    <row r="2040" spans="1:3" x14ac:dyDescent="0.25">
      <c r="A2040" s="31"/>
      <c r="B2040" s="30"/>
      <c r="C2040" s="30"/>
    </row>
    <row r="2041" spans="1:3" x14ac:dyDescent="0.25">
      <c r="A2041" s="31"/>
      <c r="B2041" s="30"/>
      <c r="C2041" s="30"/>
    </row>
    <row r="2042" spans="1:3" x14ac:dyDescent="0.25">
      <c r="A2042" s="31"/>
      <c r="B2042" s="30"/>
      <c r="C2042" s="30"/>
    </row>
    <row r="2043" spans="1:3" x14ac:dyDescent="0.25">
      <c r="A2043" s="31"/>
      <c r="B2043" s="30"/>
      <c r="C2043" s="30"/>
    </row>
    <row r="2044" spans="1:3" x14ac:dyDescent="0.25">
      <c r="A2044" s="31"/>
      <c r="B2044" s="30"/>
      <c r="C2044" s="30"/>
    </row>
    <row r="2045" spans="1:3" x14ac:dyDescent="0.25">
      <c r="A2045" s="31"/>
      <c r="B2045" s="30"/>
      <c r="C2045" s="30"/>
    </row>
    <row r="2046" spans="1:3" x14ac:dyDescent="0.25">
      <c r="A2046" s="31"/>
      <c r="B2046" s="30"/>
      <c r="C2046" s="30"/>
    </row>
    <row r="2047" spans="1:3" x14ac:dyDescent="0.25">
      <c r="A2047" s="31"/>
      <c r="B2047" s="30"/>
      <c r="C2047" s="30"/>
    </row>
    <row r="2048" spans="1:3" x14ac:dyDescent="0.25">
      <c r="A2048" s="31"/>
      <c r="B2048" s="30"/>
      <c r="C2048" s="30"/>
    </row>
    <row r="2049" spans="1:3" x14ac:dyDescent="0.25">
      <c r="A2049" s="31"/>
      <c r="B2049" s="30"/>
      <c r="C2049" s="30"/>
    </row>
    <row r="2050" spans="1:3" x14ac:dyDescent="0.25">
      <c r="A2050" s="31"/>
      <c r="B2050" s="30"/>
      <c r="C2050" s="30"/>
    </row>
    <row r="2051" spans="1:3" x14ac:dyDescent="0.25">
      <c r="A2051" s="31"/>
      <c r="B2051" s="30"/>
      <c r="C2051" s="30"/>
    </row>
    <row r="2052" spans="1:3" x14ac:dyDescent="0.25">
      <c r="A2052" s="31"/>
      <c r="B2052" s="30"/>
      <c r="C2052" s="30"/>
    </row>
    <row r="2053" spans="1:3" x14ac:dyDescent="0.25">
      <c r="A2053" s="31"/>
      <c r="B2053" s="30"/>
      <c r="C2053" s="30"/>
    </row>
    <row r="2054" spans="1:3" x14ac:dyDescent="0.25">
      <c r="A2054" s="31"/>
      <c r="B2054" s="30"/>
      <c r="C2054" s="30"/>
    </row>
    <row r="2055" spans="1:3" x14ac:dyDescent="0.25">
      <c r="A2055" s="31"/>
      <c r="B2055" s="30"/>
      <c r="C2055" s="30"/>
    </row>
    <row r="2056" spans="1:3" x14ac:dyDescent="0.25">
      <c r="A2056" s="31"/>
      <c r="B2056" s="30"/>
      <c r="C2056" s="30"/>
    </row>
    <row r="2057" spans="1:3" x14ac:dyDescent="0.25">
      <c r="A2057" s="31"/>
      <c r="B2057" s="30"/>
      <c r="C2057" s="30"/>
    </row>
    <row r="2058" spans="1:3" x14ac:dyDescent="0.25">
      <c r="A2058" s="31"/>
      <c r="B2058" s="30"/>
      <c r="C2058" s="30"/>
    </row>
    <row r="2059" spans="1:3" x14ac:dyDescent="0.25">
      <c r="A2059" s="31"/>
      <c r="B2059" s="30"/>
      <c r="C2059" s="30"/>
    </row>
    <row r="2060" spans="1:3" x14ac:dyDescent="0.25">
      <c r="A2060" s="31"/>
      <c r="B2060" s="30"/>
      <c r="C2060" s="30"/>
    </row>
    <row r="2061" spans="1:3" x14ac:dyDescent="0.25">
      <c r="A2061" s="31"/>
      <c r="B2061" s="30"/>
      <c r="C2061" s="30"/>
    </row>
    <row r="2062" spans="1:3" x14ac:dyDescent="0.25">
      <c r="A2062" s="31"/>
      <c r="B2062" s="30"/>
      <c r="C2062" s="30"/>
    </row>
    <row r="2063" spans="1:3" x14ac:dyDescent="0.25">
      <c r="A2063" s="31"/>
      <c r="B2063" s="30"/>
      <c r="C2063" s="30"/>
    </row>
    <row r="2064" spans="1:3" x14ac:dyDescent="0.25">
      <c r="A2064" s="31"/>
      <c r="B2064" s="30"/>
      <c r="C2064" s="30"/>
    </row>
    <row r="2065" spans="1:3" x14ac:dyDescent="0.25">
      <c r="A2065" s="31"/>
      <c r="B2065" s="30"/>
      <c r="C2065" s="30"/>
    </row>
    <row r="2066" spans="1:3" x14ac:dyDescent="0.25">
      <c r="A2066" s="31"/>
      <c r="B2066" s="30"/>
      <c r="C2066" s="30"/>
    </row>
    <row r="2067" spans="1:3" x14ac:dyDescent="0.25">
      <c r="A2067" s="31"/>
      <c r="B2067" s="30"/>
      <c r="C2067" s="30"/>
    </row>
    <row r="2068" spans="1:3" x14ac:dyDescent="0.25">
      <c r="A2068" s="31"/>
      <c r="B2068" s="30"/>
      <c r="C2068" s="30"/>
    </row>
    <row r="2069" spans="1:3" x14ac:dyDescent="0.25">
      <c r="A2069" s="31"/>
      <c r="B2069" s="30"/>
      <c r="C2069" s="30"/>
    </row>
    <row r="2070" spans="1:3" x14ac:dyDescent="0.25">
      <c r="A2070" s="31"/>
      <c r="B2070" s="30"/>
      <c r="C2070" s="30"/>
    </row>
    <row r="2071" spans="1:3" x14ac:dyDescent="0.25">
      <c r="A2071" s="31"/>
      <c r="B2071" s="30"/>
      <c r="C2071" s="30"/>
    </row>
    <row r="2072" spans="1:3" x14ac:dyDescent="0.25">
      <c r="A2072" s="31"/>
      <c r="B2072" s="30"/>
      <c r="C2072" s="30"/>
    </row>
    <row r="2073" spans="1:3" x14ac:dyDescent="0.25">
      <c r="A2073" s="31"/>
      <c r="B2073" s="30"/>
      <c r="C2073" s="30"/>
    </row>
    <row r="2074" spans="1:3" x14ac:dyDescent="0.25">
      <c r="A2074" s="31"/>
      <c r="B2074" s="30"/>
      <c r="C2074" s="30"/>
    </row>
    <row r="2075" spans="1:3" x14ac:dyDescent="0.25">
      <c r="A2075" s="31"/>
      <c r="B2075" s="30"/>
      <c r="C2075" s="30"/>
    </row>
    <row r="2076" spans="1:3" x14ac:dyDescent="0.25">
      <c r="A2076" s="31"/>
      <c r="B2076" s="30"/>
      <c r="C2076" s="30"/>
    </row>
    <row r="2077" spans="1:3" x14ac:dyDescent="0.25">
      <c r="A2077" s="31"/>
      <c r="B2077" s="30"/>
      <c r="C2077" s="30"/>
    </row>
    <row r="2078" spans="1:3" x14ac:dyDescent="0.25">
      <c r="A2078" s="31"/>
      <c r="B2078" s="30"/>
      <c r="C2078" s="30"/>
    </row>
    <row r="2079" spans="1:3" x14ac:dyDescent="0.25">
      <c r="A2079" s="31"/>
      <c r="B2079" s="30"/>
      <c r="C2079" s="30"/>
    </row>
    <row r="2080" spans="1:3" x14ac:dyDescent="0.25">
      <c r="A2080" s="31"/>
      <c r="B2080" s="30"/>
      <c r="C2080" s="30"/>
    </row>
    <row r="2081" spans="1:3" x14ac:dyDescent="0.25">
      <c r="A2081" s="31"/>
      <c r="B2081" s="30"/>
      <c r="C2081" s="30"/>
    </row>
    <row r="2082" spans="1:3" x14ac:dyDescent="0.25">
      <c r="A2082" s="31"/>
      <c r="B2082" s="30"/>
      <c r="C2082" s="30"/>
    </row>
    <row r="2083" spans="1:3" x14ac:dyDescent="0.25">
      <c r="A2083" s="31"/>
      <c r="B2083" s="30"/>
      <c r="C2083" s="30"/>
    </row>
    <row r="2084" spans="1:3" x14ac:dyDescent="0.25">
      <c r="A2084" s="31"/>
      <c r="B2084" s="30"/>
      <c r="C2084" s="30"/>
    </row>
    <row r="2085" spans="1:3" x14ac:dyDescent="0.25">
      <c r="A2085" s="31"/>
      <c r="B2085" s="30"/>
      <c r="C2085" s="30"/>
    </row>
    <row r="2086" spans="1:3" x14ac:dyDescent="0.25">
      <c r="A2086" s="31"/>
      <c r="B2086" s="30"/>
      <c r="C2086" s="30"/>
    </row>
    <row r="2087" spans="1:3" x14ac:dyDescent="0.25">
      <c r="A2087" s="31"/>
      <c r="B2087" s="30"/>
      <c r="C2087" s="30"/>
    </row>
    <row r="2088" spans="1:3" x14ac:dyDescent="0.25">
      <c r="A2088" s="31"/>
      <c r="B2088" s="30"/>
      <c r="C2088" s="30"/>
    </row>
    <row r="2089" spans="1:3" x14ac:dyDescent="0.25">
      <c r="A2089" s="31"/>
      <c r="B2089" s="30"/>
      <c r="C2089" s="30"/>
    </row>
    <row r="2090" spans="1:3" x14ac:dyDescent="0.25">
      <c r="A2090" s="31"/>
      <c r="B2090" s="30"/>
      <c r="C2090" s="30"/>
    </row>
    <row r="2091" spans="1:3" x14ac:dyDescent="0.25">
      <c r="A2091" s="31"/>
      <c r="B2091" s="30"/>
      <c r="C2091" s="30"/>
    </row>
    <row r="2092" spans="1:3" x14ac:dyDescent="0.25">
      <c r="A2092" s="31"/>
      <c r="B2092" s="30"/>
      <c r="C2092" s="30"/>
    </row>
    <row r="2093" spans="1:3" x14ac:dyDescent="0.25">
      <c r="A2093" s="31"/>
      <c r="B2093" s="30"/>
      <c r="C2093" s="30"/>
    </row>
    <row r="2094" spans="1:3" x14ac:dyDescent="0.25">
      <c r="A2094" s="31"/>
      <c r="B2094" s="30"/>
      <c r="C2094" s="30"/>
    </row>
    <row r="2095" spans="1:3" x14ac:dyDescent="0.25">
      <c r="A2095" s="31"/>
      <c r="B2095" s="30"/>
      <c r="C2095" s="30"/>
    </row>
    <row r="2096" spans="1:3" x14ac:dyDescent="0.25">
      <c r="A2096" s="31"/>
      <c r="B2096" s="30"/>
      <c r="C2096" s="30"/>
    </row>
    <row r="2097" spans="1:3" x14ac:dyDescent="0.25">
      <c r="A2097" s="31"/>
      <c r="B2097" s="30"/>
      <c r="C2097" s="30"/>
    </row>
    <row r="2098" spans="1:3" x14ac:dyDescent="0.25">
      <c r="A2098" s="31"/>
      <c r="B2098" s="30"/>
      <c r="C2098" s="30"/>
    </row>
    <row r="2099" spans="1:3" x14ac:dyDescent="0.25">
      <c r="A2099" s="31"/>
      <c r="B2099" s="30"/>
      <c r="C2099" s="30"/>
    </row>
    <row r="2100" spans="1:3" x14ac:dyDescent="0.25">
      <c r="A2100" s="31"/>
      <c r="B2100" s="30"/>
      <c r="C2100" s="30"/>
    </row>
    <row r="2101" spans="1:3" x14ac:dyDescent="0.25">
      <c r="A2101" s="31"/>
      <c r="B2101" s="30"/>
      <c r="C2101" s="30"/>
    </row>
    <row r="2102" spans="1:3" x14ac:dyDescent="0.25">
      <c r="A2102" s="31"/>
      <c r="B2102" s="30"/>
      <c r="C2102" s="30"/>
    </row>
    <row r="2103" spans="1:3" x14ac:dyDescent="0.25">
      <c r="A2103" s="31"/>
      <c r="B2103" s="30"/>
      <c r="C2103" s="30"/>
    </row>
    <row r="2104" spans="1:3" x14ac:dyDescent="0.25">
      <c r="A2104" s="31"/>
      <c r="B2104" s="30"/>
      <c r="C2104" s="30"/>
    </row>
    <row r="2105" spans="1:3" x14ac:dyDescent="0.25">
      <c r="A2105" s="31"/>
      <c r="B2105" s="30"/>
      <c r="C2105" s="30"/>
    </row>
    <row r="2106" spans="1:3" x14ac:dyDescent="0.25">
      <c r="A2106" s="31"/>
      <c r="B2106" s="30"/>
      <c r="C2106" s="30"/>
    </row>
    <row r="2107" spans="1:3" x14ac:dyDescent="0.25">
      <c r="A2107" s="31"/>
      <c r="B2107" s="30"/>
      <c r="C2107" s="30"/>
    </row>
    <row r="2108" spans="1:3" x14ac:dyDescent="0.25">
      <c r="A2108" s="31"/>
      <c r="B2108" s="30"/>
      <c r="C2108" s="30"/>
    </row>
    <row r="2109" spans="1:3" x14ac:dyDescent="0.25">
      <c r="A2109" s="31"/>
      <c r="B2109" s="30"/>
      <c r="C2109" s="30"/>
    </row>
    <row r="2110" spans="1:3" x14ac:dyDescent="0.25">
      <c r="A2110" s="31"/>
      <c r="B2110" s="30"/>
      <c r="C2110" s="30"/>
    </row>
    <row r="2111" spans="1:3" x14ac:dyDescent="0.25">
      <c r="A2111" s="31"/>
      <c r="B2111" s="30"/>
      <c r="C2111" s="30"/>
    </row>
    <row r="2112" spans="1:3" x14ac:dyDescent="0.25">
      <c r="A2112" s="31"/>
      <c r="B2112" s="30"/>
      <c r="C2112" s="30"/>
    </row>
    <row r="2113" spans="1:3" x14ac:dyDescent="0.25">
      <c r="A2113" s="31"/>
      <c r="B2113" s="30"/>
      <c r="C2113" s="30"/>
    </row>
    <row r="2114" spans="1:3" x14ac:dyDescent="0.25">
      <c r="A2114" s="31"/>
      <c r="B2114" s="30"/>
      <c r="C2114" s="30"/>
    </row>
    <row r="2115" spans="1:3" x14ac:dyDescent="0.25">
      <c r="A2115" s="31"/>
      <c r="B2115" s="30"/>
      <c r="C2115" s="30"/>
    </row>
    <row r="2116" spans="1:3" x14ac:dyDescent="0.25">
      <c r="A2116" s="31"/>
      <c r="B2116" s="30"/>
      <c r="C2116" s="30"/>
    </row>
    <row r="2117" spans="1:3" x14ac:dyDescent="0.25">
      <c r="A2117" s="31"/>
      <c r="B2117" s="30"/>
      <c r="C2117" s="30"/>
    </row>
    <row r="2118" spans="1:3" x14ac:dyDescent="0.25">
      <c r="A2118" s="31"/>
      <c r="B2118" s="30"/>
      <c r="C2118" s="30"/>
    </row>
    <row r="2119" spans="1:3" x14ac:dyDescent="0.25">
      <c r="A2119" s="31"/>
      <c r="B2119" s="30"/>
      <c r="C2119" s="30"/>
    </row>
    <row r="2120" spans="1:3" x14ac:dyDescent="0.25">
      <c r="A2120" s="31"/>
      <c r="B2120" s="30"/>
      <c r="C2120" s="30"/>
    </row>
    <row r="2121" spans="1:3" x14ac:dyDescent="0.25">
      <c r="A2121" s="31"/>
      <c r="B2121" s="30"/>
      <c r="C2121" s="30"/>
    </row>
    <row r="2122" spans="1:3" x14ac:dyDescent="0.25">
      <c r="A2122" s="31"/>
      <c r="B2122" s="30"/>
      <c r="C2122" s="30"/>
    </row>
    <row r="2123" spans="1:3" x14ac:dyDescent="0.25">
      <c r="A2123" s="31"/>
      <c r="B2123" s="30"/>
      <c r="C2123" s="30"/>
    </row>
    <row r="2124" spans="1:3" x14ac:dyDescent="0.25">
      <c r="A2124" s="31"/>
      <c r="B2124" s="30"/>
      <c r="C2124" s="30"/>
    </row>
    <row r="2125" spans="1:3" x14ac:dyDescent="0.25">
      <c r="A2125" s="31"/>
      <c r="B2125" s="30"/>
      <c r="C2125" s="30"/>
    </row>
    <row r="2126" spans="1:3" x14ac:dyDescent="0.25">
      <c r="A2126" s="31"/>
      <c r="B2126" s="30"/>
      <c r="C2126" s="30"/>
    </row>
    <row r="2127" spans="1:3" x14ac:dyDescent="0.25">
      <c r="A2127" s="31"/>
      <c r="B2127" s="30"/>
      <c r="C2127" s="30"/>
    </row>
    <row r="2128" spans="1:3" x14ac:dyDescent="0.25">
      <c r="A2128" s="31"/>
      <c r="B2128" s="30"/>
      <c r="C2128" s="30"/>
    </row>
    <row r="2129" spans="1:3" x14ac:dyDescent="0.25">
      <c r="A2129" s="31"/>
      <c r="B2129" s="30"/>
      <c r="C2129" s="30"/>
    </row>
    <row r="2130" spans="1:3" x14ac:dyDescent="0.25">
      <c r="A2130" s="31"/>
      <c r="B2130" s="30"/>
      <c r="C2130" s="30"/>
    </row>
    <row r="2131" spans="1:3" x14ac:dyDescent="0.25">
      <c r="A2131" s="31"/>
      <c r="B2131" s="30"/>
      <c r="C2131" s="30"/>
    </row>
    <row r="2132" spans="1:3" x14ac:dyDescent="0.25">
      <c r="A2132" s="31"/>
      <c r="B2132" s="30"/>
      <c r="C2132" s="30"/>
    </row>
    <row r="2133" spans="1:3" x14ac:dyDescent="0.25">
      <c r="A2133" s="31"/>
      <c r="B2133" s="30"/>
      <c r="C2133" s="30"/>
    </row>
    <row r="2134" spans="1:3" x14ac:dyDescent="0.25">
      <c r="A2134" s="31"/>
      <c r="B2134" s="30"/>
      <c r="C2134" s="30"/>
    </row>
    <row r="2135" spans="1:3" x14ac:dyDescent="0.25">
      <c r="A2135" s="31"/>
      <c r="B2135" s="30"/>
      <c r="C2135" s="30"/>
    </row>
    <row r="2136" spans="1:3" x14ac:dyDescent="0.25">
      <c r="A2136" s="31"/>
      <c r="B2136" s="30"/>
      <c r="C2136" s="30"/>
    </row>
    <row r="2137" spans="1:3" x14ac:dyDescent="0.25">
      <c r="A2137" s="31"/>
      <c r="B2137" s="30"/>
      <c r="C2137" s="30"/>
    </row>
    <row r="2138" spans="1:3" x14ac:dyDescent="0.25">
      <c r="A2138" s="31"/>
      <c r="B2138" s="30"/>
      <c r="C2138" s="30"/>
    </row>
    <row r="2139" spans="1:3" x14ac:dyDescent="0.25">
      <c r="A2139" s="31"/>
      <c r="B2139" s="30"/>
      <c r="C2139" s="30"/>
    </row>
    <row r="2140" spans="1:3" x14ac:dyDescent="0.25">
      <c r="A2140" s="31"/>
      <c r="B2140" s="30"/>
      <c r="C2140" s="30"/>
    </row>
    <row r="2141" spans="1:3" x14ac:dyDescent="0.25">
      <c r="A2141" s="31"/>
      <c r="B2141" s="30"/>
      <c r="C2141" s="30"/>
    </row>
    <row r="2142" spans="1:3" x14ac:dyDescent="0.25">
      <c r="A2142" s="31"/>
      <c r="B2142" s="30"/>
      <c r="C2142" s="30"/>
    </row>
    <row r="2143" spans="1:3" x14ac:dyDescent="0.25">
      <c r="A2143" s="31"/>
      <c r="B2143" s="30"/>
      <c r="C2143" s="30"/>
    </row>
    <row r="2144" spans="1:3" x14ac:dyDescent="0.25">
      <c r="A2144" s="31"/>
      <c r="B2144" s="30"/>
      <c r="C2144" s="30"/>
    </row>
    <row r="2145" spans="1:3" x14ac:dyDescent="0.25">
      <c r="A2145" s="31"/>
      <c r="B2145" s="30"/>
      <c r="C2145" s="30"/>
    </row>
    <row r="2146" spans="1:3" x14ac:dyDescent="0.25">
      <c r="A2146" s="31"/>
      <c r="B2146" s="30"/>
      <c r="C2146" s="30"/>
    </row>
    <row r="2147" spans="1:3" x14ac:dyDescent="0.25">
      <c r="A2147" s="31"/>
      <c r="B2147" s="30"/>
      <c r="C2147" s="30"/>
    </row>
    <row r="2148" spans="1:3" x14ac:dyDescent="0.25">
      <c r="A2148" s="31"/>
      <c r="B2148" s="30"/>
      <c r="C2148" s="30"/>
    </row>
    <row r="2149" spans="1:3" x14ac:dyDescent="0.25">
      <c r="A2149" s="31"/>
      <c r="B2149" s="30"/>
      <c r="C2149" s="30"/>
    </row>
    <row r="2150" spans="1:3" x14ac:dyDescent="0.25">
      <c r="A2150" s="31"/>
      <c r="B2150" s="30"/>
      <c r="C2150" s="30"/>
    </row>
    <row r="2151" spans="1:3" x14ac:dyDescent="0.25">
      <c r="A2151" s="31"/>
      <c r="B2151" s="30"/>
      <c r="C2151" s="30"/>
    </row>
    <row r="2152" spans="1:3" x14ac:dyDescent="0.25">
      <c r="A2152" s="31"/>
      <c r="B2152" s="30"/>
      <c r="C2152" s="30"/>
    </row>
    <row r="2153" spans="1:3" x14ac:dyDescent="0.25">
      <c r="A2153" s="31"/>
      <c r="B2153" s="30"/>
      <c r="C2153" s="30"/>
    </row>
    <row r="2154" spans="1:3" x14ac:dyDescent="0.25">
      <c r="A2154" s="31"/>
      <c r="B2154" s="30"/>
      <c r="C2154" s="30"/>
    </row>
    <row r="2155" spans="1:3" x14ac:dyDescent="0.25">
      <c r="A2155" s="31"/>
      <c r="B2155" s="30"/>
      <c r="C2155" s="30"/>
    </row>
    <row r="2156" spans="1:3" x14ac:dyDescent="0.25">
      <c r="A2156" s="31"/>
      <c r="B2156" s="30"/>
      <c r="C2156" s="30"/>
    </row>
    <row r="2157" spans="1:3" x14ac:dyDescent="0.25">
      <c r="A2157" s="31"/>
      <c r="B2157" s="30"/>
      <c r="C2157" s="30"/>
    </row>
    <row r="2158" spans="1:3" x14ac:dyDescent="0.25">
      <c r="A2158" s="31"/>
      <c r="B2158" s="30"/>
      <c r="C2158" s="30"/>
    </row>
    <row r="2159" spans="1:3" x14ac:dyDescent="0.25">
      <c r="A2159" s="31"/>
      <c r="B2159" s="30"/>
      <c r="C2159" s="30"/>
    </row>
    <row r="2160" spans="1:3" x14ac:dyDescent="0.25">
      <c r="A2160" s="31"/>
      <c r="B2160" s="30"/>
      <c r="C2160" s="30"/>
    </row>
    <row r="2161" spans="1:3" x14ac:dyDescent="0.25">
      <c r="A2161" s="31"/>
      <c r="B2161" s="30"/>
      <c r="C2161" s="30"/>
    </row>
    <row r="2162" spans="1:3" x14ac:dyDescent="0.25">
      <c r="A2162" s="31"/>
      <c r="B2162" s="30"/>
      <c r="C2162" s="30"/>
    </row>
    <row r="2163" spans="1:3" x14ac:dyDescent="0.25">
      <c r="A2163" s="31"/>
      <c r="B2163" s="30"/>
      <c r="C2163" s="30"/>
    </row>
    <row r="2164" spans="1:3" x14ac:dyDescent="0.25">
      <c r="A2164" s="31"/>
      <c r="B2164" s="30"/>
      <c r="C2164" s="30"/>
    </row>
    <row r="2165" spans="1:3" x14ac:dyDescent="0.25">
      <c r="A2165" s="31"/>
      <c r="B2165" s="30"/>
      <c r="C2165" s="30"/>
    </row>
    <row r="2166" spans="1:3" x14ac:dyDescent="0.25">
      <c r="A2166" s="31"/>
      <c r="B2166" s="30"/>
      <c r="C2166" s="30"/>
    </row>
    <row r="2167" spans="1:3" x14ac:dyDescent="0.25">
      <c r="A2167" s="31"/>
      <c r="B2167" s="30"/>
      <c r="C2167" s="30"/>
    </row>
    <row r="2168" spans="1:3" x14ac:dyDescent="0.25">
      <c r="A2168" s="31"/>
      <c r="B2168" s="30"/>
      <c r="C2168" s="30"/>
    </row>
    <row r="2169" spans="1:3" x14ac:dyDescent="0.25">
      <c r="A2169" s="31"/>
      <c r="B2169" s="30"/>
      <c r="C2169" s="30"/>
    </row>
    <row r="2170" spans="1:3" x14ac:dyDescent="0.25">
      <c r="A2170" s="31"/>
      <c r="B2170" s="30"/>
      <c r="C2170" s="30"/>
    </row>
    <row r="2171" spans="1:3" x14ac:dyDescent="0.25">
      <c r="A2171" s="31"/>
      <c r="B2171" s="30"/>
      <c r="C2171" s="30"/>
    </row>
    <row r="2172" spans="1:3" x14ac:dyDescent="0.25">
      <c r="A2172" s="31"/>
      <c r="B2172" s="30"/>
      <c r="C2172" s="30"/>
    </row>
    <row r="2173" spans="1:3" x14ac:dyDescent="0.25">
      <c r="A2173" s="31"/>
      <c r="B2173" s="30"/>
      <c r="C2173" s="30"/>
    </row>
    <row r="2174" spans="1:3" x14ac:dyDescent="0.25">
      <c r="A2174" s="31"/>
      <c r="B2174" s="30"/>
      <c r="C2174" s="30"/>
    </row>
    <row r="2175" spans="1:3" x14ac:dyDescent="0.25">
      <c r="A2175" s="31"/>
      <c r="B2175" s="30"/>
      <c r="C2175" s="30"/>
    </row>
    <row r="2176" spans="1:3" x14ac:dyDescent="0.25">
      <c r="A2176" s="31"/>
      <c r="B2176" s="30"/>
      <c r="C2176" s="30"/>
    </row>
    <row r="2177" spans="1:3" x14ac:dyDescent="0.25">
      <c r="A2177" s="31"/>
      <c r="B2177" s="30"/>
      <c r="C2177" s="30"/>
    </row>
    <row r="2178" spans="1:3" x14ac:dyDescent="0.25">
      <c r="A2178" s="31"/>
      <c r="B2178" s="30"/>
      <c r="C2178" s="30"/>
    </row>
    <row r="2179" spans="1:3" x14ac:dyDescent="0.25">
      <c r="A2179" s="31"/>
      <c r="B2179" s="30"/>
      <c r="C2179" s="30"/>
    </row>
    <row r="2180" spans="1:3" x14ac:dyDescent="0.25">
      <c r="A2180" s="31"/>
      <c r="B2180" s="30"/>
      <c r="C2180" s="30"/>
    </row>
    <row r="2181" spans="1:3" x14ac:dyDescent="0.25">
      <c r="A2181" s="31"/>
      <c r="B2181" s="30"/>
      <c r="C2181" s="30"/>
    </row>
    <row r="2182" spans="1:3" x14ac:dyDescent="0.25">
      <c r="A2182" s="31"/>
      <c r="B2182" s="30"/>
      <c r="C2182" s="30"/>
    </row>
    <row r="2183" spans="1:3" x14ac:dyDescent="0.25">
      <c r="A2183" s="31"/>
      <c r="B2183" s="30"/>
      <c r="C2183" s="30"/>
    </row>
    <row r="2184" spans="1:3" x14ac:dyDescent="0.25">
      <c r="A2184" s="31"/>
      <c r="B2184" s="30"/>
      <c r="C2184" s="30"/>
    </row>
    <row r="2185" spans="1:3" x14ac:dyDescent="0.25">
      <c r="A2185" s="31"/>
      <c r="B2185" s="30"/>
      <c r="C2185" s="30"/>
    </row>
    <row r="2186" spans="1:3" x14ac:dyDescent="0.25">
      <c r="A2186" s="31"/>
      <c r="B2186" s="30"/>
      <c r="C2186" s="30"/>
    </row>
    <row r="2187" spans="1:3" x14ac:dyDescent="0.25">
      <c r="A2187" s="31"/>
      <c r="B2187" s="30"/>
      <c r="C2187" s="30"/>
    </row>
    <row r="2188" spans="1:3" x14ac:dyDescent="0.25">
      <c r="A2188" s="31"/>
      <c r="B2188" s="30"/>
      <c r="C2188" s="30"/>
    </row>
    <row r="2189" spans="1:3" x14ac:dyDescent="0.25">
      <c r="A2189" s="31"/>
      <c r="B2189" s="30"/>
      <c r="C2189" s="30"/>
    </row>
    <row r="2190" spans="1:3" x14ac:dyDescent="0.25">
      <c r="A2190" s="31"/>
      <c r="B2190" s="30"/>
      <c r="C2190" s="30"/>
    </row>
    <row r="2191" spans="1:3" x14ac:dyDescent="0.25">
      <c r="A2191" s="31"/>
      <c r="B2191" s="30"/>
      <c r="C2191" s="30"/>
    </row>
    <row r="2192" spans="1:3" x14ac:dyDescent="0.25">
      <c r="A2192" s="31"/>
      <c r="B2192" s="30"/>
      <c r="C2192" s="30"/>
    </row>
    <row r="2193" spans="1:3" x14ac:dyDescent="0.25">
      <c r="A2193" s="31"/>
      <c r="B2193" s="30"/>
      <c r="C2193" s="30"/>
    </row>
    <row r="2194" spans="1:3" x14ac:dyDescent="0.25">
      <c r="A2194" s="31"/>
      <c r="B2194" s="30"/>
      <c r="C2194" s="30"/>
    </row>
    <row r="2195" spans="1:3" x14ac:dyDescent="0.25">
      <c r="A2195" s="31"/>
      <c r="B2195" s="30"/>
      <c r="C2195" s="30"/>
    </row>
    <row r="2196" spans="1:3" x14ac:dyDescent="0.25">
      <c r="A2196" s="31"/>
      <c r="B2196" s="30"/>
      <c r="C2196" s="30"/>
    </row>
    <row r="2197" spans="1:3" x14ac:dyDescent="0.25">
      <c r="A2197" s="31"/>
      <c r="B2197" s="30"/>
      <c r="C2197" s="30"/>
    </row>
    <row r="2198" spans="1:3" x14ac:dyDescent="0.25">
      <c r="A2198" s="31"/>
      <c r="B2198" s="30"/>
      <c r="C2198" s="30"/>
    </row>
    <row r="2199" spans="1:3" x14ac:dyDescent="0.25">
      <c r="A2199" s="31"/>
      <c r="B2199" s="30"/>
      <c r="C2199" s="30"/>
    </row>
    <row r="2200" spans="1:3" x14ac:dyDescent="0.25">
      <c r="A2200" s="31"/>
      <c r="B2200" s="30"/>
      <c r="C2200" s="30"/>
    </row>
    <row r="2201" spans="1:3" x14ac:dyDescent="0.25">
      <c r="A2201" s="31"/>
      <c r="B2201" s="30"/>
      <c r="C2201" s="30"/>
    </row>
    <row r="2202" spans="1:3" x14ac:dyDescent="0.25">
      <c r="A2202" s="31"/>
      <c r="B2202" s="30"/>
      <c r="C2202" s="30"/>
    </row>
    <row r="2203" spans="1:3" x14ac:dyDescent="0.25">
      <c r="A2203" s="31"/>
      <c r="B2203" s="30"/>
      <c r="C2203" s="30"/>
    </row>
    <row r="2204" spans="1:3" x14ac:dyDescent="0.25">
      <c r="A2204" s="31"/>
      <c r="B2204" s="30"/>
      <c r="C2204" s="30"/>
    </row>
    <row r="2205" spans="1:3" x14ac:dyDescent="0.25">
      <c r="A2205" s="31"/>
      <c r="B2205" s="30"/>
      <c r="C2205" s="30"/>
    </row>
    <row r="2206" spans="1:3" x14ac:dyDescent="0.25">
      <c r="A2206" s="31"/>
      <c r="B2206" s="30"/>
      <c r="C2206" s="30"/>
    </row>
    <row r="2207" spans="1:3" x14ac:dyDescent="0.25">
      <c r="A2207" s="31"/>
      <c r="B2207" s="30"/>
      <c r="C2207" s="30"/>
    </row>
    <row r="2208" spans="1:3" x14ac:dyDescent="0.25">
      <c r="A2208" s="31"/>
      <c r="B2208" s="30"/>
      <c r="C2208" s="30"/>
    </row>
    <row r="2209" spans="1:3" x14ac:dyDescent="0.25">
      <c r="A2209" s="31"/>
      <c r="B2209" s="30"/>
      <c r="C2209" s="30"/>
    </row>
    <row r="2210" spans="1:3" x14ac:dyDescent="0.25">
      <c r="A2210" s="31"/>
      <c r="B2210" s="30"/>
      <c r="C2210" s="30"/>
    </row>
    <row r="2211" spans="1:3" x14ac:dyDescent="0.25">
      <c r="A2211" s="31"/>
      <c r="B2211" s="30"/>
      <c r="C2211" s="30"/>
    </row>
    <row r="2212" spans="1:3" x14ac:dyDescent="0.25">
      <c r="A2212" s="31"/>
      <c r="B2212" s="30"/>
      <c r="C2212" s="30"/>
    </row>
    <row r="2213" spans="1:3" x14ac:dyDescent="0.25">
      <c r="A2213" s="31"/>
      <c r="B2213" s="30"/>
      <c r="C2213" s="30"/>
    </row>
    <row r="2214" spans="1:3" x14ac:dyDescent="0.25">
      <c r="A2214" s="31"/>
      <c r="B2214" s="30"/>
      <c r="C2214" s="30"/>
    </row>
    <row r="2215" spans="1:3" x14ac:dyDescent="0.25">
      <c r="A2215" s="31"/>
      <c r="B2215" s="30"/>
      <c r="C2215" s="30"/>
    </row>
    <row r="2216" spans="1:3" x14ac:dyDescent="0.25">
      <c r="A2216" s="31"/>
      <c r="B2216" s="30"/>
      <c r="C2216" s="30"/>
    </row>
    <row r="2217" spans="1:3" x14ac:dyDescent="0.25">
      <c r="A2217" s="31"/>
      <c r="B2217" s="30"/>
      <c r="C2217" s="30"/>
    </row>
    <row r="2218" spans="1:3" x14ac:dyDescent="0.25">
      <c r="A2218" s="31"/>
      <c r="B2218" s="30"/>
      <c r="C2218" s="30"/>
    </row>
    <row r="2219" spans="1:3" x14ac:dyDescent="0.25">
      <c r="A2219" s="31"/>
      <c r="B2219" s="30"/>
      <c r="C2219" s="30"/>
    </row>
    <row r="2220" spans="1:3" x14ac:dyDescent="0.25">
      <c r="A2220" s="31"/>
      <c r="B2220" s="30"/>
      <c r="C2220" s="30"/>
    </row>
    <row r="2221" spans="1:3" x14ac:dyDescent="0.25">
      <c r="A2221" s="31"/>
      <c r="B2221" s="30"/>
      <c r="C2221" s="30"/>
    </row>
    <row r="2222" spans="1:3" x14ac:dyDescent="0.25">
      <c r="A2222" s="31"/>
      <c r="B2222" s="30"/>
      <c r="C2222" s="30"/>
    </row>
    <row r="2223" spans="1:3" x14ac:dyDescent="0.25">
      <c r="A2223" s="31"/>
      <c r="B2223" s="30"/>
      <c r="C2223" s="30"/>
    </row>
    <row r="2224" spans="1:3" x14ac:dyDescent="0.25">
      <c r="A2224" s="31"/>
      <c r="B2224" s="30"/>
      <c r="C2224" s="30"/>
    </row>
    <row r="2225" spans="1:3" x14ac:dyDescent="0.25">
      <c r="A2225" s="31"/>
      <c r="B2225" s="30"/>
      <c r="C2225" s="30"/>
    </row>
    <row r="2226" spans="1:3" x14ac:dyDescent="0.25">
      <c r="A2226" s="31"/>
      <c r="B2226" s="30"/>
      <c r="C2226" s="30"/>
    </row>
    <row r="2227" spans="1:3" x14ac:dyDescent="0.25">
      <c r="A2227" s="31"/>
      <c r="B2227" s="30"/>
      <c r="C2227" s="30"/>
    </row>
    <row r="2228" spans="1:3" x14ac:dyDescent="0.25">
      <c r="A2228" s="31"/>
      <c r="B2228" s="30"/>
      <c r="C2228" s="30"/>
    </row>
    <row r="2229" spans="1:3" x14ac:dyDescent="0.25">
      <c r="A2229" s="31"/>
      <c r="B2229" s="30"/>
      <c r="C2229" s="30"/>
    </row>
    <row r="2230" spans="1:3" x14ac:dyDescent="0.25">
      <c r="A2230" s="31"/>
      <c r="B2230" s="30"/>
      <c r="C2230" s="30"/>
    </row>
    <row r="2231" spans="1:3" x14ac:dyDescent="0.25">
      <c r="A2231" s="31"/>
      <c r="B2231" s="30"/>
      <c r="C2231" s="30"/>
    </row>
    <row r="2232" spans="1:3" x14ac:dyDescent="0.25">
      <c r="A2232" s="31"/>
      <c r="B2232" s="30"/>
      <c r="C2232" s="30"/>
    </row>
    <row r="2233" spans="1:3" x14ac:dyDescent="0.25">
      <c r="A2233" s="31"/>
      <c r="B2233" s="30"/>
      <c r="C2233" s="30"/>
    </row>
    <row r="2234" spans="1:3" x14ac:dyDescent="0.25">
      <c r="A2234" s="31"/>
      <c r="B2234" s="30"/>
      <c r="C2234" s="30"/>
    </row>
    <row r="2235" spans="1:3" x14ac:dyDescent="0.25">
      <c r="A2235" s="31"/>
      <c r="B2235" s="30"/>
      <c r="C2235" s="30"/>
    </row>
    <row r="2236" spans="1:3" x14ac:dyDescent="0.25">
      <c r="A2236" s="31"/>
      <c r="B2236" s="30"/>
      <c r="C2236" s="30"/>
    </row>
    <row r="2237" spans="1:3" x14ac:dyDescent="0.25">
      <c r="A2237" s="31"/>
      <c r="B2237" s="30"/>
      <c r="C2237" s="30"/>
    </row>
    <row r="2238" spans="1:3" x14ac:dyDescent="0.25">
      <c r="A2238" s="31"/>
      <c r="B2238" s="30"/>
      <c r="C2238" s="30"/>
    </row>
    <row r="2239" spans="1:3" x14ac:dyDescent="0.25">
      <c r="A2239" s="31"/>
      <c r="B2239" s="30"/>
      <c r="C2239" s="30"/>
    </row>
    <row r="2240" spans="1:3" x14ac:dyDescent="0.25">
      <c r="A2240" s="31"/>
      <c r="B2240" s="30"/>
      <c r="C2240" s="30"/>
    </row>
    <row r="2241" spans="1:3" x14ac:dyDescent="0.25">
      <c r="A2241" s="31"/>
      <c r="B2241" s="30"/>
      <c r="C2241" s="30"/>
    </row>
    <row r="2242" spans="1:3" x14ac:dyDescent="0.25">
      <c r="A2242" s="31"/>
      <c r="B2242" s="30"/>
      <c r="C2242" s="30"/>
    </row>
    <row r="2243" spans="1:3" x14ac:dyDescent="0.25">
      <c r="A2243" s="31"/>
      <c r="B2243" s="30"/>
      <c r="C2243" s="30"/>
    </row>
    <row r="2244" spans="1:3" x14ac:dyDescent="0.25">
      <c r="A2244" s="31"/>
      <c r="B2244" s="30"/>
      <c r="C2244" s="30"/>
    </row>
    <row r="2245" spans="1:3" x14ac:dyDescent="0.25">
      <c r="A2245" s="31"/>
      <c r="B2245" s="30"/>
      <c r="C2245" s="30"/>
    </row>
    <row r="2246" spans="1:3" x14ac:dyDescent="0.25">
      <c r="A2246" s="31"/>
      <c r="B2246" s="30"/>
      <c r="C2246" s="30"/>
    </row>
    <row r="2247" spans="1:3" x14ac:dyDescent="0.25">
      <c r="A2247" s="31"/>
      <c r="B2247" s="30"/>
      <c r="C2247" s="30"/>
    </row>
    <row r="2248" spans="1:3" x14ac:dyDescent="0.25">
      <c r="A2248" s="31"/>
      <c r="B2248" s="30"/>
      <c r="C2248" s="30"/>
    </row>
    <row r="2249" spans="1:3" x14ac:dyDescent="0.25">
      <c r="A2249" s="31"/>
      <c r="B2249" s="30"/>
      <c r="C2249" s="30"/>
    </row>
    <row r="2250" spans="1:3" x14ac:dyDescent="0.25">
      <c r="A2250" s="31"/>
      <c r="B2250" s="30"/>
      <c r="C2250" s="30"/>
    </row>
    <row r="2251" spans="1:3" x14ac:dyDescent="0.25">
      <c r="A2251" s="31"/>
      <c r="B2251" s="30"/>
      <c r="C2251" s="30"/>
    </row>
    <row r="2252" spans="1:3" x14ac:dyDescent="0.25">
      <c r="A2252" s="31"/>
      <c r="B2252" s="30"/>
      <c r="C2252" s="30"/>
    </row>
    <row r="2253" spans="1:3" x14ac:dyDescent="0.25">
      <c r="A2253" s="31"/>
      <c r="B2253" s="30"/>
      <c r="C2253" s="30"/>
    </row>
    <row r="2254" spans="1:3" x14ac:dyDescent="0.25">
      <c r="A2254" s="31"/>
      <c r="B2254" s="30"/>
      <c r="C2254" s="30"/>
    </row>
    <row r="2255" spans="1:3" x14ac:dyDescent="0.25">
      <c r="A2255" s="31"/>
      <c r="B2255" s="30"/>
      <c r="C2255" s="30"/>
    </row>
    <row r="2256" spans="1:3" x14ac:dyDescent="0.25">
      <c r="A2256" s="31"/>
      <c r="B2256" s="30"/>
      <c r="C2256" s="30"/>
    </row>
    <row r="2257" spans="1:3" x14ac:dyDescent="0.25">
      <c r="A2257" s="31"/>
      <c r="B2257" s="30"/>
      <c r="C2257" s="30"/>
    </row>
    <row r="2258" spans="1:3" x14ac:dyDescent="0.25">
      <c r="A2258" s="31"/>
      <c r="B2258" s="30"/>
      <c r="C2258" s="30"/>
    </row>
    <row r="2259" spans="1:3" x14ac:dyDescent="0.25">
      <c r="A2259" s="31"/>
      <c r="B2259" s="30"/>
      <c r="C2259" s="30"/>
    </row>
    <row r="2260" spans="1:3" x14ac:dyDescent="0.25">
      <c r="A2260" s="31"/>
      <c r="B2260" s="30"/>
      <c r="C2260" s="30"/>
    </row>
    <row r="2261" spans="1:3" x14ac:dyDescent="0.25">
      <c r="A2261" s="31"/>
      <c r="B2261" s="30"/>
      <c r="C2261" s="30"/>
    </row>
    <row r="2262" spans="1:3" x14ac:dyDescent="0.25">
      <c r="A2262" s="31"/>
      <c r="B2262" s="30"/>
      <c r="C2262" s="30"/>
    </row>
    <row r="2263" spans="1:3" x14ac:dyDescent="0.25">
      <c r="A2263" s="31"/>
      <c r="B2263" s="30"/>
      <c r="C2263" s="30"/>
    </row>
    <row r="2264" spans="1:3" x14ac:dyDescent="0.25">
      <c r="A2264" s="31"/>
      <c r="B2264" s="30"/>
      <c r="C2264" s="30"/>
    </row>
    <row r="2265" spans="1:3" x14ac:dyDescent="0.25">
      <c r="A2265" s="31"/>
      <c r="B2265" s="30"/>
      <c r="C2265" s="30"/>
    </row>
    <row r="2266" spans="1:3" x14ac:dyDescent="0.25">
      <c r="A2266" s="31"/>
      <c r="B2266" s="30"/>
      <c r="C2266" s="30"/>
    </row>
    <row r="2267" spans="1:3" x14ac:dyDescent="0.25">
      <c r="A2267" s="31"/>
      <c r="B2267" s="30"/>
      <c r="C2267" s="30"/>
    </row>
    <row r="2268" spans="1:3" x14ac:dyDescent="0.25">
      <c r="A2268" s="31"/>
      <c r="B2268" s="30"/>
      <c r="C2268" s="30"/>
    </row>
    <row r="2269" spans="1:3" x14ac:dyDescent="0.25">
      <c r="A2269" s="31"/>
      <c r="B2269" s="30"/>
      <c r="C2269" s="30"/>
    </row>
    <row r="2270" spans="1:3" x14ac:dyDescent="0.25">
      <c r="A2270" s="31"/>
      <c r="B2270" s="30"/>
      <c r="C2270" s="30"/>
    </row>
    <row r="2271" spans="1:3" x14ac:dyDescent="0.25">
      <c r="A2271" s="31"/>
      <c r="B2271" s="30"/>
      <c r="C2271" s="30"/>
    </row>
    <row r="2272" spans="1:3" x14ac:dyDescent="0.25">
      <c r="A2272" s="31"/>
      <c r="B2272" s="30"/>
      <c r="C2272" s="30"/>
    </row>
    <row r="2273" spans="1:3" x14ac:dyDescent="0.25">
      <c r="A2273" s="31"/>
      <c r="B2273" s="30"/>
      <c r="C2273" s="30"/>
    </row>
    <row r="2274" spans="1:3" x14ac:dyDescent="0.25">
      <c r="A2274" s="31"/>
      <c r="B2274" s="30"/>
      <c r="C2274" s="30"/>
    </row>
    <row r="2275" spans="1:3" x14ac:dyDescent="0.25">
      <c r="A2275" s="31"/>
      <c r="B2275" s="30"/>
      <c r="C2275" s="30"/>
    </row>
    <row r="2276" spans="1:3" x14ac:dyDescent="0.25">
      <c r="A2276" s="31"/>
      <c r="B2276" s="30"/>
      <c r="C2276" s="30"/>
    </row>
    <row r="2277" spans="1:3" x14ac:dyDescent="0.25">
      <c r="A2277" s="31"/>
      <c r="B2277" s="30"/>
      <c r="C2277" s="30"/>
    </row>
    <row r="2278" spans="1:3" x14ac:dyDescent="0.25">
      <c r="A2278" s="31"/>
      <c r="B2278" s="30"/>
      <c r="C2278" s="30"/>
    </row>
    <row r="2279" spans="1:3" x14ac:dyDescent="0.25">
      <c r="A2279" s="31"/>
      <c r="B2279" s="30"/>
      <c r="C2279" s="30"/>
    </row>
    <row r="2280" spans="1:3" x14ac:dyDescent="0.25">
      <c r="A2280" s="31"/>
      <c r="B2280" s="30"/>
      <c r="C2280" s="30"/>
    </row>
    <row r="2281" spans="1:3" x14ac:dyDescent="0.25">
      <c r="A2281" s="31"/>
      <c r="B2281" s="30"/>
      <c r="C2281" s="30"/>
    </row>
    <row r="2282" spans="1:3" x14ac:dyDescent="0.25">
      <c r="A2282" s="31"/>
      <c r="B2282" s="30"/>
      <c r="C2282" s="30"/>
    </row>
    <row r="2283" spans="1:3" x14ac:dyDescent="0.25">
      <c r="A2283" s="31"/>
      <c r="B2283" s="30"/>
      <c r="C2283" s="30"/>
    </row>
    <row r="2284" spans="1:3" x14ac:dyDescent="0.25">
      <c r="A2284" s="31"/>
      <c r="B2284" s="30"/>
      <c r="C2284" s="30"/>
    </row>
    <row r="2285" spans="1:3" x14ac:dyDescent="0.25">
      <c r="A2285" s="31"/>
      <c r="B2285" s="30"/>
      <c r="C2285" s="30"/>
    </row>
    <row r="2286" spans="1:3" x14ac:dyDescent="0.25">
      <c r="A2286" s="31"/>
      <c r="B2286" s="30"/>
      <c r="C2286" s="30"/>
    </row>
    <row r="2287" spans="1:3" x14ac:dyDescent="0.25">
      <c r="A2287" s="31"/>
      <c r="B2287" s="30"/>
      <c r="C2287" s="30"/>
    </row>
    <row r="2288" spans="1:3" x14ac:dyDescent="0.25">
      <c r="A2288" s="31"/>
      <c r="B2288" s="30"/>
      <c r="C2288" s="30"/>
    </row>
    <row r="2289" spans="1:3" x14ac:dyDescent="0.25">
      <c r="A2289" s="31"/>
      <c r="B2289" s="30"/>
      <c r="C2289" s="30"/>
    </row>
    <row r="2290" spans="1:3" x14ac:dyDescent="0.25">
      <c r="A2290" s="31"/>
      <c r="B2290" s="30"/>
      <c r="C2290" s="30"/>
    </row>
    <row r="2291" spans="1:3" x14ac:dyDescent="0.25">
      <c r="A2291" s="31"/>
      <c r="B2291" s="30"/>
      <c r="C2291" s="30"/>
    </row>
    <row r="2292" spans="1:3" x14ac:dyDescent="0.25">
      <c r="A2292" s="31"/>
      <c r="B2292" s="30"/>
      <c r="C2292" s="30"/>
    </row>
    <row r="2293" spans="1:3" x14ac:dyDescent="0.25">
      <c r="A2293" s="31"/>
      <c r="B2293" s="30"/>
      <c r="C2293" s="30"/>
    </row>
    <row r="2294" spans="1:3" x14ac:dyDescent="0.25">
      <c r="A2294" s="31"/>
      <c r="B2294" s="30"/>
      <c r="C2294" s="30"/>
    </row>
    <row r="2295" spans="1:3" x14ac:dyDescent="0.25">
      <c r="A2295" s="31"/>
      <c r="B2295" s="30"/>
      <c r="C2295" s="30"/>
    </row>
    <row r="2296" spans="1:3" x14ac:dyDescent="0.25">
      <c r="A2296" s="31"/>
      <c r="B2296" s="30"/>
      <c r="C2296" s="30"/>
    </row>
    <row r="2297" spans="1:3" x14ac:dyDescent="0.25">
      <c r="A2297" s="31"/>
      <c r="B2297" s="30"/>
      <c r="C2297" s="30"/>
    </row>
    <row r="2298" spans="1:3" x14ac:dyDescent="0.25">
      <c r="A2298" s="31"/>
      <c r="B2298" s="30"/>
      <c r="C2298" s="30"/>
    </row>
    <row r="2299" spans="1:3" x14ac:dyDescent="0.25">
      <c r="A2299" s="31"/>
      <c r="B2299" s="30"/>
      <c r="C2299" s="30"/>
    </row>
    <row r="2300" spans="1:3" x14ac:dyDescent="0.25">
      <c r="A2300" s="31"/>
      <c r="B2300" s="30"/>
      <c r="C2300" s="30"/>
    </row>
    <row r="2301" spans="1:3" x14ac:dyDescent="0.25">
      <c r="A2301" s="31"/>
      <c r="B2301" s="30"/>
      <c r="C2301" s="30"/>
    </row>
    <row r="2302" spans="1:3" x14ac:dyDescent="0.25">
      <c r="A2302" s="31"/>
      <c r="B2302" s="30"/>
      <c r="C2302" s="30"/>
    </row>
    <row r="2303" spans="1:3" x14ac:dyDescent="0.25">
      <c r="A2303" s="31"/>
      <c r="B2303" s="30"/>
      <c r="C2303" s="30"/>
    </row>
    <row r="2304" spans="1:3" x14ac:dyDescent="0.25">
      <c r="A2304" s="31"/>
      <c r="B2304" s="30"/>
      <c r="C2304" s="30"/>
    </row>
    <row r="2305" spans="1:3" x14ac:dyDescent="0.25">
      <c r="A2305" s="31"/>
      <c r="B2305" s="30"/>
      <c r="C2305" s="30"/>
    </row>
    <row r="2306" spans="1:3" x14ac:dyDescent="0.25">
      <c r="A2306" s="31"/>
      <c r="B2306" s="30"/>
      <c r="C2306" s="30"/>
    </row>
    <row r="2307" spans="1:3" x14ac:dyDescent="0.25">
      <c r="A2307" s="31"/>
      <c r="B2307" s="30"/>
      <c r="C2307" s="30"/>
    </row>
    <row r="2308" spans="1:3" x14ac:dyDescent="0.25">
      <c r="A2308" s="31"/>
      <c r="B2308" s="30"/>
      <c r="C2308" s="30"/>
    </row>
    <row r="2309" spans="1:3" x14ac:dyDescent="0.25">
      <c r="A2309" s="31"/>
      <c r="B2309" s="30"/>
      <c r="C2309" s="30"/>
    </row>
    <row r="2310" spans="1:3" x14ac:dyDescent="0.25">
      <c r="A2310" s="31"/>
      <c r="B2310" s="30"/>
      <c r="C2310" s="30"/>
    </row>
    <row r="2311" spans="1:3" x14ac:dyDescent="0.25">
      <c r="A2311" s="31"/>
      <c r="B2311" s="30"/>
      <c r="C2311" s="30"/>
    </row>
    <row r="2312" spans="1:3" x14ac:dyDescent="0.25">
      <c r="A2312" s="31"/>
      <c r="B2312" s="30"/>
      <c r="C2312" s="30"/>
    </row>
    <row r="2313" spans="1:3" x14ac:dyDescent="0.25">
      <c r="A2313" s="31"/>
      <c r="B2313" s="30"/>
      <c r="C2313" s="30"/>
    </row>
    <row r="2314" spans="1:3" x14ac:dyDescent="0.25">
      <c r="A2314" s="31"/>
      <c r="B2314" s="30"/>
      <c r="C2314" s="30"/>
    </row>
    <row r="2315" spans="1:3" x14ac:dyDescent="0.25">
      <c r="A2315" s="31"/>
      <c r="B2315" s="30"/>
      <c r="C2315" s="30"/>
    </row>
    <row r="2316" spans="1:3" x14ac:dyDescent="0.25">
      <c r="A2316" s="31"/>
      <c r="B2316" s="30"/>
      <c r="C2316" s="30"/>
    </row>
    <row r="2317" spans="1:3" x14ac:dyDescent="0.25">
      <c r="A2317" s="31"/>
      <c r="B2317" s="30"/>
      <c r="C2317" s="30"/>
    </row>
    <row r="2318" spans="1:3" x14ac:dyDescent="0.25">
      <c r="A2318" s="31"/>
      <c r="B2318" s="30"/>
      <c r="C2318" s="30"/>
    </row>
    <row r="2319" spans="1:3" x14ac:dyDescent="0.25">
      <c r="A2319" s="31"/>
      <c r="B2319" s="30"/>
      <c r="C2319" s="30"/>
    </row>
    <row r="2320" spans="1:3" x14ac:dyDescent="0.25">
      <c r="A2320" s="31"/>
      <c r="B2320" s="30"/>
      <c r="C2320" s="30"/>
    </row>
    <row r="2321" spans="1:3" x14ac:dyDescent="0.25">
      <c r="A2321" s="31"/>
      <c r="B2321" s="30"/>
      <c r="C2321" s="30"/>
    </row>
    <row r="2322" spans="1:3" x14ac:dyDescent="0.25">
      <c r="A2322" s="31"/>
      <c r="B2322" s="30"/>
      <c r="C2322" s="30"/>
    </row>
    <row r="2323" spans="1:3" x14ac:dyDescent="0.25">
      <c r="A2323" s="31"/>
      <c r="B2323" s="30"/>
      <c r="C2323" s="30"/>
    </row>
    <row r="2324" spans="1:3" x14ac:dyDescent="0.25">
      <c r="A2324" s="31"/>
      <c r="B2324" s="30"/>
      <c r="C2324" s="30"/>
    </row>
    <row r="2325" spans="1:3" x14ac:dyDescent="0.25">
      <c r="A2325" s="31"/>
      <c r="B2325" s="30"/>
      <c r="C2325" s="30"/>
    </row>
    <row r="2326" spans="1:3" x14ac:dyDescent="0.25">
      <c r="A2326" s="31"/>
      <c r="B2326" s="30"/>
      <c r="C2326" s="30"/>
    </row>
    <row r="2327" spans="1:3" x14ac:dyDescent="0.25">
      <c r="A2327" s="31"/>
      <c r="B2327" s="30"/>
      <c r="C2327" s="30"/>
    </row>
    <row r="2328" spans="1:3" x14ac:dyDescent="0.25">
      <c r="A2328" s="31"/>
      <c r="B2328" s="30"/>
      <c r="C2328" s="30"/>
    </row>
    <row r="2329" spans="1:3" x14ac:dyDescent="0.25">
      <c r="A2329" s="31"/>
      <c r="B2329" s="30"/>
      <c r="C2329" s="30"/>
    </row>
    <row r="2330" spans="1:3" x14ac:dyDescent="0.25">
      <c r="A2330" s="31"/>
      <c r="B2330" s="30"/>
      <c r="C2330" s="30"/>
    </row>
    <row r="2331" spans="1:3" x14ac:dyDescent="0.25">
      <c r="A2331" s="31"/>
      <c r="B2331" s="30"/>
      <c r="C2331" s="30"/>
    </row>
    <row r="2332" spans="1:3" x14ac:dyDescent="0.25">
      <c r="A2332" s="31"/>
      <c r="B2332" s="30"/>
      <c r="C2332" s="30"/>
    </row>
    <row r="2333" spans="1:3" x14ac:dyDescent="0.25">
      <c r="A2333" s="31"/>
      <c r="B2333" s="30"/>
      <c r="C2333" s="30"/>
    </row>
    <row r="2334" spans="1:3" x14ac:dyDescent="0.25">
      <c r="A2334" s="31"/>
      <c r="B2334" s="30"/>
      <c r="C2334" s="30"/>
    </row>
    <row r="2335" spans="1:3" x14ac:dyDescent="0.25">
      <c r="A2335" s="31"/>
      <c r="B2335" s="30"/>
      <c r="C2335" s="30"/>
    </row>
    <row r="2336" spans="1:3" x14ac:dyDescent="0.25">
      <c r="A2336" s="31"/>
      <c r="B2336" s="30"/>
      <c r="C2336" s="30"/>
    </row>
    <row r="2337" spans="1:3" x14ac:dyDescent="0.25">
      <c r="A2337" s="31"/>
      <c r="B2337" s="30"/>
      <c r="C2337" s="30"/>
    </row>
    <row r="2338" spans="1:3" x14ac:dyDescent="0.25">
      <c r="A2338" s="31"/>
      <c r="B2338" s="30"/>
      <c r="C2338" s="30"/>
    </row>
    <row r="2339" spans="1:3" x14ac:dyDescent="0.25">
      <c r="A2339" s="31"/>
      <c r="B2339" s="30"/>
      <c r="C2339" s="30"/>
    </row>
    <row r="2340" spans="1:3" x14ac:dyDescent="0.25">
      <c r="A2340" s="31"/>
      <c r="B2340" s="30"/>
      <c r="C2340" s="30"/>
    </row>
    <row r="2341" spans="1:3" x14ac:dyDescent="0.25">
      <c r="A2341" s="31"/>
      <c r="B2341" s="30"/>
      <c r="C2341" s="30"/>
    </row>
    <row r="2342" spans="1:3" x14ac:dyDescent="0.25">
      <c r="A2342" s="31"/>
      <c r="B2342" s="30"/>
      <c r="C2342" s="30"/>
    </row>
    <row r="2343" spans="1:3" x14ac:dyDescent="0.25">
      <c r="A2343" s="31"/>
      <c r="B2343" s="30"/>
      <c r="C2343" s="30"/>
    </row>
    <row r="2344" spans="1:3" x14ac:dyDescent="0.25">
      <c r="A2344" s="31"/>
      <c r="B2344" s="30"/>
      <c r="C2344" s="30"/>
    </row>
    <row r="2345" spans="1:3" x14ac:dyDescent="0.25">
      <c r="A2345" s="31"/>
      <c r="B2345" s="30"/>
      <c r="C2345" s="30"/>
    </row>
    <row r="2346" spans="1:3" x14ac:dyDescent="0.25">
      <c r="A2346" s="31"/>
      <c r="B2346" s="30"/>
      <c r="C2346" s="30"/>
    </row>
    <row r="2347" spans="1:3" x14ac:dyDescent="0.25">
      <c r="A2347" s="31"/>
      <c r="B2347" s="30"/>
      <c r="C2347" s="30"/>
    </row>
    <row r="2348" spans="1:3" x14ac:dyDescent="0.25">
      <c r="A2348" s="31"/>
      <c r="B2348" s="30"/>
      <c r="C2348" s="30"/>
    </row>
    <row r="2349" spans="1:3" x14ac:dyDescent="0.25">
      <c r="A2349" s="31"/>
      <c r="B2349" s="30"/>
      <c r="C2349" s="30"/>
    </row>
    <row r="2350" spans="1:3" x14ac:dyDescent="0.25">
      <c r="A2350" s="31"/>
      <c r="B2350" s="30"/>
      <c r="C2350" s="30"/>
    </row>
    <row r="2351" spans="1:3" x14ac:dyDescent="0.25">
      <c r="A2351" s="31"/>
      <c r="B2351" s="30"/>
      <c r="C2351" s="30"/>
    </row>
    <row r="2352" spans="1:3" x14ac:dyDescent="0.25">
      <c r="A2352" s="31"/>
      <c r="B2352" s="30"/>
      <c r="C2352" s="30"/>
    </row>
    <row r="2353" spans="1:3" x14ac:dyDescent="0.25">
      <c r="A2353" s="31"/>
      <c r="B2353" s="30"/>
      <c r="C2353" s="30"/>
    </row>
    <row r="2354" spans="1:3" x14ac:dyDescent="0.25">
      <c r="A2354" s="31"/>
      <c r="B2354" s="30"/>
      <c r="C2354" s="30"/>
    </row>
    <row r="2355" spans="1:3" x14ac:dyDescent="0.25">
      <c r="A2355" s="31"/>
      <c r="B2355" s="30"/>
      <c r="C2355" s="30"/>
    </row>
    <row r="2356" spans="1:3" x14ac:dyDescent="0.25">
      <c r="A2356" s="31"/>
      <c r="B2356" s="30"/>
      <c r="C2356" s="30"/>
    </row>
    <row r="2357" spans="1:3" x14ac:dyDescent="0.25">
      <c r="A2357" s="31"/>
      <c r="B2357" s="30"/>
      <c r="C2357" s="30"/>
    </row>
    <row r="2358" spans="1:3" x14ac:dyDescent="0.25">
      <c r="A2358" s="31"/>
      <c r="B2358" s="30"/>
      <c r="C2358" s="30"/>
    </row>
    <row r="2359" spans="1:3" x14ac:dyDescent="0.25">
      <c r="A2359" s="31"/>
      <c r="B2359" s="30"/>
      <c r="C2359" s="30"/>
    </row>
    <row r="2360" spans="1:3" x14ac:dyDescent="0.25">
      <c r="A2360" s="31"/>
      <c r="B2360" s="30"/>
      <c r="C2360" s="30"/>
    </row>
    <row r="2361" spans="1:3" x14ac:dyDescent="0.25">
      <c r="A2361" s="31"/>
      <c r="B2361" s="30"/>
      <c r="C2361" s="30"/>
    </row>
    <row r="2362" spans="1:3" x14ac:dyDescent="0.25">
      <c r="A2362" s="31"/>
      <c r="B2362" s="30"/>
      <c r="C2362" s="30"/>
    </row>
    <row r="2363" spans="1:3" x14ac:dyDescent="0.25">
      <c r="A2363" s="31"/>
      <c r="B2363" s="30"/>
      <c r="C2363" s="30"/>
    </row>
    <row r="2364" spans="1:3" x14ac:dyDescent="0.25">
      <c r="A2364" s="31"/>
      <c r="B2364" s="30"/>
      <c r="C2364" s="30"/>
    </row>
    <row r="2365" spans="1:3" x14ac:dyDescent="0.25">
      <c r="A2365" s="31"/>
      <c r="B2365" s="30"/>
      <c r="C2365" s="30"/>
    </row>
    <row r="2366" spans="1:3" x14ac:dyDescent="0.25">
      <c r="A2366" s="31"/>
      <c r="B2366" s="30"/>
      <c r="C2366" s="30"/>
    </row>
    <row r="2367" spans="1:3" x14ac:dyDescent="0.25">
      <c r="A2367" s="31"/>
      <c r="B2367" s="30"/>
      <c r="C2367" s="30"/>
    </row>
    <row r="2368" spans="1:3" x14ac:dyDescent="0.25">
      <c r="A2368" s="31"/>
      <c r="B2368" s="30"/>
      <c r="C2368" s="30"/>
    </row>
    <row r="2369" spans="1:3" x14ac:dyDescent="0.25">
      <c r="A2369" s="31"/>
      <c r="B2369" s="30"/>
      <c r="C2369" s="30"/>
    </row>
    <row r="2370" spans="1:3" x14ac:dyDescent="0.25">
      <c r="A2370" s="31"/>
      <c r="B2370" s="30"/>
      <c r="C2370" s="30"/>
    </row>
    <row r="2371" spans="1:3" x14ac:dyDescent="0.25">
      <c r="A2371" s="31"/>
      <c r="B2371" s="30"/>
      <c r="C2371" s="30"/>
    </row>
    <row r="2372" spans="1:3" x14ac:dyDescent="0.25">
      <c r="A2372" s="31"/>
      <c r="B2372" s="30"/>
      <c r="C2372" s="30"/>
    </row>
    <row r="2373" spans="1:3" x14ac:dyDescent="0.25">
      <c r="A2373" s="31"/>
      <c r="B2373" s="30"/>
      <c r="C2373" s="30"/>
    </row>
    <row r="2374" spans="1:3" x14ac:dyDescent="0.25">
      <c r="A2374" s="31"/>
      <c r="B2374" s="30"/>
      <c r="C2374" s="30"/>
    </row>
    <row r="2375" spans="1:3" x14ac:dyDescent="0.25">
      <c r="A2375" s="31"/>
      <c r="B2375" s="30"/>
      <c r="C2375" s="30"/>
    </row>
    <row r="2376" spans="1:3" x14ac:dyDescent="0.25">
      <c r="A2376" s="31"/>
      <c r="B2376" s="30"/>
      <c r="C2376" s="30"/>
    </row>
    <row r="2377" spans="1:3" x14ac:dyDescent="0.25">
      <c r="A2377" s="31"/>
      <c r="B2377" s="30"/>
      <c r="C2377" s="30"/>
    </row>
    <row r="2378" spans="1:3" x14ac:dyDescent="0.25">
      <c r="A2378" s="31"/>
      <c r="B2378" s="30"/>
      <c r="C2378" s="30"/>
    </row>
    <row r="2379" spans="1:3" x14ac:dyDescent="0.25">
      <c r="A2379" s="31"/>
      <c r="B2379" s="30"/>
      <c r="C2379" s="30"/>
    </row>
    <row r="2380" spans="1:3" x14ac:dyDescent="0.25">
      <c r="A2380" s="31"/>
      <c r="B2380" s="30"/>
      <c r="C2380" s="30"/>
    </row>
    <row r="2381" spans="1:3" x14ac:dyDescent="0.25">
      <c r="A2381" s="31"/>
      <c r="B2381" s="30"/>
      <c r="C2381" s="30"/>
    </row>
    <row r="2382" spans="1:3" x14ac:dyDescent="0.25">
      <c r="A2382" s="31"/>
      <c r="B2382" s="30"/>
      <c r="C2382" s="30"/>
    </row>
    <row r="2383" spans="1:3" x14ac:dyDescent="0.25">
      <c r="A2383" s="31"/>
      <c r="B2383" s="30"/>
      <c r="C2383" s="30"/>
    </row>
    <row r="2384" spans="1:3" x14ac:dyDescent="0.25">
      <c r="A2384" s="31"/>
      <c r="B2384" s="30"/>
      <c r="C2384" s="30"/>
    </row>
    <row r="2385" spans="1:3" x14ac:dyDescent="0.25">
      <c r="A2385" s="31"/>
      <c r="B2385" s="30"/>
      <c r="C2385" s="30"/>
    </row>
    <row r="2386" spans="1:3" x14ac:dyDescent="0.25">
      <c r="A2386" s="31"/>
      <c r="B2386" s="30"/>
      <c r="C2386" s="30"/>
    </row>
    <row r="2387" spans="1:3" x14ac:dyDescent="0.25">
      <c r="A2387" s="31"/>
      <c r="B2387" s="30"/>
      <c r="C2387" s="30"/>
    </row>
    <row r="2388" spans="1:3" x14ac:dyDescent="0.25">
      <c r="A2388" s="31"/>
      <c r="B2388" s="30"/>
      <c r="C2388" s="30"/>
    </row>
    <row r="2389" spans="1:3" x14ac:dyDescent="0.25">
      <c r="A2389" s="31"/>
      <c r="B2389" s="30"/>
      <c r="C2389" s="30"/>
    </row>
    <row r="2390" spans="1:3" x14ac:dyDescent="0.25">
      <c r="A2390" s="31"/>
      <c r="B2390" s="30"/>
      <c r="C2390" s="30"/>
    </row>
    <row r="2391" spans="1:3" x14ac:dyDescent="0.25">
      <c r="A2391" s="31"/>
      <c r="B2391" s="30"/>
      <c r="C2391" s="30"/>
    </row>
    <row r="2392" spans="1:3" x14ac:dyDescent="0.25">
      <c r="A2392" s="31"/>
      <c r="B2392" s="30"/>
      <c r="C2392" s="30"/>
    </row>
    <row r="2393" spans="1:3" x14ac:dyDescent="0.25">
      <c r="A2393" s="31"/>
      <c r="B2393" s="30"/>
      <c r="C2393" s="30"/>
    </row>
    <row r="2394" spans="1:3" x14ac:dyDescent="0.25">
      <c r="A2394" s="31"/>
      <c r="B2394" s="30"/>
      <c r="C2394" s="30"/>
    </row>
    <row r="2395" spans="1:3" x14ac:dyDescent="0.25">
      <c r="A2395" s="31"/>
      <c r="B2395" s="30"/>
      <c r="C2395" s="30"/>
    </row>
    <row r="2396" spans="1:3" x14ac:dyDescent="0.25">
      <c r="A2396" s="31"/>
      <c r="B2396" s="30"/>
      <c r="C2396" s="30"/>
    </row>
    <row r="2397" spans="1:3" x14ac:dyDescent="0.25">
      <c r="A2397" s="31"/>
      <c r="B2397" s="30"/>
      <c r="C2397" s="30"/>
    </row>
    <row r="2398" spans="1:3" x14ac:dyDescent="0.25">
      <c r="A2398" s="31"/>
      <c r="B2398" s="30"/>
      <c r="C2398" s="30"/>
    </row>
    <row r="2399" spans="1:3" x14ac:dyDescent="0.25">
      <c r="A2399" s="31"/>
      <c r="B2399" s="30"/>
      <c r="C2399" s="30"/>
    </row>
    <row r="2400" spans="1:3" x14ac:dyDescent="0.25">
      <c r="A2400" s="31"/>
      <c r="B2400" s="30"/>
      <c r="C2400" s="30"/>
    </row>
    <row r="2401" spans="1:3" x14ac:dyDescent="0.25">
      <c r="A2401" s="31"/>
      <c r="B2401" s="30"/>
      <c r="C2401" s="30"/>
    </row>
    <row r="2402" spans="1:3" x14ac:dyDescent="0.25">
      <c r="A2402" s="31"/>
      <c r="B2402" s="30"/>
      <c r="C2402" s="30"/>
    </row>
    <row r="2403" spans="1:3" x14ac:dyDescent="0.25">
      <c r="A2403" s="31"/>
      <c r="B2403" s="30"/>
      <c r="C2403" s="30"/>
    </row>
    <row r="2404" spans="1:3" x14ac:dyDescent="0.25">
      <c r="A2404" s="31"/>
      <c r="B2404" s="30"/>
      <c r="C2404" s="30"/>
    </row>
    <row r="2405" spans="1:3" x14ac:dyDescent="0.25">
      <c r="A2405" s="31"/>
      <c r="B2405" s="30"/>
      <c r="C2405" s="30"/>
    </row>
    <row r="2406" spans="1:3" x14ac:dyDescent="0.25">
      <c r="A2406" s="31"/>
      <c r="B2406" s="30"/>
      <c r="C2406" s="30"/>
    </row>
    <row r="2407" spans="1:3" x14ac:dyDescent="0.25">
      <c r="A2407" s="31"/>
      <c r="B2407" s="30"/>
      <c r="C2407" s="30"/>
    </row>
    <row r="2408" spans="1:3" x14ac:dyDescent="0.25">
      <c r="A2408" s="31"/>
      <c r="B2408" s="30"/>
      <c r="C2408" s="30"/>
    </row>
    <row r="2409" spans="1:3" x14ac:dyDescent="0.25">
      <c r="A2409" s="31"/>
      <c r="B2409" s="30"/>
      <c r="C2409" s="30"/>
    </row>
    <row r="2410" spans="1:3" x14ac:dyDescent="0.25">
      <c r="A2410" s="31"/>
      <c r="B2410" s="30"/>
      <c r="C2410" s="30"/>
    </row>
    <row r="2411" spans="1:3" x14ac:dyDescent="0.25">
      <c r="A2411" s="31"/>
      <c r="B2411" s="30"/>
      <c r="C2411" s="30"/>
    </row>
    <row r="2412" spans="1:3" x14ac:dyDescent="0.25">
      <c r="A2412" s="31"/>
      <c r="B2412" s="30"/>
      <c r="C2412" s="30"/>
    </row>
    <row r="2413" spans="1:3" x14ac:dyDescent="0.25">
      <c r="A2413" s="31"/>
      <c r="B2413" s="30"/>
      <c r="C2413" s="30"/>
    </row>
    <row r="2414" spans="1:3" x14ac:dyDescent="0.25">
      <c r="A2414" s="31"/>
      <c r="B2414" s="30"/>
      <c r="C2414" s="30"/>
    </row>
    <row r="2415" spans="1:3" x14ac:dyDescent="0.25">
      <c r="A2415" s="31"/>
      <c r="B2415" s="30"/>
      <c r="C2415" s="30"/>
    </row>
    <row r="2416" spans="1:3" x14ac:dyDescent="0.25">
      <c r="A2416" s="31"/>
      <c r="B2416" s="30"/>
      <c r="C2416" s="30"/>
    </row>
    <row r="2417" spans="1:3" x14ac:dyDescent="0.25">
      <c r="A2417" s="31"/>
      <c r="B2417" s="30"/>
      <c r="C2417" s="30"/>
    </row>
    <row r="2418" spans="1:3" x14ac:dyDescent="0.25">
      <c r="A2418" s="31"/>
      <c r="B2418" s="30"/>
      <c r="C2418" s="30"/>
    </row>
    <row r="2419" spans="1:3" x14ac:dyDescent="0.25">
      <c r="A2419" s="31"/>
      <c r="B2419" s="30"/>
      <c r="C2419" s="30"/>
    </row>
    <row r="2420" spans="1:3" x14ac:dyDescent="0.25">
      <c r="A2420" s="31"/>
      <c r="B2420" s="30"/>
      <c r="C2420" s="30"/>
    </row>
    <row r="2421" spans="1:3" x14ac:dyDescent="0.25">
      <c r="A2421" s="31"/>
      <c r="B2421" s="30"/>
      <c r="C2421" s="30"/>
    </row>
    <row r="2422" spans="1:3" x14ac:dyDescent="0.25">
      <c r="A2422" s="31"/>
      <c r="B2422" s="30"/>
      <c r="C2422" s="30"/>
    </row>
    <row r="2423" spans="1:3" x14ac:dyDescent="0.25">
      <c r="A2423" s="31"/>
      <c r="B2423" s="30"/>
      <c r="C2423" s="30"/>
    </row>
    <row r="2424" spans="1:3" x14ac:dyDescent="0.25">
      <c r="A2424" s="31"/>
      <c r="B2424" s="30"/>
      <c r="C2424" s="30"/>
    </row>
    <row r="2425" spans="1:3" x14ac:dyDescent="0.25">
      <c r="A2425" s="31"/>
      <c r="B2425" s="30"/>
      <c r="C2425" s="30"/>
    </row>
    <row r="2426" spans="1:3" x14ac:dyDescent="0.25">
      <c r="A2426" s="31"/>
      <c r="B2426" s="30"/>
      <c r="C2426" s="30"/>
    </row>
    <row r="2427" spans="1:3" x14ac:dyDescent="0.25">
      <c r="A2427" s="31"/>
      <c r="B2427" s="30"/>
      <c r="C2427" s="30"/>
    </row>
    <row r="2428" spans="1:3" x14ac:dyDescent="0.25">
      <c r="A2428" s="31"/>
      <c r="B2428" s="30"/>
      <c r="C2428" s="30"/>
    </row>
    <row r="2429" spans="1:3" x14ac:dyDescent="0.25">
      <c r="A2429" s="31"/>
      <c r="B2429" s="30"/>
      <c r="C2429" s="30"/>
    </row>
    <row r="2430" spans="1:3" x14ac:dyDescent="0.25">
      <c r="A2430" s="31"/>
      <c r="B2430" s="30"/>
      <c r="C2430" s="30"/>
    </row>
    <row r="2431" spans="1:3" x14ac:dyDescent="0.25">
      <c r="A2431" s="31"/>
      <c r="B2431" s="30"/>
      <c r="C2431" s="30"/>
    </row>
    <row r="2432" spans="1:3" x14ac:dyDescent="0.25">
      <c r="A2432" s="31"/>
      <c r="B2432" s="30"/>
      <c r="C2432" s="30"/>
    </row>
    <row r="2433" spans="1:3" x14ac:dyDescent="0.25">
      <c r="A2433" s="31"/>
      <c r="B2433" s="30"/>
      <c r="C2433" s="30"/>
    </row>
    <row r="2434" spans="1:3" x14ac:dyDescent="0.25">
      <c r="A2434" s="31"/>
      <c r="B2434" s="30"/>
      <c r="C2434" s="30"/>
    </row>
    <row r="2435" spans="1:3" x14ac:dyDescent="0.25">
      <c r="A2435" s="31"/>
      <c r="B2435" s="30"/>
      <c r="C2435" s="30"/>
    </row>
    <row r="2436" spans="1:3" x14ac:dyDescent="0.25">
      <c r="A2436" s="31"/>
      <c r="B2436" s="30"/>
      <c r="C2436" s="30"/>
    </row>
    <row r="2437" spans="1:3" x14ac:dyDescent="0.25">
      <c r="A2437" s="31"/>
      <c r="B2437" s="30"/>
      <c r="C2437" s="30"/>
    </row>
    <row r="2438" spans="1:3" x14ac:dyDescent="0.25">
      <c r="A2438" s="31"/>
      <c r="B2438" s="30"/>
      <c r="C2438" s="30"/>
    </row>
    <row r="2439" spans="1:3" x14ac:dyDescent="0.25">
      <c r="A2439" s="31"/>
      <c r="B2439" s="30"/>
      <c r="C2439" s="30"/>
    </row>
    <row r="2440" spans="1:3" x14ac:dyDescent="0.25">
      <c r="A2440" s="31"/>
      <c r="B2440" s="30"/>
      <c r="C2440" s="30"/>
    </row>
    <row r="2441" spans="1:3" x14ac:dyDescent="0.25">
      <c r="A2441" s="31"/>
      <c r="B2441" s="30"/>
      <c r="C2441" s="30"/>
    </row>
    <row r="2442" spans="1:3" x14ac:dyDescent="0.25">
      <c r="A2442" s="31"/>
      <c r="B2442" s="30"/>
      <c r="C2442" s="30"/>
    </row>
    <row r="2443" spans="1:3" x14ac:dyDescent="0.25">
      <c r="A2443" s="31"/>
      <c r="B2443" s="30"/>
      <c r="C2443" s="30"/>
    </row>
    <row r="2444" spans="1:3" x14ac:dyDescent="0.25">
      <c r="A2444" s="31"/>
      <c r="B2444" s="30"/>
      <c r="C2444" s="30"/>
    </row>
    <row r="2445" spans="1:3" x14ac:dyDescent="0.25">
      <c r="A2445" s="31"/>
      <c r="B2445" s="30"/>
      <c r="C2445" s="30"/>
    </row>
    <row r="2446" spans="1:3" x14ac:dyDescent="0.25">
      <c r="A2446" s="31"/>
      <c r="B2446" s="30"/>
      <c r="C2446" s="30"/>
    </row>
    <row r="2447" spans="1:3" x14ac:dyDescent="0.25">
      <c r="A2447" s="31"/>
      <c r="B2447" s="30"/>
      <c r="C2447" s="30"/>
    </row>
    <row r="2448" spans="1:3" x14ac:dyDescent="0.25">
      <c r="A2448" s="31"/>
      <c r="B2448" s="30"/>
      <c r="C2448" s="30"/>
    </row>
    <row r="2449" spans="1:3" x14ac:dyDescent="0.25">
      <c r="A2449" s="31"/>
      <c r="B2449" s="30"/>
      <c r="C2449" s="30"/>
    </row>
    <row r="2450" spans="1:3" x14ac:dyDescent="0.25">
      <c r="A2450" s="31"/>
      <c r="B2450" s="30"/>
      <c r="C2450" s="30"/>
    </row>
    <row r="2451" spans="1:3" x14ac:dyDescent="0.25">
      <c r="A2451" s="31"/>
      <c r="B2451" s="30"/>
      <c r="C2451" s="30"/>
    </row>
    <row r="2452" spans="1:3" x14ac:dyDescent="0.25">
      <c r="A2452" s="31"/>
      <c r="B2452" s="30"/>
      <c r="C2452" s="30"/>
    </row>
    <row r="2453" spans="1:3" x14ac:dyDescent="0.25">
      <c r="A2453" s="31"/>
      <c r="B2453" s="30"/>
      <c r="C2453" s="30"/>
    </row>
    <row r="2454" spans="1:3" x14ac:dyDescent="0.25">
      <c r="A2454" s="31"/>
      <c r="B2454" s="30"/>
      <c r="C2454" s="30"/>
    </row>
    <row r="2455" spans="1:3" x14ac:dyDescent="0.25">
      <c r="A2455" s="31"/>
      <c r="B2455" s="30"/>
      <c r="C2455" s="30"/>
    </row>
    <row r="2456" spans="1:3" x14ac:dyDescent="0.25">
      <c r="A2456" s="31"/>
      <c r="B2456" s="30"/>
      <c r="C2456" s="30"/>
    </row>
    <row r="2457" spans="1:3" x14ac:dyDescent="0.25">
      <c r="A2457" s="31"/>
      <c r="B2457" s="30"/>
      <c r="C2457" s="30"/>
    </row>
    <row r="2458" spans="1:3" x14ac:dyDescent="0.25">
      <c r="A2458" s="31"/>
      <c r="B2458" s="30"/>
      <c r="C2458" s="30"/>
    </row>
    <row r="2459" spans="1:3" x14ac:dyDescent="0.25">
      <c r="A2459" s="31"/>
      <c r="B2459" s="30"/>
      <c r="C2459" s="30"/>
    </row>
    <row r="2460" spans="1:3" x14ac:dyDescent="0.25">
      <c r="A2460" s="31"/>
      <c r="B2460" s="30"/>
      <c r="C2460" s="30"/>
    </row>
    <row r="2461" spans="1:3" x14ac:dyDescent="0.25">
      <c r="A2461" s="31"/>
      <c r="B2461" s="30"/>
      <c r="C2461" s="30"/>
    </row>
    <row r="2462" spans="1:3" x14ac:dyDescent="0.25">
      <c r="A2462" s="31"/>
      <c r="B2462" s="30"/>
      <c r="C2462" s="30"/>
    </row>
    <row r="2463" spans="1:3" x14ac:dyDescent="0.25">
      <c r="A2463" s="31"/>
      <c r="B2463" s="30"/>
      <c r="C2463" s="30"/>
    </row>
    <row r="2464" spans="1:3" x14ac:dyDescent="0.25">
      <c r="A2464" s="31"/>
      <c r="B2464" s="30"/>
      <c r="C2464" s="30"/>
    </row>
    <row r="2465" spans="1:3" x14ac:dyDescent="0.25">
      <c r="A2465" s="31"/>
      <c r="B2465" s="30"/>
      <c r="C2465" s="30"/>
    </row>
    <row r="2466" spans="1:3" x14ac:dyDescent="0.25">
      <c r="A2466" s="31"/>
      <c r="B2466" s="30"/>
      <c r="C2466" s="30"/>
    </row>
    <row r="2467" spans="1:3" x14ac:dyDescent="0.25">
      <c r="A2467" s="31"/>
      <c r="B2467" s="30"/>
      <c r="C2467" s="30"/>
    </row>
    <row r="2468" spans="1:3" x14ac:dyDescent="0.25">
      <c r="A2468" s="31"/>
      <c r="B2468" s="30"/>
      <c r="C2468" s="30"/>
    </row>
    <row r="2469" spans="1:3" x14ac:dyDescent="0.25">
      <c r="A2469" s="31"/>
      <c r="B2469" s="30"/>
      <c r="C2469" s="30"/>
    </row>
    <row r="2470" spans="1:3" x14ac:dyDescent="0.25">
      <c r="A2470" s="31"/>
      <c r="B2470" s="30"/>
      <c r="C2470" s="30"/>
    </row>
    <row r="2471" spans="1:3" x14ac:dyDescent="0.25">
      <c r="A2471" s="31"/>
      <c r="B2471" s="30"/>
      <c r="C2471" s="30"/>
    </row>
    <row r="2472" spans="1:3" x14ac:dyDescent="0.25">
      <c r="A2472" s="31"/>
      <c r="B2472" s="30"/>
      <c r="C2472" s="30"/>
    </row>
    <row r="2473" spans="1:3" x14ac:dyDescent="0.25">
      <c r="A2473" s="31"/>
      <c r="B2473" s="30"/>
      <c r="C2473" s="30"/>
    </row>
    <row r="2474" spans="1:3" x14ac:dyDescent="0.25">
      <c r="A2474" s="31"/>
      <c r="B2474" s="30"/>
      <c r="C2474" s="30"/>
    </row>
    <row r="2475" spans="1:3" x14ac:dyDescent="0.25">
      <c r="A2475" s="31"/>
      <c r="B2475" s="30"/>
      <c r="C2475" s="30"/>
    </row>
    <row r="2476" spans="1:3" x14ac:dyDescent="0.25">
      <c r="A2476" s="31"/>
      <c r="B2476" s="30"/>
      <c r="C2476" s="30"/>
    </row>
    <row r="2477" spans="1:3" x14ac:dyDescent="0.25">
      <c r="A2477" s="31"/>
      <c r="B2477" s="30"/>
      <c r="C2477" s="30"/>
    </row>
    <row r="2478" spans="1:3" x14ac:dyDescent="0.25">
      <c r="A2478" s="31"/>
      <c r="B2478" s="30"/>
      <c r="C2478" s="30"/>
    </row>
    <row r="2479" spans="1:3" x14ac:dyDescent="0.25">
      <c r="A2479" s="31"/>
      <c r="B2479" s="30"/>
      <c r="C2479" s="30"/>
    </row>
    <row r="2480" spans="1:3" x14ac:dyDescent="0.25">
      <c r="A2480" s="31"/>
      <c r="B2480" s="30"/>
      <c r="C2480" s="30"/>
    </row>
    <row r="2481" spans="1:3" x14ac:dyDescent="0.25">
      <c r="A2481" s="31"/>
      <c r="B2481" s="30"/>
      <c r="C2481" s="30"/>
    </row>
    <row r="2482" spans="1:3" x14ac:dyDescent="0.25">
      <c r="A2482" s="31"/>
      <c r="B2482" s="30"/>
      <c r="C2482" s="30"/>
    </row>
    <row r="2483" spans="1:3" x14ac:dyDescent="0.25">
      <c r="A2483" s="31"/>
      <c r="B2483" s="30"/>
      <c r="C2483" s="30"/>
    </row>
    <row r="2484" spans="1:3" x14ac:dyDescent="0.25">
      <c r="A2484" s="31"/>
      <c r="B2484" s="30"/>
      <c r="C2484" s="30"/>
    </row>
    <row r="2485" spans="1:3" x14ac:dyDescent="0.25">
      <c r="A2485" s="31"/>
      <c r="B2485" s="30"/>
      <c r="C2485" s="30"/>
    </row>
    <row r="2486" spans="1:3" x14ac:dyDescent="0.25">
      <c r="A2486" s="31"/>
      <c r="B2486" s="30"/>
      <c r="C2486" s="30"/>
    </row>
    <row r="2487" spans="1:3" x14ac:dyDescent="0.25">
      <c r="A2487" s="31"/>
      <c r="B2487" s="30"/>
      <c r="C2487" s="30"/>
    </row>
    <row r="2488" spans="1:3" x14ac:dyDescent="0.25">
      <c r="A2488" s="31"/>
      <c r="B2488" s="30"/>
      <c r="C2488" s="30"/>
    </row>
    <row r="2489" spans="1:3" x14ac:dyDescent="0.25">
      <c r="A2489" s="31"/>
      <c r="B2489" s="30"/>
      <c r="C2489" s="30"/>
    </row>
    <row r="2490" spans="1:3" x14ac:dyDescent="0.25">
      <c r="A2490" s="31"/>
      <c r="B2490" s="30"/>
      <c r="C2490" s="30"/>
    </row>
    <row r="2491" spans="1:3" x14ac:dyDescent="0.25">
      <c r="A2491" s="31"/>
      <c r="B2491" s="30"/>
      <c r="C2491" s="30"/>
    </row>
    <row r="2492" spans="1:3" x14ac:dyDescent="0.25">
      <c r="A2492" s="31"/>
      <c r="B2492" s="30"/>
      <c r="C2492" s="30"/>
    </row>
    <row r="2493" spans="1:3" x14ac:dyDescent="0.25">
      <c r="A2493" s="31"/>
      <c r="B2493" s="30"/>
      <c r="C2493" s="30"/>
    </row>
    <row r="2494" spans="1:3" x14ac:dyDescent="0.25">
      <c r="A2494" s="31"/>
      <c r="B2494" s="30"/>
      <c r="C2494" s="30"/>
    </row>
    <row r="2495" spans="1:3" x14ac:dyDescent="0.25">
      <c r="A2495" s="31"/>
      <c r="B2495" s="30"/>
      <c r="C2495" s="30"/>
    </row>
    <row r="2496" spans="1:3" x14ac:dyDescent="0.25">
      <c r="A2496" s="31"/>
      <c r="B2496" s="30"/>
      <c r="C2496" s="30"/>
    </row>
    <row r="2497" spans="1:3" x14ac:dyDescent="0.25">
      <c r="A2497" s="31"/>
      <c r="B2497" s="30"/>
      <c r="C2497" s="30"/>
    </row>
    <row r="2498" spans="1:3" x14ac:dyDescent="0.25">
      <c r="A2498" s="31"/>
      <c r="B2498" s="30"/>
      <c r="C2498" s="30"/>
    </row>
    <row r="2499" spans="1:3" x14ac:dyDescent="0.25">
      <c r="A2499" s="31"/>
      <c r="B2499" s="30"/>
      <c r="C2499" s="30"/>
    </row>
    <row r="2500" spans="1:3" x14ac:dyDescent="0.25">
      <c r="A2500" s="31"/>
      <c r="B2500" s="30"/>
      <c r="C2500" s="30"/>
    </row>
    <row r="2501" spans="1:3" x14ac:dyDescent="0.25">
      <c r="A2501" s="31"/>
      <c r="B2501" s="30"/>
      <c r="C2501" s="30"/>
    </row>
    <row r="2502" spans="1:3" x14ac:dyDescent="0.25">
      <c r="A2502" s="31"/>
      <c r="B2502" s="30"/>
      <c r="C2502" s="30"/>
    </row>
    <row r="2503" spans="1:3" x14ac:dyDescent="0.25">
      <c r="A2503" s="31"/>
      <c r="B2503" s="30"/>
      <c r="C2503" s="30"/>
    </row>
    <row r="2504" spans="1:3" x14ac:dyDescent="0.25">
      <c r="A2504" s="31"/>
      <c r="B2504" s="30"/>
      <c r="C2504" s="30"/>
    </row>
    <row r="2505" spans="1:3" x14ac:dyDescent="0.25">
      <c r="A2505" s="31"/>
      <c r="B2505" s="30"/>
      <c r="C2505" s="30"/>
    </row>
    <row r="2506" spans="1:3" x14ac:dyDescent="0.25">
      <c r="A2506" s="31"/>
      <c r="B2506" s="30"/>
      <c r="C2506" s="30"/>
    </row>
    <row r="2507" spans="1:3" x14ac:dyDescent="0.25">
      <c r="A2507" s="31"/>
      <c r="B2507" s="30"/>
      <c r="C2507" s="30"/>
    </row>
    <row r="2508" spans="1:3" x14ac:dyDescent="0.25">
      <c r="A2508" s="31"/>
      <c r="B2508" s="30"/>
      <c r="C2508" s="30"/>
    </row>
    <row r="2509" spans="1:3" x14ac:dyDescent="0.25">
      <c r="A2509" s="31"/>
      <c r="B2509" s="30"/>
      <c r="C2509" s="30"/>
    </row>
    <row r="2510" spans="1:3" x14ac:dyDescent="0.25">
      <c r="A2510" s="31"/>
      <c r="B2510" s="30"/>
      <c r="C2510" s="30"/>
    </row>
    <row r="2511" spans="1:3" x14ac:dyDescent="0.25">
      <c r="A2511" s="31"/>
      <c r="B2511" s="30"/>
      <c r="C2511" s="30"/>
    </row>
    <row r="2512" spans="1:3" x14ac:dyDescent="0.25">
      <c r="A2512" s="31"/>
      <c r="B2512" s="30"/>
      <c r="C2512" s="30"/>
    </row>
    <row r="2513" spans="1:3" x14ac:dyDescent="0.25">
      <c r="A2513" s="31"/>
      <c r="B2513" s="30"/>
      <c r="C2513" s="30"/>
    </row>
    <row r="2514" spans="1:3" x14ac:dyDescent="0.25">
      <c r="A2514" s="31"/>
      <c r="B2514" s="30"/>
      <c r="C2514" s="30"/>
    </row>
    <row r="2515" spans="1:3" x14ac:dyDescent="0.25">
      <c r="A2515" s="31"/>
      <c r="B2515" s="30"/>
      <c r="C2515" s="30"/>
    </row>
    <row r="2516" spans="1:3" x14ac:dyDescent="0.25">
      <c r="A2516" s="31"/>
      <c r="B2516" s="30"/>
      <c r="C2516" s="30"/>
    </row>
    <row r="2517" spans="1:3" x14ac:dyDescent="0.25">
      <c r="A2517" s="31"/>
      <c r="B2517" s="30"/>
      <c r="C2517" s="30"/>
    </row>
    <row r="2518" spans="1:3" x14ac:dyDescent="0.25">
      <c r="A2518" s="31"/>
      <c r="B2518" s="30"/>
      <c r="C2518" s="30"/>
    </row>
    <row r="2519" spans="1:3" x14ac:dyDescent="0.25">
      <c r="A2519" s="31"/>
      <c r="B2519" s="30"/>
      <c r="C2519" s="30"/>
    </row>
    <row r="2520" spans="1:3" x14ac:dyDescent="0.25">
      <c r="A2520" s="31"/>
      <c r="B2520" s="30"/>
      <c r="C2520" s="30"/>
    </row>
    <row r="2521" spans="1:3" x14ac:dyDescent="0.25">
      <c r="A2521" s="31"/>
      <c r="B2521" s="30"/>
      <c r="C2521" s="30"/>
    </row>
    <row r="2522" spans="1:3" x14ac:dyDescent="0.25">
      <c r="A2522" s="31"/>
      <c r="B2522" s="30"/>
      <c r="C2522" s="30"/>
    </row>
    <row r="2523" spans="1:3" x14ac:dyDescent="0.25">
      <c r="A2523" s="31"/>
      <c r="B2523" s="30"/>
      <c r="C2523" s="30"/>
    </row>
    <row r="2524" spans="1:3" x14ac:dyDescent="0.25">
      <c r="A2524" s="31"/>
      <c r="B2524" s="30"/>
      <c r="C2524" s="30"/>
    </row>
    <row r="2525" spans="1:3" x14ac:dyDescent="0.25">
      <c r="A2525" s="31"/>
      <c r="B2525" s="30"/>
      <c r="C2525" s="30"/>
    </row>
    <row r="2526" spans="1:3" x14ac:dyDescent="0.25">
      <c r="A2526" s="31"/>
      <c r="B2526" s="30"/>
      <c r="C2526" s="30"/>
    </row>
    <row r="2527" spans="1:3" x14ac:dyDescent="0.25">
      <c r="A2527" s="31"/>
      <c r="B2527" s="30"/>
      <c r="C2527" s="30"/>
    </row>
    <row r="2528" spans="1:3" x14ac:dyDescent="0.25">
      <c r="A2528" s="31"/>
      <c r="B2528" s="30"/>
      <c r="C2528" s="30"/>
    </row>
    <row r="2529" spans="1:3" x14ac:dyDescent="0.25">
      <c r="A2529" s="31"/>
      <c r="B2529" s="30"/>
      <c r="C2529" s="30"/>
    </row>
    <row r="2530" spans="1:3" x14ac:dyDescent="0.25">
      <c r="A2530" s="31"/>
      <c r="B2530" s="30"/>
      <c r="C2530" s="30"/>
    </row>
    <row r="2531" spans="1:3" x14ac:dyDescent="0.25">
      <c r="A2531" s="31"/>
      <c r="B2531" s="30"/>
      <c r="C2531" s="30"/>
    </row>
    <row r="2532" spans="1:3" x14ac:dyDescent="0.25">
      <c r="A2532" s="31"/>
      <c r="B2532" s="30"/>
      <c r="C2532" s="30"/>
    </row>
    <row r="2533" spans="1:3" x14ac:dyDescent="0.25">
      <c r="A2533" s="31"/>
      <c r="B2533" s="30"/>
      <c r="C2533" s="30"/>
    </row>
    <row r="2534" spans="1:3" x14ac:dyDescent="0.25">
      <c r="A2534" s="31"/>
      <c r="B2534" s="30"/>
      <c r="C2534" s="30"/>
    </row>
    <row r="2535" spans="1:3" x14ac:dyDescent="0.25">
      <c r="A2535" s="31"/>
      <c r="B2535" s="30"/>
      <c r="C2535" s="30"/>
    </row>
    <row r="2536" spans="1:3" x14ac:dyDescent="0.25">
      <c r="A2536" s="31"/>
      <c r="B2536" s="30"/>
      <c r="C2536" s="30"/>
    </row>
    <row r="2537" spans="1:3" x14ac:dyDescent="0.25">
      <c r="A2537" s="31"/>
      <c r="B2537" s="30"/>
      <c r="C2537" s="30"/>
    </row>
    <row r="2538" spans="1:3" x14ac:dyDescent="0.25">
      <c r="A2538" s="31"/>
      <c r="B2538" s="30"/>
      <c r="C2538" s="30"/>
    </row>
    <row r="2539" spans="1:3" x14ac:dyDescent="0.25">
      <c r="A2539" s="31"/>
      <c r="B2539" s="30"/>
      <c r="C2539" s="30"/>
    </row>
    <row r="2540" spans="1:3" x14ac:dyDescent="0.25">
      <c r="A2540" s="31"/>
      <c r="B2540" s="30"/>
      <c r="C2540" s="30"/>
    </row>
    <row r="2541" spans="1:3" x14ac:dyDescent="0.25">
      <c r="A2541" s="31"/>
      <c r="B2541" s="30"/>
      <c r="C2541" s="30"/>
    </row>
    <row r="2542" spans="1:3" x14ac:dyDescent="0.25">
      <c r="A2542" s="31"/>
      <c r="B2542" s="30"/>
      <c r="C2542" s="30"/>
    </row>
    <row r="2543" spans="1:3" x14ac:dyDescent="0.25">
      <c r="A2543" s="31"/>
      <c r="B2543" s="30"/>
      <c r="C2543" s="30"/>
    </row>
    <row r="2544" spans="1:3" x14ac:dyDescent="0.25">
      <c r="A2544" s="31"/>
      <c r="B2544" s="30"/>
      <c r="C2544" s="30"/>
    </row>
    <row r="2545" spans="1:3" x14ac:dyDescent="0.25">
      <c r="A2545" s="31"/>
      <c r="B2545" s="30"/>
      <c r="C2545" s="30"/>
    </row>
    <row r="2546" spans="1:3" x14ac:dyDescent="0.25">
      <c r="A2546" s="31"/>
      <c r="B2546" s="30"/>
      <c r="C2546" s="30"/>
    </row>
    <row r="2547" spans="1:3" x14ac:dyDescent="0.25">
      <c r="A2547" s="31"/>
      <c r="B2547" s="30"/>
      <c r="C2547" s="30"/>
    </row>
    <row r="2548" spans="1:3" x14ac:dyDescent="0.25">
      <c r="A2548" s="31"/>
      <c r="B2548" s="30"/>
      <c r="C2548" s="30"/>
    </row>
    <row r="2549" spans="1:3" x14ac:dyDescent="0.25">
      <c r="A2549" s="31"/>
      <c r="B2549" s="30"/>
      <c r="C2549" s="30"/>
    </row>
    <row r="2550" spans="1:3" x14ac:dyDescent="0.25">
      <c r="A2550" s="31"/>
      <c r="B2550" s="30"/>
      <c r="C2550" s="30"/>
    </row>
    <row r="2551" spans="1:3" x14ac:dyDescent="0.25">
      <c r="A2551" s="31"/>
      <c r="B2551" s="30"/>
      <c r="C2551" s="30"/>
    </row>
    <row r="2552" spans="1:3" x14ac:dyDescent="0.25">
      <c r="A2552" s="31"/>
      <c r="B2552" s="30"/>
      <c r="C2552" s="30"/>
    </row>
    <row r="2553" spans="1:3" x14ac:dyDescent="0.25">
      <c r="A2553" s="31"/>
      <c r="B2553" s="30"/>
      <c r="C2553" s="30"/>
    </row>
    <row r="2554" spans="1:3" x14ac:dyDescent="0.25">
      <c r="A2554" s="31"/>
      <c r="B2554" s="30"/>
      <c r="C2554" s="30"/>
    </row>
    <row r="2555" spans="1:3" x14ac:dyDescent="0.25">
      <c r="A2555" s="31"/>
      <c r="B2555" s="30"/>
      <c r="C2555" s="30"/>
    </row>
    <row r="2556" spans="1:3" x14ac:dyDescent="0.25">
      <c r="A2556" s="31"/>
      <c r="B2556" s="30"/>
      <c r="C2556" s="30"/>
    </row>
    <row r="2557" spans="1:3" x14ac:dyDescent="0.25">
      <c r="A2557" s="31"/>
      <c r="B2557" s="30"/>
      <c r="C2557" s="30"/>
    </row>
    <row r="2558" spans="1:3" x14ac:dyDescent="0.25">
      <c r="A2558" s="31"/>
      <c r="B2558" s="30"/>
      <c r="C2558" s="30"/>
    </row>
    <row r="2559" spans="1:3" x14ac:dyDescent="0.25">
      <c r="A2559" s="31"/>
      <c r="B2559" s="30"/>
      <c r="C2559" s="30"/>
    </row>
    <row r="2560" spans="1:3" x14ac:dyDescent="0.25">
      <c r="A2560" s="31"/>
      <c r="B2560" s="30"/>
      <c r="C2560" s="30"/>
    </row>
    <row r="2561" spans="1:3" x14ac:dyDescent="0.25">
      <c r="A2561" s="31"/>
      <c r="B2561" s="30"/>
      <c r="C2561" s="30"/>
    </row>
    <row r="2562" spans="1:3" x14ac:dyDescent="0.25">
      <c r="A2562" s="31"/>
      <c r="B2562" s="30"/>
      <c r="C2562" s="30"/>
    </row>
    <row r="2563" spans="1:3" x14ac:dyDescent="0.25">
      <c r="A2563" s="31"/>
      <c r="B2563" s="30"/>
      <c r="C2563" s="30"/>
    </row>
    <row r="2564" spans="1:3" x14ac:dyDescent="0.25">
      <c r="A2564" s="31"/>
      <c r="B2564" s="30"/>
      <c r="C2564" s="30"/>
    </row>
    <row r="2565" spans="1:3" x14ac:dyDescent="0.25">
      <c r="A2565" s="31"/>
      <c r="B2565" s="30"/>
      <c r="C2565" s="30"/>
    </row>
    <row r="2566" spans="1:3" x14ac:dyDescent="0.25">
      <c r="A2566" s="31"/>
      <c r="B2566" s="30"/>
      <c r="C2566" s="30"/>
    </row>
    <row r="2567" spans="1:3" x14ac:dyDescent="0.25">
      <c r="A2567" s="31"/>
      <c r="B2567" s="30"/>
      <c r="C2567" s="30"/>
    </row>
    <row r="2568" spans="1:3" x14ac:dyDescent="0.25">
      <c r="A2568" s="31"/>
      <c r="B2568" s="30"/>
      <c r="C2568" s="30"/>
    </row>
    <row r="2569" spans="1:3" x14ac:dyDescent="0.25">
      <c r="A2569" s="31"/>
      <c r="B2569" s="30"/>
      <c r="C2569" s="30"/>
    </row>
    <row r="2570" spans="1:3" x14ac:dyDescent="0.25">
      <c r="A2570" s="31"/>
      <c r="B2570" s="30"/>
      <c r="C2570" s="30"/>
    </row>
    <row r="2571" spans="1:3" x14ac:dyDescent="0.25">
      <c r="A2571" s="31"/>
      <c r="B2571" s="30"/>
      <c r="C2571" s="30"/>
    </row>
    <row r="2572" spans="1:3" x14ac:dyDescent="0.25">
      <c r="A2572" s="31"/>
      <c r="B2572" s="30"/>
      <c r="C2572" s="30"/>
    </row>
    <row r="2573" spans="1:3" x14ac:dyDescent="0.25">
      <c r="A2573" s="31"/>
      <c r="B2573" s="30"/>
      <c r="C2573" s="30"/>
    </row>
    <row r="2574" spans="1:3" x14ac:dyDescent="0.25">
      <c r="A2574" s="31"/>
      <c r="B2574" s="30"/>
      <c r="C2574" s="30"/>
    </row>
    <row r="2575" spans="1:3" x14ac:dyDescent="0.25">
      <c r="A2575" s="31"/>
      <c r="B2575" s="30"/>
      <c r="C2575" s="30"/>
    </row>
    <row r="2576" spans="1:3" x14ac:dyDescent="0.25">
      <c r="A2576" s="31"/>
      <c r="B2576" s="30"/>
      <c r="C2576" s="30"/>
    </row>
    <row r="2577" spans="1:3" x14ac:dyDescent="0.25">
      <c r="A2577" s="31"/>
      <c r="B2577" s="30"/>
      <c r="C2577" s="30"/>
    </row>
    <row r="2578" spans="1:3" x14ac:dyDescent="0.25">
      <c r="A2578" s="31"/>
      <c r="B2578" s="30"/>
      <c r="C2578" s="30"/>
    </row>
    <row r="2579" spans="1:3" x14ac:dyDescent="0.25">
      <c r="A2579" s="31"/>
      <c r="B2579" s="30"/>
      <c r="C2579" s="30"/>
    </row>
    <row r="2580" spans="1:3" x14ac:dyDescent="0.25">
      <c r="A2580" s="31"/>
      <c r="B2580" s="30"/>
      <c r="C2580" s="30"/>
    </row>
    <row r="2581" spans="1:3" x14ac:dyDescent="0.25">
      <c r="A2581" s="31"/>
      <c r="B2581" s="30"/>
      <c r="C2581" s="30"/>
    </row>
    <row r="2582" spans="1:3" x14ac:dyDescent="0.25">
      <c r="A2582" s="31"/>
      <c r="B2582" s="30"/>
      <c r="C2582" s="30"/>
    </row>
    <row r="2583" spans="1:3" x14ac:dyDescent="0.25">
      <c r="A2583" s="31"/>
      <c r="B2583" s="30"/>
      <c r="C2583" s="30"/>
    </row>
    <row r="2584" spans="1:3" x14ac:dyDescent="0.25">
      <c r="A2584" s="31"/>
      <c r="B2584" s="30"/>
      <c r="C2584" s="30"/>
    </row>
    <row r="2585" spans="1:3" x14ac:dyDescent="0.25">
      <c r="A2585" s="31"/>
      <c r="B2585" s="30"/>
      <c r="C2585" s="30"/>
    </row>
    <row r="2586" spans="1:3" x14ac:dyDescent="0.25">
      <c r="A2586" s="31"/>
      <c r="B2586" s="30"/>
      <c r="C2586" s="30"/>
    </row>
    <row r="2587" spans="1:3" x14ac:dyDescent="0.25">
      <c r="A2587" s="31"/>
      <c r="B2587" s="30"/>
      <c r="C2587" s="30"/>
    </row>
    <row r="2588" spans="1:3" x14ac:dyDescent="0.25">
      <c r="A2588" s="31"/>
      <c r="B2588" s="30"/>
      <c r="C2588" s="30"/>
    </row>
    <row r="2589" spans="1:3" x14ac:dyDescent="0.25">
      <c r="A2589" s="31"/>
      <c r="B2589" s="30"/>
      <c r="C2589" s="30"/>
    </row>
    <row r="2590" spans="1:3" x14ac:dyDescent="0.25">
      <c r="A2590" s="31"/>
      <c r="B2590" s="30"/>
      <c r="C2590" s="30"/>
    </row>
    <row r="2591" spans="1:3" x14ac:dyDescent="0.25">
      <c r="A2591" s="31"/>
      <c r="B2591" s="30"/>
      <c r="C2591" s="30"/>
    </row>
    <row r="2592" spans="1:3" x14ac:dyDescent="0.25">
      <c r="A2592" s="31"/>
      <c r="B2592" s="30"/>
      <c r="C2592" s="30"/>
    </row>
    <row r="2593" spans="1:3" x14ac:dyDescent="0.25">
      <c r="A2593" s="31"/>
      <c r="B2593" s="30"/>
      <c r="C2593" s="30"/>
    </row>
    <row r="2594" spans="1:3" x14ac:dyDescent="0.25">
      <c r="A2594" s="31"/>
      <c r="B2594" s="30"/>
      <c r="C2594" s="30"/>
    </row>
    <row r="2595" spans="1:3" x14ac:dyDescent="0.25">
      <c r="A2595" s="31"/>
      <c r="B2595" s="30"/>
      <c r="C2595" s="30"/>
    </row>
    <row r="2596" spans="1:3" x14ac:dyDescent="0.25">
      <c r="A2596" s="31"/>
      <c r="B2596" s="30"/>
      <c r="C2596" s="30"/>
    </row>
    <row r="2597" spans="1:3" x14ac:dyDescent="0.25">
      <c r="A2597" s="31"/>
      <c r="B2597" s="30"/>
      <c r="C2597" s="30"/>
    </row>
    <row r="2598" spans="1:3" x14ac:dyDescent="0.25">
      <c r="A2598" s="31"/>
      <c r="B2598" s="30"/>
      <c r="C2598" s="30"/>
    </row>
    <row r="2599" spans="1:3" x14ac:dyDescent="0.25">
      <c r="A2599" s="31"/>
      <c r="B2599" s="30"/>
      <c r="C2599" s="30"/>
    </row>
    <row r="2600" spans="1:3" x14ac:dyDescent="0.25">
      <c r="A2600" s="31"/>
      <c r="B2600" s="30"/>
      <c r="C2600" s="30"/>
    </row>
    <row r="2601" spans="1:3" x14ac:dyDescent="0.25">
      <c r="A2601" s="31"/>
      <c r="B2601" s="30"/>
      <c r="C2601" s="30"/>
    </row>
    <row r="2602" spans="1:3" x14ac:dyDescent="0.25">
      <c r="A2602" s="31"/>
      <c r="B2602" s="30"/>
      <c r="C2602" s="30"/>
    </row>
    <row r="2603" spans="1:3" x14ac:dyDescent="0.25">
      <c r="A2603" s="31"/>
      <c r="B2603" s="30"/>
      <c r="C2603" s="30"/>
    </row>
    <row r="2604" spans="1:3" x14ac:dyDescent="0.25">
      <c r="A2604" s="31"/>
      <c r="B2604" s="30"/>
      <c r="C2604" s="30"/>
    </row>
    <row r="2605" spans="1:3" x14ac:dyDescent="0.25">
      <c r="A2605" s="31"/>
      <c r="B2605" s="30"/>
      <c r="C2605" s="30"/>
    </row>
    <row r="2606" spans="1:3" x14ac:dyDescent="0.25">
      <c r="A2606" s="31"/>
      <c r="B2606" s="30"/>
      <c r="C2606" s="30"/>
    </row>
    <row r="2607" spans="1:3" x14ac:dyDescent="0.25">
      <c r="A2607" s="31"/>
      <c r="B2607" s="30"/>
      <c r="C2607" s="30"/>
    </row>
    <row r="2608" spans="1:3" x14ac:dyDescent="0.25">
      <c r="A2608" s="31"/>
      <c r="B2608" s="30"/>
      <c r="C2608" s="30"/>
    </row>
    <row r="2609" spans="1:3" x14ac:dyDescent="0.25">
      <c r="A2609" s="31"/>
      <c r="B2609" s="30"/>
      <c r="C2609" s="30"/>
    </row>
    <row r="2610" spans="1:3" x14ac:dyDescent="0.25">
      <c r="A2610" s="31"/>
      <c r="B2610" s="30"/>
      <c r="C2610" s="30"/>
    </row>
    <row r="2611" spans="1:3" x14ac:dyDescent="0.25">
      <c r="A2611" s="31"/>
      <c r="B2611" s="30"/>
      <c r="C2611" s="30"/>
    </row>
    <row r="2612" spans="1:3" x14ac:dyDescent="0.25">
      <c r="A2612" s="31"/>
      <c r="B2612" s="30"/>
      <c r="C2612" s="30"/>
    </row>
    <row r="2613" spans="1:3" x14ac:dyDescent="0.25">
      <c r="A2613" s="31"/>
      <c r="B2613" s="30"/>
      <c r="C2613" s="30"/>
    </row>
    <row r="2614" spans="1:3" x14ac:dyDescent="0.25">
      <c r="A2614" s="31"/>
      <c r="B2614" s="30"/>
      <c r="C2614" s="30"/>
    </row>
    <row r="2615" spans="1:3" x14ac:dyDescent="0.25">
      <c r="A2615" s="31"/>
      <c r="B2615" s="30"/>
      <c r="C2615" s="30"/>
    </row>
    <row r="2616" spans="1:3" x14ac:dyDescent="0.25">
      <c r="A2616" s="31"/>
      <c r="B2616" s="30"/>
      <c r="C2616" s="30"/>
    </row>
    <row r="2617" spans="1:3" x14ac:dyDescent="0.25">
      <c r="A2617" s="31"/>
      <c r="B2617" s="30"/>
      <c r="C2617" s="30"/>
    </row>
    <row r="2618" spans="1:3" x14ac:dyDescent="0.25">
      <c r="A2618" s="31"/>
      <c r="B2618" s="30"/>
      <c r="C2618" s="30"/>
    </row>
    <row r="2619" spans="1:3" x14ac:dyDescent="0.25">
      <c r="A2619" s="31"/>
      <c r="B2619" s="30"/>
      <c r="C2619" s="30"/>
    </row>
    <row r="2620" spans="1:3" x14ac:dyDescent="0.25">
      <c r="A2620" s="31"/>
      <c r="B2620" s="30"/>
      <c r="C2620" s="30"/>
    </row>
    <row r="2621" spans="1:3" x14ac:dyDescent="0.25">
      <c r="A2621" s="31"/>
      <c r="B2621" s="30"/>
      <c r="C2621" s="30"/>
    </row>
    <row r="2622" spans="1:3" x14ac:dyDescent="0.25">
      <c r="A2622" s="31"/>
      <c r="B2622" s="30"/>
      <c r="C2622" s="30"/>
    </row>
    <row r="2623" spans="1:3" x14ac:dyDescent="0.25">
      <c r="A2623" s="31"/>
      <c r="B2623" s="30"/>
      <c r="C2623" s="30"/>
    </row>
    <row r="2624" spans="1:3" x14ac:dyDescent="0.25">
      <c r="A2624" s="31"/>
      <c r="B2624" s="30"/>
      <c r="C2624" s="30"/>
    </row>
    <row r="2625" spans="1:3" x14ac:dyDescent="0.25">
      <c r="A2625" s="31"/>
      <c r="B2625" s="30"/>
      <c r="C2625" s="30"/>
    </row>
    <row r="2626" spans="1:3" x14ac:dyDescent="0.25">
      <c r="A2626" s="31"/>
      <c r="B2626" s="30"/>
      <c r="C2626" s="30"/>
    </row>
    <row r="2627" spans="1:3" x14ac:dyDescent="0.25">
      <c r="A2627" s="31"/>
      <c r="B2627" s="30"/>
      <c r="C2627" s="30"/>
    </row>
    <row r="2628" spans="1:3" x14ac:dyDescent="0.25">
      <c r="A2628" s="31"/>
      <c r="B2628" s="30"/>
      <c r="C2628" s="30"/>
    </row>
    <row r="2629" spans="1:3" x14ac:dyDescent="0.25">
      <c r="A2629" s="31"/>
      <c r="B2629" s="30"/>
      <c r="C2629" s="30"/>
    </row>
    <row r="2630" spans="1:3" x14ac:dyDescent="0.25">
      <c r="A2630" s="31"/>
      <c r="B2630" s="30"/>
      <c r="C2630" s="30"/>
    </row>
    <row r="2631" spans="1:3" x14ac:dyDescent="0.25">
      <c r="A2631" s="31"/>
      <c r="B2631" s="30"/>
      <c r="C2631" s="30"/>
    </row>
    <row r="2632" spans="1:3" x14ac:dyDescent="0.25">
      <c r="A2632" s="31"/>
      <c r="B2632" s="30"/>
      <c r="C2632" s="30"/>
    </row>
    <row r="2633" spans="1:3" x14ac:dyDescent="0.25">
      <c r="A2633" s="31"/>
      <c r="B2633" s="30"/>
      <c r="C2633" s="30"/>
    </row>
    <row r="2634" spans="1:3" x14ac:dyDescent="0.25">
      <c r="A2634" s="31"/>
      <c r="B2634" s="30"/>
      <c r="C2634" s="30"/>
    </row>
    <row r="2635" spans="1:3" x14ac:dyDescent="0.25">
      <c r="A2635" s="31"/>
      <c r="B2635" s="30"/>
      <c r="C2635" s="30"/>
    </row>
    <row r="2636" spans="1:3" x14ac:dyDescent="0.25">
      <c r="A2636" s="31"/>
      <c r="B2636" s="30"/>
      <c r="C2636" s="30"/>
    </row>
    <row r="2637" spans="1:3" x14ac:dyDescent="0.25">
      <c r="A2637" s="31"/>
      <c r="B2637" s="30"/>
      <c r="C2637" s="30"/>
    </row>
    <row r="2638" spans="1:3" x14ac:dyDescent="0.25">
      <c r="A2638" s="31"/>
      <c r="B2638" s="30"/>
      <c r="C2638" s="30"/>
    </row>
    <row r="2639" spans="1:3" x14ac:dyDescent="0.25">
      <c r="A2639" s="31"/>
      <c r="B2639" s="30"/>
      <c r="C2639" s="30"/>
    </row>
    <row r="2640" spans="1:3" x14ac:dyDescent="0.25">
      <c r="A2640" s="31"/>
      <c r="B2640" s="30"/>
      <c r="C2640" s="30"/>
    </row>
    <row r="2641" spans="1:3" x14ac:dyDescent="0.25">
      <c r="A2641" s="31"/>
      <c r="B2641" s="30"/>
      <c r="C2641" s="30"/>
    </row>
    <row r="2642" spans="1:3" x14ac:dyDescent="0.25">
      <c r="A2642" s="31"/>
      <c r="B2642" s="30"/>
      <c r="C2642" s="30"/>
    </row>
    <row r="2643" spans="1:3" x14ac:dyDescent="0.25">
      <c r="A2643" s="31"/>
      <c r="B2643" s="30"/>
      <c r="C2643" s="30"/>
    </row>
    <row r="2644" spans="1:3" x14ac:dyDescent="0.25">
      <c r="A2644" s="31"/>
      <c r="B2644" s="30"/>
      <c r="C2644" s="30"/>
    </row>
    <row r="2645" spans="1:3" x14ac:dyDescent="0.25">
      <c r="A2645" s="31"/>
      <c r="B2645" s="30"/>
      <c r="C2645" s="30"/>
    </row>
    <row r="2646" spans="1:3" x14ac:dyDescent="0.25">
      <c r="A2646" s="31"/>
      <c r="B2646" s="30"/>
      <c r="C2646" s="30"/>
    </row>
    <row r="2647" spans="1:3" x14ac:dyDescent="0.25">
      <c r="A2647" s="31"/>
      <c r="B2647" s="30"/>
      <c r="C2647" s="30"/>
    </row>
    <row r="2648" spans="1:3" x14ac:dyDescent="0.25">
      <c r="A2648" s="31"/>
      <c r="B2648" s="30"/>
      <c r="C2648" s="30"/>
    </row>
    <row r="2649" spans="1:3" x14ac:dyDescent="0.25">
      <c r="A2649" s="31"/>
      <c r="B2649" s="30"/>
      <c r="C2649" s="30"/>
    </row>
    <row r="2650" spans="1:3" x14ac:dyDescent="0.25">
      <c r="A2650" s="31"/>
      <c r="B2650" s="30"/>
      <c r="C2650" s="30"/>
    </row>
    <row r="2651" spans="1:3" x14ac:dyDescent="0.25">
      <c r="A2651" s="31"/>
      <c r="B2651" s="30"/>
      <c r="C2651" s="30"/>
    </row>
    <row r="2652" spans="1:3" x14ac:dyDescent="0.25">
      <c r="A2652" s="31"/>
      <c r="B2652" s="30"/>
      <c r="C2652" s="30"/>
    </row>
    <row r="2653" spans="1:3" x14ac:dyDescent="0.25">
      <c r="A2653" s="31"/>
      <c r="B2653" s="30"/>
      <c r="C2653" s="30"/>
    </row>
    <row r="2654" spans="1:3" x14ac:dyDescent="0.25">
      <c r="A2654" s="31"/>
      <c r="B2654" s="30"/>
      <c r="C2654" s="30"/>
    </row>
    <row r="2655" spans="1:3" x14ac:dyDescent="0.25">
      <c r="A2655" s="31"/>
      <c r="B2655" s="30"/>
      <c r="C2655" s="30"/>
    </row>
    <row r="2656" spans="1:3" x14ac:dyDescent="0.25">
      <c r="A2656" s="31"/>
      <c r="B2656" s="30"/>
      <c r="C2656" s="30"/>
    </row>
    <row r="2657" spans="1:3" x14ac:dyDescent="0.25">
      <c r="A2657" s="31"/>
      <c r="B2657" s="30"/>
      <c r="C2657" s="30"/>
    </row>
    <row r="2658" spans="1:3" x14ac:dyDescent="0.25">
      <c r="A2658" s="31"/>
      <c r="B2658" s="30"/>
      <c r="C2658" s="30"/>
    </row>
    <row r="2659" spans="1:3" x14ac:dyDescent="0.25">
      <c r="A2659" s="31"/>
      <c r="B2659" s="30"/>
      <c r="C2659" s="30"/>
    </row>
    <row r="2660" spans="1:3" x14ac:dyDescent="0.25">
      <c r="A2660" s="31"/>
      <c r="B2660" s="30"/>
      <c r="C2660" s="30"/>
    </row>
    <row r="2661" spans="1:3" x14ac:dyDescent="0.25">
      <c r="A2661" s="31"/>
      <c r="B2661" s="30"/>
      <c r="C2661" s="30"/>
    </row>
    <row r="2662" spans="1:3" x14ac:dyDescent="0.25">
      <c r="A2662" s="31"/>
      <c r="B2662" s="30"/>
      <c r="C2662" s="30"/>
    </row>
    <row r="2663" spans="1:3" x14ac:dyDescent="0.25">
      <c r="A2663" s="31"/>
      <c r="B2663" s="30"/>
      <c r="C2663" s="30"/>
    </row>
    <row r="2664" spans="1:3" x14ac:dyDescent="0.25">
      <c r="A2664" s="31"/>
      <c r="B2664" s="30"/>
      <c r="C2664" s="30"/>
    </row>
    <row r="2665" spans="1:3" x14ac:dyDescent="0.25">
      <c r="A2665" s="31"/>
      <c r="B2665" s="30"/>
      <c r="C2665" s="30"/>
    </row>
    <row r="2666" spans="1:3" x14ac:dyDescent="0.25">
      <c r="A2666" s="31"/>
      <c r="B2666" s="30"/>
      <c r="C2666" s="30"/>
    </row>
    <row r="2667" spans="1:3" x14ac:dyDescent="0.25">
      <c r="A2667" s="31"/>
      <c r="B2667" s="30"/>
      <c r="C2667" s="30"/>
    </row>
    <row r="2668" spans="1:3" x14ac:dyDescent="0.25">
      <c r="A2668" s="31"/>
      <c r="B2668" s="30"/>
      <c r="C2668" s="30"/>
    </row>
    <row r="2669" spans="1:3" x14ac:dyDescent="0.25">
      <c r="A2669" s="31"/>
      <c r="B2669" s="30"/>
      <c r="C2669" s="30"/>
    </row>
    <row r="2670" spans="1:3" x14ac:dyDescent="0.25">
      <c r="A2670" s="31"/>
      <c r="B2670" s="30"/>
      <c r="C2670" s="30"/>
    </row>
    <row r="2671" spans="1:3" x14ac:dyDescent="0.25">
      <c r="A2671" s="31"/>
      <c r="B2671" s="30"/>
      <c r="C2671" s="30"/>
    </row>
    <row r="2672" spans="1:3" x14ac:dyDescent="0.25">
      <c r="A2672" s="31"/>
      <c r="B2672" s="30"/>
      <c r="C2672" s="30"/>
    </row>
    <row r="2673" spans="1:3" x14ac:dyDescent="0.25">
      <c r="A2673" s="31"/>
      <c r="B2673" s="30"/>
      <c r="C2673" s="30"/>
    </row>
    <row r="2674" spans="1:3" x14ac:dyDescent="0.25">
      <c r="A2674" s="31"/>
      <c r="B2674" s="30"/>
      <c r="C2674" s="30"/>
    </row>
    <row r="2675" spans="1:3" x14ac:dyDescent="0.25">
      <c r="A2675" s="31"/>
      <c r="B2675" s="30"/>
      <c r="C2675" s="30"/>
    </row>
    <row r="2676" spans="1:3" x14ac:dyDescent="0.25">
      <c r="A2676" s="31"/>
      <c r="B2676" s="30"/>
      <c r="C2676" s="30"/>
    </row>
    <row r="2677" spans="1:3" x14ac:dyDescent="0.25">
      <c r="A2677" s="31"/>
      <c r="B2677" s="30"/>
      <c r="C2677" s="30"/>
    </row>
    <row r="2678" spans="1:3" x14ac:dyDescent="0.25">
      <c r="A2678" s="31"/>
      <c r="B2678" s="30"/>
      <c r="C2678" s="30"/>
    </row>
    <row r="2679" spans="1:3" x14ac:dyDescent="0.25">
      <c r="A2679" s="31"/>
      <c r="B2679" s="30"/>
      <c r="C2679" s="30"/>
    </row>
    <row r="2680" spans="1:3" x14ac:dyDescent="0.25">
      <c r="A2680" s="31"/>
      <c r="B2680" s="30"/>
      <c r="C2680" s="30"/>
    </row>
    <row r="2681" spans="1:3" x14ac:dyDescent="0.25">
      <c r="A2681" s="31"/>
      <c r="B2681" s="30"/>
      <c r="C2681" s="30"/>
    </row>
    <row r="2682" spans="1:3" x14ac:dyDescent="0.25">
      <c r="A2682" s="31"/>
      <c r="B2682" s="30"/>
      <c r="C2682" s="30"/>
    </row>
    <row r="2683" spans="1:3" x14ac:dyDescent="0.25">
      <c r="A2683" s="31"/>
      <c r="B2683" s="30"/>
      <c r="C2683" s="30"/>
    </row>
    <row r="2684" spans="1:3" x14ac:dyDescent="0.25">
      <c r="A2684" s="31"/>
      <c r="B2684" s="30"/>
      <c r="C2684" s="30"/>
    </row>
    <row r="2685" spans="1:3" x14ac:dyDescent="0.25">
      <c r="A2685" s="31"/>
      <c r="B2685" s="30"/>
      <c r="C2685" s="30"/>
    </row>
    <row r="2686" spans="1:3" x14ac:dyDescent="0.25">
      <c r="A2686" s="31"/>
      <c r="B2686" s="30"/>
      <c r="C2686" s="30"/>
    </row>
    <row r="2687" spans="1:3" x14ac:dyDescent="0.25">
      <c r="A2687" s="31"/>
      <c r="B2687" s="30"/>
      <c r="C2687" s="30"/>
    </row>
    <row r="2688" spans="1:3" x14ac:dyDescent="0.25">
      <c r="A2688" s="31"/>
      <c r="B2688" s="30"/>
      <c r="C2688" s="30"/>
    </row>
    <row r="2689" spans="1:3" x14ac:dyDescent="0.25">
      <c r="A2689" s="31"/>
      <c r="B2689" s="30"/>
      <c r="C2689" s="30"/>
    </row>
    <row r="2690" spans="1:3" x14ac:dyDescent="0.25">
      <c r="A2690" s="31"/>
      <c r="B2690" s="30"/>
      <c r="C2690" s="30"/>
    </row>
    <row r="2691" spans="1:3" x14ac:dyDescent="0.25">
      <c r="A2691" s="31"/>
      <c r="B2691" s="30"/>
      <c r="C2691" s="30"/>
    </row>
    <row r="2692" spans="1:3" x14ac:dyDescent="0.25">
      <c r="A2692" s="31"/>
      <c r="B2692" s="30"/>
      <c r="C2692" s="30"/>
    </row>
    <row r="2693" spans="1:3" x14ac:dyDescent="0.25">
      <c r="A2693" s="31"/>
      <c r="B2693" s="30"/>
      <c r="C2693" s="30"/>
    </row>
    <row r="2694" spans="1:3" x14ac:dyDescent="0.25">
      <c r="A2694" s="31"/>
      <c r="B2694" s="30"/>
      <c r="C2694" s="30"/>
    </row>
    <row r="2695" spans="1:3" x14ac:dyDescent="0.25">
      <c r="A2695" s="31"/>
      <c r="B2695" s="30"/>
      <c r="C2695" s="30"/>
    </row>
    <row r="2696" spans="1:3" x14ac:dyDescent="0.25">
      <c r="A2696" s="31"/>
      <c r="B2696" s="30"/>
      <c r="C2696" s="30"/>
    </row>
    <row r="2697" spans="1:3" x14ac:dyDescent="0.25">
      <c r="A2697" s="31"/>
      <c r="B2697" s="30"/>
      <c r="C2697" s="30"/>
    </row>
    <row r="2698" spans="1:3" x14ac:dyDescent="0.25">
      <c r="A2698" s="31"/>
      <c r="B2698" s="30"/>
      <c r="C2698" s="30"/>
    </row>
    <row r="2699" spans="1:3" x14ac:dyDescent="0.25">
      <c r="A2699" s="31"/>
      <c r="B2699" s="30"/>
      <c r="C2699" s="30"/>
    </row>
    <row r="2700" spans="1:3" x14ac:dyDescent="0.25">
      <c r="A2700" s="31"/>
      <c r="B2700" s="30"/>
      <c r="C2700" s="30"/>
    </row>
    <row r="2701" spans="1:3" x14ac:dyDescent="0.25">
      <c r="A2701" s="31"/>
      <c r="B2701" s="30"/>
      <c r="C2701" s="30"/>
    </row>
    <row r="2702" spans="1:3" x14ac:dyDescent="0.25">
      <c r="A2702" s="31"/>
      <c r="B2702" s="30"/>
      <c r="C2702" s="30"/>
    </row>
    <row r="2703" spans="1:3" x14ac:dyDescent="0.25">
      <c r="A2703" s="31"/>
      <c r="B2703" s="30"/>
      <c r="C2703" s="30"/>
    </row>
    <row r="2704" spans="1:3" x14ac:dyDescent="0.25">
      <c r="A2704" s="31"/>
      <c r="B2704" s="30"/>
      <c r="C2704" s="30"/>
    </row>
    <row r="2705" spans="1:3" x14ac:dyDescent="0.25">
      <c r="A2705" s="31"/>
      <c r="B2705" s="30"/>
      <c r="C2705" s="30"/>
    </row>
    <row r="2706" spans="1:3" x14ac:dyDescent="0.25">
      <c r="A2706" s="31"/>
      <c r="B2706" s="30"/>
      <c r="C2706" s="30"/>
    </row>
    <row r="2707" spans="1:3" x14ac:dyDescent="0.25">
      <c r="A2707" s="31"/>
      <c r="B2707" s="30"/>
      <c r="C2707" s="30"/>
    </row>
    <row r="2708" spans="1:3" x14ac:dyDescent="0.25">
      <c r="A2708" s="31"/>
      <c r="B2708" s="30"/>
      <c r="C2708" s="30"/>
    </row>
    <row r="2709" spans="1:3" x14ac:dyDescent="0.25">
      <c r="A2709" s="31"/>
      <c r="B2709" s="30"/>
      <c r="C2709" s="30"/>
    </row>
    <row r="2710" spans="1:3" x14ac:dyDescent="0.25">
      <c r="A2710" s="31"/>
      <c r="B2710" s="30"/>
      <c r="C2710" s="30"/>
    </row>
    <row r="2711" spans="1:3" x14ac:dyDescent="0.25">
      <c r="A2711" s="31"/>
      <c r="B2711" s="30"/>
      <c r="C2711" s="30"/>
    </row>
    <row r="2712" spans="1:3" x14ac:dyDescent="0.25">
      <c r="A2712" s="31"/>
      <c r="B2712" s="30"/>
      <c r="C2712" s="30"/>
    </row>
    <row r="2713" spans="1:3" x14ac:dyDescent="0.25">
      <c r="A2713" s="31"/>
      <c r="B2713" s="30"/>
      <c r="C2713" s="30"/>
    </row>
    <row r="2714" spans="1:3" x14ac:dyDescent="0.25">
      <c r="A2714" s="31"/>
      <c r="B2714" s="30"/>
      <c r="C2714" s="30"/>
    </row>
    <row r="2715" spans="1:3" x14ac:dyDescent="0.25">
      <c r="A2715" s="31"/>
      <c r="B2715" s="30"/>
      <c r="C2715" s="30"/>
    </row>
    <row r="2716" spans="1:3" x14ac:dyDescent="0.25">
      <c r="A2716" s="31"/>
      <c r="B2716" s="30"/>
      <c r="C2716" s="30"/>
    </row>
    <row r="2717" spans="1:3" x14ac:dyDescent="0.25">
      <c r="A2717" s="31"/>
      <c r="B2717" s="30"/>
      <c r="C2717" s="30"/>
    </row>
    <row r="2718" spans="1:3" x14ac:dyDescent="0.25">
      <c r="A2718" s="31"/>
      <c r="B2718" s="30"/>
      <c r="C2718" s="30"/>
    </row>
    <row r="2719" spans="1:3" x14ac:dyDescent="0.25">
      <c r="A2719" s="31"/>
      <c r="B2719" s="30"/>
      <c r="C2719" s="30"/>
    </row>
    <row r="2720" spans="1:3" x14ac:dyDescent="0.25">
      <c r="A2720" s="31"/>
      <c r="B2720" s="30"/>
      <c r="C2720" s="30"/>
    </row>
    <row r="2721" spans="1:3" x14ac:dyDescent="0.25">
      <c r="A2721" s="31"/>
      <c r="B2721" s="30"/>
      <c r="C2721" s="30"/>
    </row>
    <row r="2722" spans="1:3" x14ac:dyDescent="0.25">
      <c r="A2722" s="31"/>
      <c r="B2722" s="30"/>
      <c r="C2722" s="30"/>
    </row>
    <row r="2723" spans="1:3" x14ac:dyDescent="0.25">
      <c r="A2723" s="31"/>
      <c r="B2723" s="30"/>
      <c r="C2723" s="30"/>
    </row>
    <row r="2724" spans="1:3" x14ac:dyDescent="0.25">
      <c r="A2724" s="31"/>
      <c r="B2724" s="30"/>
      <c r="C2724" s="30"/>
    </row>
    <row r="2725" spans="1:3" x14ac:dyDescent="0.25">
      <c r="A2725" s="31"/>
      <c r="B2725" s="30"/>
      <c r="C2725" s="30"/>
    </row>
    <row r="2726" spans="1:3" x14ac:dyDescent="0.25">
      <c r="A2726" s="31"/>
      <c r="B2726" s="30"/>
      <c r="C2726" s="30"/>
    </row>
    <row r="2727" spans="1:3" x14ac:dyDescent="0.25">
      <c r="A2727" s="31"/>
      <c r="B2727" s="30"/>
      <c r="C2727" s="30"/>
    </row>
    <row r="2728" spans="1:3" x14ac:dyDescent="0.25">
      <c r="A2728" s="31"/>
      <c r="B2728" s="30"/>
      <c r="C2728" s="30"/>
    </row>
    <row r="2729" spans="1:3" x14ac:dyDescent="0.25">
      <c r="A2729" s="31"/>
      <c r="B2729" s="30"/>
      <c r="C2729" s="30"/>
    </row>
    <row r="2730" spans="1:3" x14ac:dyDescent="0.25">
      <c r="A2730" s="31"/>
      <c r="B2730" s="30"/>
      <c r="C2730" s="30"/>
    </row>
    <row r="2731" spans="1:3" x14ac:dyDescent="0.25">
      <c r="A2731" s="31"/>
      <c r="B2731" s="30"/>
      <c r="C2731" s="30"/>
    </row>
    <row r="2732" spans="1:3" x14ac:dyDescent="0.25">
      <c r="A2732" s="31"/>
      <c r="B2732" s="30"/>
      <c r="C2732" s="30"/>
    </row>
    <row r="2733" spans="1:3" x14ac:dyDescent="0.25">
      <c r="A2733" s="31"/>
      <c r="B2733" s="30"/>
      <c r="C2733" s="30"/>
    </row>
    <row r="2734" spans="1:3" x14ac:dyDescent="0.25">
      <c r="A2734" s="31"/>
      <c r="B2734" s="30"/>
      <c r="C2734" s="30"/>
    </row>
    <row r="2735" spans="1:3" x14ac:dyDescent="0.25">
      <c r="A2735" s="31"/>
      <c r="B2735" s="30"/>
      <c r="C2735" s="30"/>
    </row>
    <row r="2736" spans="1:3" x14ac:dyDescent="0.25">
      <c r="A2736" s="31"/>
      <c r="B2736" s="30"/>
      <c r="C2736" s="30"/>
    </row>
    <row r="2737" spans="1:3" x14ac:dyDescent="0.25">
      <c r="A2737" s="31"/>
      <c r="B2737" s="30"/>
      <c r="C2737" s="30"/>
    </row>
    <row r="2738" spans="1:3" x14ac:dyDescent="0.25">
      <c r="A2738" s="31"/>
      <c r="B2738" s="30"/>
      <c r="C2738" s="30"/>
    </row>
    <row r="2739" spans="1:3" x14ac:dyDescent="0.25">
      <c r="A2739" s="31"/>
      <c r="B2739" s="30"/>
      <c r="C2739" s="30"/>
    </row>
    <row r="2740" spans="1:3" x14ac:dyDescent="0.25">
      <c r="A2740" s="31"/>
      <c r="B2740" s="30"/>
      <c r="C2740" s="30"/>
    </row>
    <row r="2741" spans="1:3" x14ac:dyDescent="0.25">
      <c r="A2741" s="31"/>
      <c r="B2741" s="30"/>
      <c r="C2741" s="30"/>
    </row>
    <row r="2742" spans="1:3" x14ac:dyDescent="0.25">
      <c r="A2742" s="31"/>
      <c r="B2742" s="30"/>
      <c r="C2742" s="30"/>
    </row>
    <row r="2743" spans="1:3" x14ac:dyDescent="0.25">
      <c r="A2743" s="31"/>
      <c r="B2743" s="30"/>
      <c r="C2743" s="30"/>
    </row>
    <row r="2744" spans="1:3" x14ac:dyDescent="0.25">
      <c r="A2744" s="31"/>
      <c r="B2744" s="30"/>
      <c r="C2744" s="30"/>
    </row>
    <row r="2745" spans="1:3" x14ac:dyDescent="0.25">
      <c r="A2745" s="31"/>
      <c r="B2745" s="30"/>
      <c r="C2745" s="30"/>
    </row>
    <row r="2746" spans="1:3" x14ac:dyDescent="0.25">
      <c r="A2746" s="31"/>
      <c r="B2746" s="30"/>
      <c r="C2746" s="30"/>
    </row>
    <row r="2747" spans="1:3" x14ac:dyDescent="0.25">
      <c r="A2747" s="31"/>
      <c r="B2747" s="30"/>
      <c r="C2747" s="30"/>
    </row>
    <row r="2748" spans="1:3" x14ac:dyDescent="0.25">
      <c r="A2748" s="31"/>
      <c r="B2748" s="30"/>
      <c r="C2748" s="30"/>
    </row>
    <row r="2749" spans="1:3" x14ac:dyDescent="0.25">
      <c r="A2749" s="31"/>
      <c r="B2749" s="30"/>
      <c r="C2749" s="30"/>
    </row>
    <row r="2750" spans="1:3" x14ac:dyDescent="0.25">
      <c r="A2750" s="31"/>
      <c r="B2750" s="30"/>
      <c r="C2750" s="30"/>
    </row>
    <row r="2751" spans="1:3" x14ac:dyDescent="0.25">
      <c r="A2751" s="31"/>
      <c r="B2751" s="30"/>
      <c r="C2751" s="30"/>
    </row>
    <row r="2752" spans="1:3" x14ac:dyDescent="0.25">
      <c r="A2752" s="31"/>
      <c r="B2752" s="30"/>
      <c r="C2752" s="30"/>
    </row>
    <row r="2753" spans="1:3" x14ac:dyDescent="0.25">
      <c r="A2753" s="31"/>
      <c r="B2753" s="30"/>
      <c r="C2753" s="30"/>
    </row>
    <row r="2754" spans="1:3" x14ac:dyDescent="0.25">
      <c r="A2754" s="31"/>
      <c r="B2754" s="30"/>
      <c r="C2754" s="30"/>
    </row>
    <row r="2755" spans="1:3" x14ac:dyDescent="0.25">
      <c r="A2755" s="31"/>
      <c r="B2755" s="30"/>
      <c r="C2755" s="30"/>
    </row>
    <row r="2756" spans="1:3" x14ac:dyDescent="0.25">
      <c r="A2756" s="31"/>
      <c r="B2756" s="30"/>
      <c r="C2756" s="30"/>
    </row>
    <row r="2757" spans="1:3" x14ac:dyDescent="0.25">
      <c r="A2757" s="31"/>
      <c r="B2757" s="30"/>
      <c r="C2757" s="30"/>
    </row>
    <row r="2758" spans="1:3" x14ac:dyDescent="0.25">
      <c r="A2758" s="31"/>
      <c r="B2758" s="30"/>
      <c r="C2758" s="30"/>
    </row>
    <row r="2759" spans="1:3" x14ac:dyDescent="0.25">
      <c r="A2759" s="31"/>
      <c r="B2759" s="30"/>
      <c r="C2759" s="30"/>
    </row>
    <row r="2760" spans="1:3" x14ac:dyDescent="0.25">
      <c r="A2760" s="31"/>
      <c r="B2760" s="30"/>
      <c r="C2760" s="30"/>
    </row>
    <row r="2761" spans="1:3" x14ac:dyDescent="0.25">
      <c r="A2761" s="31"/>
      <c r="B2761" s="30"/>
      <c r="C2761" s="30"/>
    </row>
    <row r="2762" spans="1:3" x14ac:dyDescent="0.25">
      <c r="A2762" s="31"/>
      <c r="B2762" s="30"/>
      <c r="C2762" s="30"/>
    </row>
    <row r="2763" spans="1:3" x14ac:dyDescent="0.25">
      <c r="A2763" s="31"/>
      <c r="B2763" s="30"/>
      <c r="C2763" s="30"/>
    </row>
    <row r="2764" spans="1:3" x14ac:dyDescent="0.25">
      <c r="A2764" s="31"/>
      <c r="B2764" s="30"/>
      <c r="C2764" s="30"/>
    </row>
    <row r="2765" spans="1:3" x14ac:dyDescent="0.25">
      <c r="A2765" s="31"/>
      <c r="B2765" s="30"/>
      <c r="C2765" s="30"/>
    </row>
    <row r="2766" spans="1:3" x14ac:dyDescent="0.25">
      <c r="A2766" s="31"/>
      <c r="B2766" s="30"/>
      <c r="C2766" s="30"/>
    </row>
    <row r="2767" spans="1:3" x14ac:dyDescent="0.25">
      <c r="A2767" s="31"/>
      <c r="B2767" s="30"/>
      <c r="C2767" s="30"/>
    </row>
    <row r="2768" spans="1:3" x14ac:dyDescent="0.25">
      <c r="A2768" s="31"/>
      <c r="B2768" s="30"/>
      <c r="C2768" s="30"/>
    </row>
    <row r="2769" spans="1:3" x14ac:dyDescent="0.25">
      <c r="A2769" s="31"/>
      <c r="B2769" s="30"/>
      <c r="C2769" s="30"/>
    </row>
    <row r="2770" spans="1:3" x14ac:dyDescent="0.25">
      <c r="A2770" s="31"/>
      <c r="B2770" s="30"/>
      <c r="C2770" s="30"/>
    </row>
    <row r="2771" spans="1:3" x14ac:dyDescent="0.25">
      <c r="A2771" s="31"/>
      <c r="B2771" s="30"/>
      <c r="C2771" s="30"/>
    </row>
    <row r="2772" spans="1:3" x14ac:dyDescent="0.25">
      <c r="A2772" s="31"/>
      <c r="B2772" s="30"/>
      <c r="C2772" s="30"/>
    </row>
    <row r="2773" spans="1:3" x14ac:dyDescent="0.25">
      <c r="A2773" s="31"/>
      <c r="B2773" s="30"/>
      <c r="C2773" s="30"/>
    </row>
    <row r="2774" spans="1:3" x14ac:dyDescent="0.25">
      <c r="A2774" s="31"/>
      <c r="B2774" s="30"/>
      <c r="C2774" s="30"/>
    </row>
    <row r="2775" spans="1:3" x14ac:dyDescent="0.25">
      <c r="A2775" s="31"/>
      <c r="B2775" s="30"/>
      <c r="C2775" s="30"/>
    </row>
    <row r="2776" spans="1:3" x14ac:dyDescent="0.25">
      <c r="A2776" s="31"/>
      <c r="B2776" s="30"/>
      <c r="C2776" s="30"/>
    </row>
    <row r="2777" spans="1:3" x14ac:dyDescent="0.25">
      <c r="A2777" s="31"/>
      <c r="B2777" s="30"/>
      <c r="C2777" s="30"/>
    </row>
    <row r="2778" spans="1:3" x14ac:dyDescent="0.25">
      <c r="A2778" s="31"/>
      <c r="B2778" s="30"/>
      <c r="C2778" s="30"/>
    </row>
    <row r="2779" spans="1:3" x14ac:dyDescent="0.25">
      <c r="A2779" s="31"/>
      <c r="B2779" s="30"/>
      <c r="C2779" s="30"/>
    </row>
    <row r="2780" spans="1:3" x14ac:dyDescent="0.25">
      <c r="A2780" s="31"/>
      <c r="B2780" s="30"/>
      <c r="C2780" s="30"/>
    </row>
    <row r="2781" spans="1:3" x14ac:dyDescent="0.25">
      <c r="A2781" s="31"/>
      <c r="B2781" s="30"/>
      <c r="C2781" s="30"/>
    </row>
    <row r="2782" spans="1:3" x14ac:dyDescent="0.25">
      <c r="A2782" s="31"/>
      <c r="B2782" s="30"/>
      <c r="C2782" s="30"/>
    </row>
    <row r="2783" spans="1:3" x14ac:dyDescent="0.25">
      <c r="A2783" s="31"/>
      <c r="B2783" s="30"/>
      <c r="C2783" s="30"/>
    </row>
    <row r="2784" spans="1:3" x14ac:dyDescent="0.25">
      <c r="A2784" s="31"/>
      <c r="B2784" s="30"/>
      <c r="C2784" s="30"/>
    </row>
    <row r="2785" spans="1:3" x14ac:dyDescent="0.25">
      <c r="A2785" s="31"/>
      <c r="B2785" s="30"/>
      <c r="C2785" s="30"/>
    </row>
    <row r="2786" spans="1:3" x14ac:dyDescent="0.25">
      <c r="A2786" s="31"/>
      <c r="B2786" s="30"/>
      <c r="C2786" s="30"/>
    </row>
    <row r="2787" spans="1:3" x14ac:dyDescent="0.25">
      <c r="A2787" s="31"/>
      <c r="B2787" s="30"/>
      <c r="C2787" s="30"/>
    </row>
    <row r="2788" spans="1:3" x14ac:dyDescent="0.25">
      <c r="A2788" s="31"/>
      <c r="B2788" s="30"/>
      <c r="C2788" s="30"/>
    </row>
    <row r="2789" spans="1:3" x14ac:dyDescent="0.25">
      <c r="A2789" s="31"/>
      <c r="B2789" s="30"/>
      <c r="C2789" s="30"/>
    </row>
    <row r="2790" spans="1:3" x14ac:dyDescent="0.25">
      <c r="A2790" s="31"/>
      <c r="B2790" s="30"/>
      <c r="C2790" s="30"/>
    </row>
    <row r="2791" spans="1:3" x14ac:dyDescent="0.25">
      <c r="A2791" s="31"/>
      <c r="B2791" s="30"/>
      <c r="C2791" s="30"/>
    </row>
    <row r="2792" spans="1:3" x14ac:dyDescent="0.25">
      <c r="A2792" s="31"/>
      <c r="B2792" s="30"/>
      <c r="C2792" s="30"/>
    </row>
    <row r="2793" spans="1:3" x14ac:dyDescent="0.25">
      <c r="A2793" s="31"/>
      <c r="B2793" s="30"/>
      <c r="C2793" s="30"/>
    </row>
    <row r="2794" spans="1:3" x14ac:dyDescent="0.25">
      <c r="A2794" s="31"/>
      <c r="B2794" s="30"/>
      <c r="C2794" s="30"/>
    </row>
    <row r="2795" spans="1:3" x14ac:dyDescent="0.25">
      <c r="A2795" s="31"/>
      <c r="B2795" s="30"/>
      <c r="C2795" s="30"/>
    </row>
    <row r="2796" spans="1:3" x14ac:dyDescent="0.25">
      <c r="A2796" s="31"/>
      <c r="B2796" s="30"/>
      <c r="C2796" s="30"/>
    </row>
    <row r="2797" spans="1:3" x14ac:dyDescent="0.25">
      <c r="A2797" s="31"/>
      <c r="B2797" s="30"/>
      <c r="C2797" s="30"/>
    </row>
    <row r="2798" spans="1:3" x14ac:dyDescent="0.25">
      <c r="A2798" s="31"/>
      <c r="B2798" s="30"/>
      <c r="C2798" s="30"/>
    </row>
    <row r="2799" spans="1:3" x14ac:dyDescent="0.25">
      <c r="A2799" s="31"/>
      <c r="B2799" s="30"/>
      <c r="C2799" s="30"/>
    </row>
    <row r="2800" spans="1:3" x14ac:dyDescent="0.25">
      <c r="A2800" s="31"/>
      <c r="B2800" s="30"/>
      <c r="C2800" s="30"/>
    </row>
    <row r="2801" spans="1:3" x14ac:dyDescent="0.25">
      <c r="A2801" s="31"/>
      <c r="B2801" s="30"/>
      <c r="C2801" s="30"/>
    </row>
    <row r="2802" spans="1:3" x14ac:dyDescent="0.25">
      <c r="A2802" s="31"/>
      <c r="B2802" s="30"/>
      <c r="C2802" s="30"/>
    </row>
    <row r="2803" spans="1:3" x14ac:dyDescent="0.25">
      <c r="A2803" s="31"/>
      <c r="B2803" s="30"/>
      <c r="C2803" s="30"/>
    </row>
    <row r="2804" spans="1:3" x14ac:dyDescent="0.25">
      <c r="A2804" s="31"/>
      <c r="B2804" s="30"/>
      <c r="C2804" s="30"/>
    </row>
    <row r="2805" spans="1:3" x14ac:dyDescent="0.25">
      <c r="A2805" s="31"/>
      <c r="B2805" s="30"/>
      <c r="C2805" s="30"/>
    </row>
    <row r="2806" spans="1:3" x14ac:dyDescent="0.25">
      <c r="A2806" s="31"/>
      <c r="B2806" s="30"/>
      <c r="C2806" s="30"/>
    </row>
    <row r="2807" spans="1:3" x14ac:dyDescent="0.25">
      <c r="A2807" s="31"/>
      <c r="B2807" s="30"/>
      <c r="C2807" s="30"/>
    </row>
    <row r="2808" spans="1:3" x14ac:dyDescent="0.25">
      <c r="A2808" s="31"/>
      <c r="B2808" s="30"/>
      <c r="C2808" s="30"/>
    </row>
    <row r="2809" spans="1:3" x14ac:dyDescent="0.25">
      <c r="A2809" s="31"/>
      <c r="B2809" s="30"/>
      <c r="C2809" s="30"/>
    </row>
    <row r="2810" spans="1:3" x14ac:dyDescent="0.25">
      <c r="A2810" s="31"/>
      <c r="B2810" s="30"/>
      <c r="C2810" s="30"/>
    </row>
    <row r="2811" spans="1:3" x14ac:dyDescent="0.25">
      <c r="A2811" s="31"/>
      <c r="B2811" s="30"/>
      <c r="C2811" s="30"/>
    </row>
    <row r="2812" spans="1:3" x14ac:dyDescent="0.25">
      <c r="A2812" s="31"/>
      <c r="B2812" s="30"/>
      <c r="C2812" s="30"/>
    </row>
    <row r="2813" spans="1:3" x14ac:dyDescent="0.25">
      <c r="A2813" s="31"/>
      <c r="B2813" s="30"/>
      <c r="C2813" s="30"/>
    </row>
    <row r="2814" spans="1:3" x14ac:dyDescent="0.25">
      <c r="A2814" s="31"/>
      <c r="B2814" s="30"/>
      <c r="C2814" s="30"/>
    </row>
    <row r="2815" spans="1:3" x14ac:dyDescent="0.25">
      <c r="A2815" s="31"/>
      <c r="B2815" s="30"/>
      <c r="C2815" s="30"/>
    </row>
    <row r="2816" spans="1:3" x14ac:dyDescent="0.25">
      <c r="A2816" s="31"/>
      <c r="B2816" s="30"/>
      <c r="C2816" s="30"/>
    </row>
    <row r="2817" spans="1:3" x14ac:dyDescent="0.25">
      <c r="A2817" s="31"/>
      <c r="B2817" s="30"/>
      <c r="C2817" s="30"/>
    </row>
    <row r="2818" spans="1:3" x14ac:dyDescent="0.25">
      <c r="A2818" s="31"/>
      <c r="B2818" s="30"/>
      <c r="C2818" s="30"/>
    </row>
    <row r="2819" spans="1:3" x14ac:dyDescent="0.25">
      <c r="A2819" s="31"/>
      <c r="B2819" s="30"/>
      <c r="C2819" s="30"/>
    </row>
    <row r="2820" spans="1:3" x14ac:dyDescent="0.25">
      <c r="A2820" s="31"/>
      <c r="B2820" s="30"/>
      <c r="C2820" s="30"/>
    </row>
    <row r="2821" spans="1:3" x14ac:dyDescent="0.25">
      <c r="A2821" s="31"/>
      <c r="B2821" s="30"/>
      <c r="C2821" s="30"/>
    </row>
    <row r="2822" spans="1:3" x14ac:dyDescent="0.25">
      <c r="A2822" s="31"/>
      <c r="B2822" s="30"/>
      <c r="C2822" s="30"/>
    </row>
    <row r="2823" spans="1:3" x14ac:dyDescent="0.25">
      <c r="A2823" s="31"/>
      <c r="B2823" s="30"/>
      <c r="C2823" s="30"/>
    </row>
    <row r="2824" spans="1:3" x14ac:dyDescent="0.25">
      <c r="A2824" s="31"/>
      <c r="B2824" s="30"/>
      <c r="C2824" s="30"/>
    </row>
    <row r="2825" spans="1:3" x14ac:dyDescent="0.25">
      <c r="A2825" s="31"/>
      <c r="B2825" s="30"/>
      <c r="C2825" s="30"/>
    </row>
    <row r="2826" spans="1:3" x14ac:dyDescent="0.25">
      <c r="A2826" s="31"/>
      <c r="B2826" s="30"/>
      <c r="C2826" s="30"/>
    </row>
    <row r="2827" spans="1:3" x14ac:dyDescent="0.25">
      <c r="A2827" s="31"/>
      <c r="B2827" s="30"/>
      <c r="C2827" s="30"/>
    </row>
    <row r="2828" spans="1:3" x14ac:dyDescent="0.25">
      <c r="A2828" s="31"/>
      <c r="B2828" s="30"/>
      <c r="C2828" s="30"/>
    </row>
    <row r="2829" spans="1:3" x14ac:dyDescent="0.25">
      <c r="A2829" s="31"/>
      <c r="B2829" s="30"/>
      <c r="C2829" s="30"/>
    </row>
    <row r="2830" spans="1:3" x14ac:dyDescent="0.25">
      <c r="A2830" s="31"/>
      <c r="B2830" s="30"/>
      <c r="C2830" s="30"/>
    </row>
    <row r="2831" spans="1:3" x14ac:dyDescent="0.25">
      <c r="A2831" s="31"/>
      <c r="B2831" s="30"/>
      <c r="C2831" s="30"/>
    </row>
    <row r="2832" spans="1:3" x14ac:dyDescent="0.25">
      <c r="A2832" s="31"/>
      <c r="B2832" s="30"/>
      <c r="C2832" s="30"/>
    </row>
    <row r="2833" spans="1:3" x14ac:dyDescent="0.25">
      <c r="A2833" s="31"/>
      <c r="B2833" s="30"/>
      <c r="C2833" s="30"/>
    </row>
    <row r="2834" spans="1:3" x14ac:dyDescent="0.25">
      <c r="A2834" s="31"/>
      <c r="B2834" s="30"/>
      <c r="C2834" s="30"/>
    </row>
    <row r="2835" spans="1:3" x14ac:dyDescent="0.25">
      <c r="A2835" s="31"/>
      <c r="B2835" s="30"/>
      <c r="C2835" s="30"/>
    </row>
    <row r="2836" spans="1:3" x14ac:dyDescent="0.25">
      <c r="A2836" s="31"/>
      <c r="B2836" s="30"/>
      <c r="C2836" s="30"/>
    </row>
    <row r="2837" spans="1:3" x14ac:dyDescent="0.25">
      <c r="A2837" s="31"/>
      <c r="B2837" s="30"/>
      <c r="C2837" s="30"/>
    </row>
    <row r="2838" spans="1:3" x14ac:dyDescent="0.25">
      <c r="A2838" s="31"/>
      <c r="B2838" s="30"/>
      <c r="C2838" s="30"/>
    </row>
    <row r="2839" spans="1:3" x14ac:dyDescent="0.25">
      <c r="A2839" s="31"/>
      <c r="B2839" s="30"/>
      <c r="C2839" s="30"/>
    </row>
    <row r="2840" spans="1:3" x14ac:dyDescent="0.25">
      <c r="A2840" s="31"/>
      <c r="B2840" s="30"/>
      <c r="C2840" s="30"/>
    </row>
    <row r="2841" spans="1:3" x14ac:dyDescent="0.25">
      <c r="A2841" s="31"/>
      <c r="B2841" s="30"/>
      <c r="C2841" s="30"/>
    </row>
    <row r="2842" spans="1:3" x14ac:dyDescent="0.25">
      <c r="A2842" s="31"/>
      <c r="B2842" s="30"/>
      <c r="C2842" s="30"/>
    </row>
    <row r="2843" spans="1:3" x14ac:dyDescent="0.25">
      <c r="A2843" s="31"/>
      <c r="B2843" s="30"/>
      <c r="C2843" s="30"/>
    </row>
    <row r="2844" spans="1:3" x14ac:dyDescent="0.25">
      <c r="A2844" s="31"/>
      <c r="B2844" s="30"/>
      <c r="C2844" s="30"/>
    </row>
    <row r="2845" spans="1:3" x14ac:dyDescent="0.25">
      <c r="A2845" s="31"/>
      <c r="B2845" s="30"/>
      <c r="C2845" s="30"/>
    </row>
    <row r="2846" spans="1:3" x14ac:dyDescent="0.25">
      <c r="A2846" s="31"/>
      <c r="B2846" s="30"/>
      <c r="C2846" s="30"/>
    </row>
    <row r="2847" spans="1:3" x14ac:dyDescent="0.25">
      <c r="A2847" s="31"/>
      <c r="B2847" s="30"/>
      <c r="C2847" s="30"/>
    </row>
    <row r="2848" spans="1:3" x14ac:dyDescent="0.25">
      <c r="A2848" s="31"/>
      <c r="B2848" s="30"/>
      <c r="C2848" s="30"/>
    </row>
    <row r="2849" spans="1:3" x14ac:dyDescent="0.25">
      <c r="A2849" s="31"/>
      <c r="B2849" s="30"/>
      <c r="C2849" s="30"/>
    </row>
    <row r="2850" spans="1:3" x14ac:dyDescent="0.25">
      <c r="A2850" s="31"/>
      <c r="B2850" s="30"/>
      <c r="C2850" s="30"/>
    </row>
    <row r="2851" spans="1:3" x14ac:dyDescent="0.25">
      <c r="A2851" s="31"/>
      <c r="B2851" s="30"/>
      <c r="C2851" s="30"/>
    </row>
    <row r="2852" spans="1:3" x14ac:dyDescent="0.25">
      <c r="A2852" s="31"/>
      <c r="B2852" s="30"/>
      <c r="C2852" s="30"/>
    </row>
    <row r="2853" spans="1:3" x14ac:dyDescent="0.25">
      <c r="A2853" s="31"/>
      <c r="B2853" s="30"/>
      <c r="C2853" s="30"/>
    </row>
    <row r="2854" spans="1:3" x14ac:dyDescent="0.25">
      <c r="A2854" s="31"/>
      <c r="B2854" s="30"/>
      <c r="C2854" s="30"/>
    </row>
    <row r="2855" spans="1:3" x14ac:dyDescent="0.25">
      <c r="A2855" s="31"/>
      <c r="B2855" s="30"/>
      <c r="C2855" s="30"/>
    </row>
    <row r="2856" spans="1:3" x14ac:dyDescent="0.25">
      <c r="A2856" s="31"/>
      <c r="B2856" s="30"/>
      <c r="C2856" s="30"/>
    </row>
    <row r="2857" spans="1:3" x14ac:dyDescent="0.25">
      <c r="A2857" s="31"/>
      <c r="B2857" s="30"/>
      <c r="C2857" s="30"/>
    </row>
    <row r="2858" spans="1:3" x14ac:dyDescent="0.25">
      <c r="A2858" s="31"/>
      <c r="B2858" s="30"/>
      <c r="C2858" s="30"/>
    </row>
    <row r="2859" spans="1:3" x14ac:dyDescent="0.25">
      <c r="A2859" s="31"/>
      <c r="B2859" s="30"/>
      <c r="C2859" s="30"/>
    </row>
    <row r="2860" spans="1:3" x14ac:dyDescent="0.25">
      <c r="A2860" s="31"/>
      <c r="B2860" s="30"/>
      <c r="C2860" s="30"/>
    </row>
    <row r="2861" spans="1:3" x14ac:dyDescent="0.25">
      <c r="A2861" s="31"/>
      <c r="B2861" s="30"/>
      <c r="C2861" s="30"/>
    </row>
    <row r="2862" spans="1:3" x14ac:dyDescent="0.25">
      <c r="A2862" s="31"/>
      <c r="B2862" s="30"/>
      <c r="C2862" s="30"/>
    </row>
    <row r="2863" spans="1:3" x14ac:dyDescent="0.25">
      <c r="A2863" s="31"/>
      <c r="B2863" s="30"/>
      <c r="C2863" s="30"/>
    </row>
    <row r="2864" spans="1:3" x14ac:dyDescent="0.25">
      <c r="A2864" s="31"/>
      <c r="B2864" s="30"/>
      <c r="C2864" s="30"/>
    </row>
    <row r="2865" spans="1:3" x14ac:dyDescent="0.25">
      <c r="A2865" s="31"/>
      <c r="B2865" s="30"/>
      <c r="C2865" s="30"/>
    </row>
    <row r="2866" spans="1:3" x14ac:dyDescent="0.25">
      <c r="A2866" s="31"/>
      <c r="B2866" s="30"/>
      <c r="C2866" s="30"/>
    </row>
    <row r="2867" spans="1:3" x14ac:dyDescent="0.25">
      <c r="A2867" s="31"/>
      <c r="B2867" s="30"/>
      <c r="C2867" s="30"/>
    </row>
    <row r="2868" spans="1:3" x14ac:dyDescent="0.25">
      <c r="A2868" s="31"/>
      <c r="B2868" s="30"/>
      <c r="C2868" s="30"/>
    </row>
    <row r="2869" spans="1:3" x14ac:dyDescent="0.25">
      <c r="A2869" s="31"/>
      <c r="B2869" s="30"/>
      <c r="C2869" s="30"/>
    </row>
    <row r="2870" spans="1:3" x14ac:dyDescent="0.25">
      <c r="A2870" s="31"/>
      <c r="B2870" s="30"/>
      <c r="C2870" s="30"/>
    </row>
    <row r="2871" spans="1:3" x14ac:dyDescent="0.25">
      <c r="A2871" s="31"/>
      <c r="B2871" s="30"/>
      <c r="C2871" s="30"/>
    </row>
    <row r="2872" spans="1:3" x14ac:dyDescent="0.25">
      <c r="A2872" s="31"/>
      <c r="B2872" s="30"/>
      <c r="C2872" s="30"/>
    </row>
    <row r="2873" spans="1:3" x14ac:dyDescent="0.25">
      <c r="A2873" s="31"/>
      <c r="B2873" s="30"/>
      <c r="C2873" s="30"/>
    </row>
    <row r="2874" spans="1:3" x14ac:dyDescent="0.25">
      <c r="A2874" s="31"/>
      <c r="B2874" s="30"/>
      <c r="C2874" s="30"/>
    </row>
    <row r="2875" spans="1:3" x14ac:dyDescent="0.25">
      <c r="A2875" s="31"/>
      <c r="B2875" s="30"/>
      <c r="C2875" s="30"/>
    </row>
    <row r="2876" spans="1:3" x14ac:dyDescent="0.25">
      <c r="A2876" s="31"/>
      <c r="B2876" s="30"/>
      <c r="C2876" s="30"/>
    </row>
    <row r="2877" spans="1:3" x14ac:dyDescent="0.25">
      <c r="A2877" s="31"/>
      <c r="B2877" s="30"/>
      <c r="C2877" s="30"/>
    </row>
    <row r="2878" spans="1:3" x14ac:dyDescent="0.25">
      <c r="A2878" s="31"/>
      <c r="B2878" s="30"/>
      <c r="C2878" s="30"/>
    </row>
    <row r="2879" spans="1:3" x14ac:dyDescent="0.25">
      <c r="A2879" s="31"/>
      <c r="B2879" s="30"/>
      <c r="C2879" s="30"/>
    </row>
    <row r="2880" spans="1:3" x14ac:dyDescent="0.25">
      <c r="A2880" s="31"/>
      <c r="B2880" s="30"/>
      <c r="C2880" s="30"/>
    </row>
    <row r="2881" spans="1:3" x14ac:dyDescent="0.25">
      <c r="A2881" s="31"/>
      <c r="B2881" s="30"/>
      <c r="C2881" s="30"/>
    </row>
    <row r="2882" spans="1:3" x14ac:dyDescent="0.25">
      <c r="A2882" s="31"/>
      <c r="B2882" s="30"/>
      <c r="C2882" s="30"/>
    </row>
    <row r="2883" spans="1:3" x14ac:dyDescent="0.25">
      <c r="A2883" s="31"/>
      <c r="B2883" s="30"/>
      <c r="C2883" s="30"/>
    </row>
    <row r="2884" spans="1:3" x14ac:dyDescent="0.25">
      <c r="A2884" s="31"/>
      <c r="B2884" s="30"/>
      <c r="C2884" s="30"/>
    </row>
    <row r="2885" spans="1:3" x14ac:dyDescent="0.25">
      <c r="A2885" s="31"/>
      <c r="B2885" s="30"/>
      <c r="C2885" s="30"/>
    </row>
    <row r="2886" spans="1:3" x14ac:dyDescent="0.25">
      <c r="A2886" s="31"/>
      <c r="B2886" s="30"/>
      <c r="C2886" s="30"/>
    </row>
    <row r="2887" spans="1:3" x14ac:dyDescent="0.25">
      <c r="A2887" s="31"/>
      <c r="B2887" s="30"/>
      <c r="C2887" s="30"/>
    </row>
    <row r="2888" spans="1:3" x14ac:dyDescent="0.25">
      <c r="A2888" s="31"/>
      <c r="B2888" s="30"/>
      <c r="C2888" s="30"/>
    </row>
    <row r="2889" spans="1:3" x14ac:dyDescent="0.25">
      <c r="A2889" s="31"/>
      <c r="B2889" s="30"/>
      <c r="C2889" s="30"/>
    </row>
    <row r="2890" spans="1:3" x14ac:dyDescent="0.25">
      <c r="A2890" s="31"/>
      <c r="B2890" s="30"/>
      <c r="C2890" s="30"/>
    </row>
    <row r="2891" spans="1:3" x14ac:dyDescent="0.25">
      <c r="A2891" s="31"/>
      <c r="B2891" s="30"/>
      <c r="C2891" s="30"/>
    </row>
    <row r="2892" spans="1:3" x14ac:dyDescent="0.25">
      <c r="A2892" s="31"/>
      <c r="B2892" s="30"/>
      <c r="C2892" s="30"/>
    </row>
    <row r="2893" spans="1:3" x14ac:dyDescent="0.25">
      <c r="A2893" s="31"/>
      <c r="B2893" s="30"/>
      <c r="C2893" s="30"/>
    </row>
    <row r="2894" spans="1:3" x14ac:dyDescent="0.25">
      <c r="A2894" s="31"/>
      <c r="B2894" s="30"/>
      <c r="C2894" s="30"/>
    </row>
    <row r="2895" spans="1:3" x14ac:dyDescent="0.25">
      <c r="A2895" s="31"/>
      <c r="B2895" s="30"/>
      <c r="C2895" s="30"/>
    </row>
    <row r="2896" spans="1:3" x14ac:dyDescent="0.25">
      <c r="A2896" s="31"/>
      <c r="B2896" s="30"/>
      <c r="C2896" s="30"/>
    </row>
    <row r="2897" spans="1:3" x14ac:dyDescent="0.25">
      <c r="A2897" s="31"/>
      <c r="B2897" s="30"/>
      <c r="C2897" s="30"/>
    </row>
    <row r="2898" spans="1:3" x14ac:dyDescent="0.25">
      <c r="A2898" s="31"/>
      <c r="B2898" s="30"/>
      <c r="C2898" s="30"/>
    </row>
    <row r="2899" spans="1:3" x14ac:dyDescent="0.25">
      <c r="A2899" s="31"/>
      <c r="B2899" s="30"/>
      <c r="C2899" s="30"/>
    </row>
    <row r="2900" spans="1:3" x14ac:dyDescent="0.25">
      <c r="A2900" s="31"/>
      <c r="B2900" s="30"/>
      <c r="C2900" s="30"/>
    </row>
    <row r="2901" spans="1:3" x14ac:dyDescent="0.25">
      <c r="A2901" s="31"/>
      <c r="B2901" s="30"/>
      <c r="C2901" s="30"/>
    </row>
    <row r="2902" spans="1:3" x14ac:dyDescent="0.25">
      <c r="A2902" s="31"/>
      <c r="B2902" s="30"/>
      <c r="C2902" s="30"/>
    </row>
    <row r="2903" spans="1:3" x14ac:dyDescent="0.25">
      <c r="A2903" s="31"/>
      <c r="B2903" s="30"/>
      <c r="C2903" s="30"/>
    </row>
    <row r="2904" spans="1:3" x14ac:dyDescent="0.25">
      <c r="A2904" s="31"/>
      <c r="B2904" s="30"/>
      <c r="C2904" s="30"/>
    </row>
    <row r="2905" spans="1:3" x14ac:dyDescent="0.25">
      <c r="A2905" s="31"/>
      <c r="B2905" s="30"/>
      <c r="C2905" s="30"/>
    </row>
    <row r="2906" spans="1:3" x14ac:dyDescent="0.25">
      <c r="A2906" s="31"/>
      <c r="B2906" s="30"/>
      <c r="C2906" s="30"/>
    </row>
    <row r="2907" spans="1:3" x14ac:dyDescent="0.25">
      <c r="A2907" s="31"/>
      <c r="B2907" s="30"/>
      <c r="C2907" s="30"/>
    </row>
    <row r="2908" spans="1:3" x14ac:dyDescent="0.25">
      <c r="A2908" s="31"/>
      <c r="B2908" s="30"/>
      <c r="C2908" s="30"/>
    </row>
    <row r="2909" spans="1:3" x14ac:dyDescent="0.25">
      <c r="A2909" s="31"/>
      <c r="B2909" s="30"/>
      <c r="C2909" s="30"/>
    </row>
    <row r="2910" spans="1:3" x14ac:dyDescent="0.25">
      <c r="A2910" s="31"/>
      <c r="B2910" s="30"/>
      <c r="C2910" s="30"/>
    </row>
    <row r="2911" spans="1:3" x14ac:dyDescent="0.25">
      <c r="A2911" s="31"/>
      <c r="B2911" s="30"/>
      <c r="C2911" s="30"/>
    </row>
    <row r="2912" spans="1:3" x14ac:dyDescent="0.25">
      <c r="A2912" s="31"/>
      <c r="B2912" s="30"/>
      <c r="C2912" s="30"/>
    </row>
    <row r="2913" spans="1:3" x14ac:dyDescent="0.25">
      <c r="A2913" s="31"/>
      <c r="B2913" s="30"/>
      <c r="C2913" s="30"/>
    </row>
    <row r="2914" spans="1:3" x14ac:dyDescent="0.25">
      <c r="A2914" s="31"/>
      <c r="B2914" s="30"/>
      <c r="C2914" s="30"/>
    </row>
    <row r="2915" spans="1:3" x14ac:dyDescent="0.25">
      <c r="A2915" s="31"/>
      <c r="B2915" s="30"/>
      <c r="C2915" s="30"/>
    </row>
    <row r="2916" spans="1:3" x14ac:dyDescent="0.25">
      <c r="A2916" s="31"/>
      <c r="B2916" s="30"/>
      <c r="C2916" s="30"/>
    </row>
    <row r="2917" spans="1:3" x14ac:dyDescent="0.25">
      <c r="A2917" s="31"/>
      <c r="B2917" s="30"/>
      <c r="C2917" s="30"/>
    </row>
    <row r="2918" spans="1:3" x14ac:dyDescent="0.25">
      <c r="A2918" s="31"/>
      <c r="B2918" s="30"/>
      <c r="C2918" s="30"/>
    </row>
    <row r="2919" spans="1:3" x14ac:dyDescent="0.25">
      <c r="A2919" s="31"/>
      <c r="B2919" s="30"/>
      <c r="C2919" s="30"/>
    </row>
    <row r="2920" spans="1:3" x14ac:dyDescent="0.25">
      <c r="A2920" s="31"/>
      <c r="B2920" s="30"/>
      <c r="C2920" s="30"/>
    </row>
    <row r="2921" spans="1:3" x14ac:dyDescent="0.25">
      <c r="A2921" s="31"/>
      <c r="B2921" s="30"/>
      <c r="C2921" s="30"/>
    </row>
    <row r="2922" spans="1:3" x14ac:dyDescent="0.25">
      <c r="A2922" s="31"/>
      <c r="B2922" s="30"/>
      <c r="C2922" s="30"/>
    </row>
    <row r="2923" spans="1:3" x14ac:dyDescent="0.25">
      <c r="A2923" s="31"/>
      <c r="B2923" s="30"/>
      <c r="C2923" s="30"/>
    </row>
    <row r="2924" spans="1:3" x14ac:dyDescent="0.25">
      <c r="A2924" s="31"/>
      <c r="B2924" s="30"/>
      <c r="C2924" s="30"/>
    </row>
    <row r="2925" spans="1:3" x14ac:dyDescent="0.25">
      <c r="A2925" s="31"/>
      <c r="B2925" s="30"/>
      <c r="C2925" s="30"/>
    </row>
    <row r="2926" spans="1:3" x14ac:dyDescent="0.25">
      <c r="A2926" s="31"/>
      <c r="B2926" s="30"/>
      <c r="C2926" s="30"/>
    </row>
    <row r="2927" spans="1:3" x14ac:dyDescent="0.25">
      <c r="A2927" s="31"/>
      <c r="B2927" s="30"/>
      <c r="C2927" s="30"/>
    </row>
    <row r="2928" spans="1:3" x14ac:dyDescent="0.25">
      <c r="A2928" s="31"/>
      <c r="B2928" s="30"/>
      <c r="C2928" s="30"/>
    </row>
    <row r="2929" spans="1:3" x14ac:dyDescent="0.25">
      <c r="A2929" s="31"/>
      <c r="B2929" s="30"/>
      <c r="C2929" s="30"/>
    </row>
    <row r="2930" spans="1:3" x14ac:dyDescent="0.25">
      <c r="A2930" s="31"/>
      <c r="B2930" s="30"/>
      <c r="C2930" s="30"/>
    </row>
    <row r="2931" spans="1:3" x14ac:dyDescent="0.25">
      <c r="A2931" s="31"/>
      <c r="B2931" s="30"/>
      <c r="C2931" s="30"/>
    </row>
    <row r="2932" spans="1:3" x14ac:dyDescent="0.25">
      <c r="A2932" s="31"/>
      <c r="B2932" s="30"/>
      <c r="C2932" s="30"/>
    </row>
    <row r="2933" spans="1:3" x14ac:dyDescent="0.25">
      <c r="A2933" s="31"/>
      <c r="B2933" s="30"/>
      <c r="C2933" s="30"/>
    </row>
    <row r="2934" spans="1:3" x14ac:dyDescent="0.25">
      <c r="A2934" s="31"/>
      <c r="B2934" s="30"/>
      <c r="C2934" s="30"/>
    </row>
    <row r="2935" spans="1:3" x14ac:dyDescent="0.25">
      <c r="A2935" s="31"/>
      <c r="B2935" s="30"/>
      <c r="C2935" s="30"/>
    </row>
    <row r="2936" spans="1:3" x14ac:dyDescent="0.25">
      <c r="A2936" s="31"/>
      <c r="B2936" s="30"/>
      <c r="C2936" s="30"/>
    </row>
    <row r="2937" spans="1:3" x14ac:dyDescent="0.25">
      <c r="A2937" s="31"/>
      <c r="B2937" s="30"/>
      <c r="C2937" s="30"/>
    </row>
    <row r="2938" spans="1:3" x14ac:dyDescent="0.25">
      <c r="A2938" s="31"/>
      <c r="B2938" s="30"/>
      <c r="C2938" s="30"/>
    </row>
    <row r="2939" spans="1:3" x14ac:dyDescent="0.25">
      <c r="A2939" s="31"/>
      <c r="B2939" s="30"/>
      <c r="C2939" s="30"/>
    </row>
    <row r="2940" spans="1:3" x14ac:dyDescent="0.25">
      <c r="A2940" s="31"/>
      <c r="B2940" s="30"/>
      <c r="C2940" s="30"/>
    </row>
    <row r="2941" spans="1:3" x14ac:dyDescent="0.25">
      <c r="A2941" s="31"/>
      <c r="B2941" s="30"/>
      <c r="C2941" s="30"/>
    </row>
    <row r="2942" spans="1:3" x14ac:dyDescent="0.25">
      <c r="A2942" s="31"/>
      <c r="B2942" s="30"/>
      <c r="C2942" s="30"/>
    </row>
    <row r="2943" spans="1:3" x14ac:dyDescent="0.25">
      <c r="A2943" s="31"/>
      <c r="B2943" s="30"/>
      <c r="C2943" s="30"/>
    </row>
    <row r="2944" spans="1:3" x14ac:dyDescent="0.25">
      <c r="A2944" s="31"/>
      <c r="B2944" s="30"/>
      <c r="C2944" s="30"/>
    </row>
    <row r="2945" spans="1:3" x14ac:dyDescent="0.25">
      <c r="A2945" s="31"/>
      <c r="B2945" s="30"/>
      <c r="C2945" s="30"/>
    </row>
    <row r="2946" spans="1:3" x14ac:dyDescent="0.25">
      <c r="A2946" s="31"/>
      <c r="B2946" s="30"/>
      <c r="C2946" s="30"/>
    </row>
    <row r="2947" spans="1:3" x14ac:dyDescent="0.25">
      <c r="A2947" s="31"/>
      <c r="B2947" s="30"/>
      <c r="C2947" s="30"/>
    </row>
    <row r="2948" spans="1:3" x14ac:dyDescent="0.25">
      <c r="A2948" s="31"/>
      <c r="B2948" s="30"/>
      <c r="C2948" s="30"/>
    </row>
    <row r="2949" spans="1:3" x14ac:dyDescent="0.25">
      <c r="A2949" s="31"/>
      <c r="B2949" s="30"/>
      <c r="C2949" s="30"/>
    </row>
    <row r="2950" spans="1:3" x14ac:dyDescent="0.25">
      <c r="A2950" s="31"/>
      <c r="B2950" s="30"/>
      <c r="C2950" s="30"/>
    </row>
    <row r="2951" spans="1:3" x14ac:dyDescent="0.25">
      <c r="A2951" s="31"/>
      <c r="B2951" s="30"/>
      <c r="C2951" s="30"/>
    </row>
    <row r="2952" spans="1:3" x14ac:dyDescent="0.25">
      <c r="A2952" s="31"/>
      <c r="B2952" s="30"/>
      <c r="C2952" s="30"/>
    </row>
    <row r="2953" spans="1:3" x14ac:dyDescent="0.25">
      <c r="A2953" s="31"/>
      <c r="B2953" s="30"/>
      <c r="C2953" s="30"/>
    </row>
    <row r="2954" spans="1:3" x14ac:dyDescent="0.25">
      <c r="A2954" s="31"/>
      <c r="B2954" s="30"/>
      <c r="C2954" s="30"/>
    </row>
    <row r="2955" spans="1:3" x14ac:dyDescent="0.25">
      <c r="A2955" s="31"/>
      <c r="B2955" s="30"/>
      <c r="C2955" s="30"/>
    </row>
    <row r="2956" spans="1:3" x14ac:dyDescent="0.25">
      <c r="A2956" s="31"/>
      <c r="B2956" s="30"/>
      <c r="C2956" s="30"/>
    </row>
    <row r="2957" spans="1:3" x14ac:dyDescent="0.25">
      <c r="A2957" s="31"/>
      <c r="B2957" s="30"/>
      <c r="C2957" s="30"/>
    </row>
    <row r="2958" spans="1:3" x14ac:dyDescent="0.25">
      <c r="A2958" s="31"/>
      <c r="B2958" s="30"/>
      <c r="C2958" s="30"/>
    </row>
    <row r="2959" spans="1:3" x14ac:dyDescent="0.25">
      <c r="A2959" s="31"/>
      <c r="B2959" s="30"/>
      <c r="C2959" s="30"/>
    </row>
    <row r="2960" spans="1:3" x14ac:dyDescent="0.25">
      <c r="A2960" s="31"/>
      <c r="B2960" s="30"/>
      <c r="C2960" s="30"/>
    </row>
    <row r="2961" spans="1:3" x14ac:dyDescent="0.25">
      <c r="A2961" s="31"/>
      <c r="B2961" s="30"/>
      <c r="C2961" s="30"/>
    </row>
    <row r="2962" spans="1:3" x14ac:dyDescent="0.25">
      <c r="A2962" s="31"/>
      <c r="B2962" s="30"/>
      <c r="C2962" s="30"/>
    </row>
    <row r="2963" spans="1:3" x14ac:dyDescent="0.25">
      <c r="A2963" s="31"/>
      <c r="B2963" s="30"/>
      <c r="C2963" s="30"/>
    </row>
    <row r="2964" spans="1:3" x14ac:dyDescent="0.25">
      <c r="A2964" s="31"/>
      <c r="B2964" s="30"/>
      <c r="C2964" s="30"/>
    </row>
    <row r="2965" spans="1:3" x14ac:dyDescent="0.25">
      <c r="A2965" s="31"/>
      <c r="B2965" s="30"/>
      <c r="C2965" s="30"/>
    </row>
    <row r="2966" spans="1:3" x14ac:dyDescent="0.25">
      <c r="A2966" s="31"/>
      <c r="B2966" s="30"/>
      <c r="C2966" s="30"/>
    </row>
    <row r="2967" spans="1:3" x14ac:dyDescent="0.25">
      <c r="A2967" s="31"/>
      <c r="B2967" s="30"/>
      <c r="C2967" s="30"/>
    </row>
    <row r="2968" spans="1:3" x14ac:dyDescent="0.25">
      <c r="A2968" s="31"/>
      <c r="B2968" s="30"/>
      <c r="C2968" s="30"/>
    </row>
    <row r="2969" spans="1:3" x14ac:dyDescent="0.25">
      <c r="A2969" s="31"/>
      <c r="B2969" s="30"/>
      <c r="C2969" s="30"/>
    </row>
    <row r="2970" spans="1:3" x14ac:dyDescent="0.25">
      <c r="A2970" s="31"/>
      <c r="B2970" s="30"/>
      <c r="C2970" s="30"/>
    </row>
    <row r="2971" spans="1:3" x14ac:dyDescent="0.25">
      <c r="A2971" s="31"/>
      <c r="B2971" s="30"/>
      <c r="C2971" s="30"/>
    </row>
    <row r="2972" spans="1:3" x14ac:dyDescent="0.25">
      <c r="A2972" s="31"/>
      <c r="B2972" s="30"/>
      <c r="C2972" s="30"/>
    </row>
    <row r="2973" spans="1:3" x14ac:dyDescent="0.25">
      <c r="A2973" s="31"/>
      <c r="B2973" s="30"/>
      <c r="C2973" s="30"/>
    </row>
    <row r="2974" spans="1:3" x14ac:dyDescent="0.25">
      <c r="A2974" s="31"/>
      <c r="B2974" s="30"/>
      <c r="C2974" s="30"/>
    </row>
    <row r="2975" spans="1:3" x14ac:dyDescent="0.25">
      <c r="A2975" s="31"/>
      <c r="B2975" s="30"/>
      <c r="C2975" s="30"/>
    </row>
    <row r="2976" spans="1:3" x14ac:dyDescent="0.25">
      <c r="A2976" s="31"/>
      <c r="B2976" s="30"/>
      <c r="C2976" s="30"/>
    </row>
    <row r="2977" spans="1:3" x14ac:dyDescent="0.25">
      <c r="A2977" s="31"/>
      <c r="B2977" s="30"/>
      <c r="C2977" s="30"/>
    </row>
    <row r="2978" spans="1:3" x14ac:dyDescent="0.25">
      <c r="A2978" s="31"/>
      <c r="B2978" s="30"/>
      <c r="C2978" s="30"/>
    </row>
    <row r="2979" spans="1:3" x14ac:dyDescent="0.25">
      <c r="A2979" s="31"/>
      <c r="B2979" s="30"/>
      <c r="C2979" s="30"/>
    </row>
    <row r="2980" spans="1:3" x14ac:dyDescent="0.25">
      <c r="A2980" s="31"/>
      <c r="B2980" s="30"/>
      <c r="C2980" s="30"/>
    </row>
    <row r="2981" spans="1:3" x14ac:dyDescent="0.25">
      <c r="A2981" s="31"/>
      <c r="B2981" s="30"/>
      <c r="C2981" s="30"/>
    </row>
    <row r="2982" spans="1:3" x14ac:dyDescent="0.25">
      <c r="A2982" s="31"/>
      <c r="B2982" s="30"/>
      <c r="C2982" s="30"/>
    </row>
    <row r="2983" spans="1:3" x14ac:dyDescent="0.25">
      <c r="A2983" s="31"/>
      <c r="B2983" s="30"/>
      <c r="C2983" s="30"/>
    </row>
    <row r="2984" spans="1:3" x14ac:dyDescent="0.25">
      <c r="A2984" s="31"/>
      <c r="B2984" s="30"/>
      <c r="C2984" s="30"/>
    </row>
    <row r="2985" spans="1:3" x14ac:dyDescent="0.25">
      <c r="A2985" s="31"/>
      <c r="B2985" s="30"/>
      <c r="C2985" s="30"/>
    </row>
    <row r="2986" spans="1:3" x14ac:dyDescent="0.25">
      <c r="A2986" s="31"/>
      <c r="B2986" s="30"/>
      <c r="C2986" s="30"/>
    </row>
    <row r="2987" spans="1:3" x14ac:dyDescent="0.25">
      <c r="A2987" s="31"/>
      <c r="B2987" s="30"/>
      <c r="C2987" s="30"/>
    </row>
    <row r="2988" spans="1:3" x14ac:dyDescent="0.25">
      <c r="A2988" s="31"/>
      <c r="B2988" s="30"/>
      <c r="C2988" s="30"/>
    </row>
    <row r="2989" spans="1:3" x14ac:dyDescent="0.25">
      <c r="A2989" s="31"/>
      <c r="B2989" s="30"/>
      <c r="C2989" s="30"/>
    </row>
    <row r="2990" spans="1:3" x14ac:dyDescent="0.25">
      <c r="A2990" s="31"/>
      <c r="B2990" s="30"/>
      <c r="C2990" s="30"/>
    </row>
    <row r="2991" spans="1:3" x14ac:dyDescent="0.25">
      <c r="A2991" s="31"/>
      <c r="B2991" s="30"/>
      <c r="C2991" s="30"/>
    </row>
    <row r="2992" spans="1:3" x14ac:dyDescent="0.25">
      <c r="A2992" s="31"/>
      <c r="B2992" s="30"/>
      <c r="C2992" s="30"/>
    </row>
    <row r="2993" spans="1:3" x14ac:dyDescent="0.25">
      <c r="A2993" s="31"/>
      <c r="B2993" s="30"/>
      <c r="C2993" s="30"/>
    </row>
    <row r="2994" spans="1:3" x14ac:dyDescent="0.25">
      <c r="A2994" s="31"/>
      <c r="B2994" s="30"/>
      <c r="C2994" s="30"/>
    </row>
    <row r="2995" spans="1:3" x14ac:dyDescent="0.25">
      <c r="A2995" s="31"/>
      <c r="B2995" s="30"/>
      <c r="C2995" s="30"/>
    </row>
    <row r="2996" spans="1:3" x14ac:dyDescent="0.25">
      <c r="A2996" s="31"/>
      <c r="B2996" s="30"/>
      <c r="C2996" s="30"/>
    </row>
    <row r="2997" spans="1:3" x14ac:dyDescent="0.25">
      <c r="A2997" s="31"/>
      <c r="B2997" s="30"/>
      <c r="C2997" s="30"/>
    </row>
    <row r="2998" spans="1:3" x14ac:dyDescent="0.25">
      <c r="A2998" s="31"/>
      <c r="B2998" s="30"/>
      <c r="C2998" s="30"/>
    </row>
    <row r="2999" spans="1:3" x14ac:dyDescent="0.25">
      <c r="A2999" s="31"/>
      <c r="B2999" s="30"/>
      <c r="C2999" s="30"/>
    </row>
    <row r="3000" spans="1:3" x14ac:dyDescent="0.25">
      <c r="A3000" s="31"/>
      <c r="B3000" s="30"/>
      <c r="C3000" s="30"/>
    </row>
    <row r="3001" spans="1:3" x14ac:dyDescent="0.25">
      <c r="A3001" s="31"/>
      <c r="B3001" s="30"/>
      <c r="C3001" s="30"/>
    </row>
    <row r="3002" spans="1:3" x14ac:dyDescent="0.25">
      <c r="A3002" s="31"/>
      <c r="B3002" s="30"/>
      <c r="C3002" s="30"/>
    </row>
    <row r="3003" spans="1:3" x14ac:dyDescent="0.25">
      <c r="A3003" s="31"/>
      <c r="B3003" s="30"/>
      <c r="C3003" s="30"/>
    </row>
    <row r="3004" spans="1:3" x14ac:dyDescent="0.25">
      <c r="A3004" s="31"/>
      <c r="B3004" s="30"/>
      <c r="C3004" s="30"/>
    </row>
    <row r="3005" spans="1:3" x14ac:dyDescent="0.25">
      <c r="A3005" s="31"/>
      <c r="B3005" s="30"/>
      <c r="C3005" s="30"/>
    </row>
    <row r="3006" spans="1:3" x14ac:dyDescent="0.25">
      <c r="A3006" s="31"/>
      <c r="B3006" s="30"/>
      <c r="C3006" s="30"/>
    </row>
    <row r="3007" spans="1:3" x14ac:dyDescent="0.25">
      <c r="A3007" s="31"/>
      <c r="B3007" s="30"/>
      <c r="C3007" s="30"/>
    </row>
    <row r="3008" spans="1:3" x14ac:dyDescent="0.25">
      <c r="A3008" s="31"/>
      <c r="B3008" s="30"/>
      <c r="C3008" s="30"/>
    </row>
    <row r="3009" spans="1:3" x14ac:dyDescent="0.25">
      <c r="A3009" s="31"/>
      <c r="B3009" s="30"/>
      <c r="C3009" s="30"/>
    </row>
    <row r="3010" spans="1:3" x14ac:dyDescent="0.25">
      <c r="A3010" s="31"/>
      <c r="B3010" s="30"/>
      <c r="C3010" s="30"/>
    </row>
    <row r="3011" spans="1:3" x14ac:dyDescent="0.25">
      <c r="A3011" s="31"/>
      <c r="B3011" s="30"/>
      <c r="C3011" s="30"/>
    </row>
    <row r="3012" spans="1:3" x14ac:dyDescent="0.25">
      <c r="A3012" s="31"/>
      <c r="B3012" s="30"/>
      <c r="C3012" s="30"/>
    </row>
    <row r="3013" spans="1:3" x14ac:dyDescent="0.25">
      <c r="A3013" s="31"/>
      <c r="B3013" s="30"/>
      <c r="C3013" s="30"/>
    </row>
    <row r="3014" spans="1:3" x14ac:dyDescent="0.25">
      <c r="A3014" s="31"/>
      <c r="B3014" s="30"/>
      <c r="C3014" s="30"/>
    </row>
    <row r="3015" spans="1:3" x14ac:dyDescent="0.25">
      <c r="A3015" s="31"/>
      <c r="B3015" s="30"/>
      <c r="C3015" s="30"/>
    </row>
    <row r="3016" spans="1:3" x14ac:dyDescent="0.25">
      <c r="A3016" s="31"/>
      <c r="B3016" s="30"/>
      <c r="C3016" s="30"/>
    </row>
    <row r="3017" spans="1:3" x14ac:dyDescent="0.25">
      <c r="A3017" s="31"/>
      <c r="B3017" s="30"/>
      <c r="C3017" s="30"/>
    </row>
    <row r="3018" spans="1:3" x14ac:dyDescent="0.25">
      <c r="A3018" s="31"/>
      <c r="B3018" s="30"/>
      <c r="C3018" s="30"/>
    </row>
    <row r="3019" spans="1:3" x14ac:dyDescent="0.25">
      <c r="A3019" s="31"/>
      <c r="B3019" s="30"/>
      <c r="C3019" s="30"/>
    </row>
    <row r="3020" spans="1:3" x14ac:dyDescent="0.25">
      <c r="A3020" s="31"/>
      <c r="B3020" s="30"/>
      <c r="C3020" s="30"/>
    </row>
    <row r="3021" spans="1:3" x14ac:dyDescent="0.25">
      <c r="A3021" s="31"/>
      <c r="B3021" s="30"/>
      <c r="C3021" s="30"/>
    </row>
    <row r="3022" spans="1:3" x14ac:dyDescent="0.25">
      <c r="A3022" s="31"/>
      <c r="B3022" s="30"/>
      <c r="C3022" s="30"/>
    </row>
    <row r="3023" spans="1:3" x14ac:dyDescent="0.25">
      <c r="A3023" s="31"/>
      <c r="B3023" s="30"/>
      <c r="C3023" s="30"/>
    </row>
    <row r="3024" spans="1:3" x14ac:dyDescent="0.25">
      <c r="A3024" s="31"/>
      <c r="B3024" s="30"/>
      <c r="C3024" s="30"/>
    </row>
    <row r="3025" spans="1:3" x14ac:dyDescent="0.25">
      <c r="A3025" s="31"/>
      <c r="B3025" s="30"/>
      <c r="C3025" s="30"/>
    </row>
    <row r="3026" spans="1:3" x14ac:dyDescent="0.25">
      <c r="A3026" s="31"/>
      <c r="B3026" s="30"/>
      <c r="C3026" s="30"/>
    </row>
    <row r="3027" spans="1:3" x14ac:dyDescent="0.25">
      <c r="A3027" s="31"/>
      <c r="B3027" s="30"/>
      <c r="C3027" s="30"/>
    </row>
    <row r="3028" spans="1:3" x14ac:dyDescent="0.25">
      <c r="A3028" s="31"/>
      <c r="B3028" s="30"/>
      <c r="C3028" s="30"/>
    </row>
    <row r="3029" spans="1:3" x14ac:dyDescent="0.25">
      <c r="A3029" s="31"/>
      <c r="B3029" s="30"/>
      <c r="C3029" s="30"/>
    </row>
    <row r="3030" spans="1:3" x14ac:dyDescent="0.25">
      <c r="A3030" s="31"/>
      <c r="B3030" s="30"/>
      <c r="C3030" s="30"/>
    </row>
    <row r="3031" spans="1:3" x14ac:dyDescent="0.25">
      <c r="A3031" s="31"/>
      <c r="B3031" s="30"/>
      <c r="C3031" s="30"/>
    </row>
    <row r="3032" spans="1:3" x14ac:dyDescent="0.25">
      <c r="A3032" s="31"/>
      <c r="B3032" s="30"/>
      <c r="C3032" s="30"/>
    </row>
    <row r="3033" spans="1:3" x14ac:dyDescent="0.25">
      <c r="A3033" s="31"/>
      <c r="B3033" s="30"/>
      <c r="C3033" s="30"/>
    </row>
    <row r="3034" spans="1:3" x14ac:dyDescent="0.25">
      <c r="A3034" s="31"/>
      <c r="B3034" s="30"/>
      <c r="C3034" s="30"/>
    </row>
    <row r="3035" spans="1:3" x14ac:dyDescent="0.25">
      <c r="A3035" s="31"/>
      <c r="B3035" s="30"/>
      <c r="C3035" s="30"/>
    </row>
    <row r="3036" spans="1:3" x14ac:dyDescent="0.25">
      <c r="A3036" s="31"/>
      <c r="B3036" s="30"/>
      <c r="C3036" s="30"/>
    </row>
    <row r="3037" spans="1:3" x14ac:dyDescent="0.25">
      <c r="A3037" s="31"/>
      <c r="B3037" s="30"/>
      <c r="C3037" s="30"/>
    </row>
    <row r="3038" spans="1:3" x14ac:dyDescent="0.25">
      <c r="A3038" s="31"/>
      <c r="B3038" s="30"/>
      <c r="C3038" s="30"/>
    </row>
    <row r="3039" spans="1:3" x14ac:dyDescent="0.25">
      <c r="A3039" s="31"/>
      <c r="B3039" s="30"/>
      <c r="C3039" s="30"/>
    </row>
    <row r="3040" spans="1:3" x14ac:dyDescent="0.25">
      <c r="A3040" s="31"/>
      <c r="B3040" s="30"/>
      <c r="C3040" s="30"/>
    </row>
    <row r="3041" spans="1:3" x14ac:dyDescent="0.25">
      <c r="A3041" s="31"/>
      <c r="B3041" s="30"/>
      <c r="C3041" s="30"/>
    </row>
    <row r="3042" spans="1:3" x14ac:dyDescent="0.25">
      <c r="A3042" s="31"/>
      <c r="B3042" s="30"/>
      <c r="C3042" s="30"/>
    </row>
    <row r="3043" spans="1:3" x14ac:dyDescent="0.25">
      <c r="A3043" s="31"/>
      <c r="B3043" s="30"/>
      <c r="C3043" s="30"/>
    </row>
    <row r="3044" spans="1:3" x14ac:dyDescent="0.25">
      <c r="A3044" s="31"/>
      <c r="B3044" s="30"/>
      <c r="C3044" s="30"/>
    </row>
    <row r="3045" spans="1:3" x14ac:dyDescent="0.25">
      <c r="A3045" s="31"/>
      <c r="B3045" s="30"/>
      <c r="C3045" s="30"/>
    </row>
    <row r="3046" spans="1:3" x14ac:dyDescent="0.25">
      <c r="A3046" s="31"/>
      <c r="B3046" s="30"/>
      <c r="C3046" s="30"/>
    </row>
    <row r="3047" spans="1:3" x14ac:dyDescent="0.25">
      <c r="A3047" s="31"/>
      <c r="B3047" s="30"/>
      <c r="C3047" s="30"/>
    </row>
    <row r="3048" spans="1:3" x14ac:dyDescent="0.25">
      <c r="A3048" s="31"/>
      <c r="B3048" s="30"/>
      <c r="C3048" s="30"/>
    </row>
    <row r="3049" spans="1:3" x14ac:dyDescent="0.25">
      <c r="A3049" s="31"/>
      <c r="B3049" s="30"/>
      <c r="C3049" s="30"/>
    </row>
    <row r="3050" spans="1:3" x14ac:dyDescent="0.25">
      <c r="A3050" s="31"/>
      <c r="B3050" s="30"/>
      <c r="C3050" s="30"/>
    </row>
    <row r="3051" spans="1:3" x14ac:dyDescent="0.25">
      <c r="A3051" s="31"/>
      <c r="B3051" s="30"/>
      <c r="C3051" s="30"/>
    </row>
    <row r="3052" spans="1:3" x14ac:dyDescent="0.25">
      <c r="A3052" s="31"/>
      <c r="B3052" s="30"/>
      <c r="C3052" s="30"/>
    </row>
    <row r="3053" spans="1:3" x14ac:dyDescent="0.25">
      <c r="A3053" s="31"/>
      <c r="B3053" s="30"/>
      <c r="C3053" s="30"/>
    </row>
    <row r="3054" spans="1:3" x14ac:dyDescent="0.25">
      <c r="A3054" s="31"/>
      <c r="B3054" s="30"/>
      <c r="C3054" s="30"/>
    </row>
    <row r="3055" spans="1:3" x14ac:dyDescent="0.25">
      <c r="A3055" s="31"/>
      <c r="B3055" s="30"/>
      <c r="C3055" s="30"/>
    </row>
    <row r="3056" spans="1:3" x14ac:dyDescent="0.25">
      <c r="A3056" s="31"/>
      <c r="B3056" s="30"/>
      <c r="C3056" s="30"/>
    </row>
    <row r="3057" spans="1:3" x14ac:dyDescent="0.25">
      <c r="A3057" s="31"/>
      <c r="B3057" s="30"/>
      <c r="C3057" s="30"/>
    </row>
    <row r="3058" spans="1:3" x14ac:dyDescent="0.25">
      <c r="A3058" s="31"/>
      <c r="B3058" s="30"/>
      <c r="C3058" s="30"/>
    </row>
    <row r="3059" spans="1:3" x14ac:dyDescent="0.25">
      <c r="A3059" s="31"/>
      <c r="B3059" s="30"/>
      <c r="C3059" s="30"/>
    </row>
    <row r="3060" spans="1:3" x14ac:dyDescent="0.25">
      <c r="A3060" s="31"/>
      <c r="B3060" s="30"/>
      <c r="C3060" s="30"/>
    </row>
    <row r="3061" spans="1:3" x14ac:dyDescent="0.25">
      <c r="A3061" s="31"/>
      <c r="B3061" s="30"/>
      <c r="C3061" s="30"/>
    </row>
    <row r="3062" spans="1:3" x14ac:dyDescent="0.25">
      <c r="A3062" s="31"/>
      <c r="B3062" s="30"/>
      <c r="C3062" s="30"/>
    </row>
    <row r="3063" spans="1:3" x14ac:dyDescent="0.25">
      <c r="A3063" s="31"/>
      <c r="B3063" s="30"/>
      <c r="C3063" s="30"/>
    </row>
    <row r="3064" spans="1:3" x14ac:dyDescent="0.25">
      <c r="A3064" s="31"/>
      <c r="B3064" s="30"/>
      <c r="C3064" s="30"/>
    </row>
    <row r="3065" spans="1:3" x14ac:dyDescent="0.25">
      <c r="A3065" s="31"/>
      <c r="B3065" s="30"/>
      <c r="C3065" s="30"/>
    </row>
    <row r="3066" spans="1:3" x14ac:dyDescent="0.25">
      <c r="A3066" s="31"/>
      <c r="B3066" s="30"/>
      <c r="C3066" s="30"/>
    </row>
    <row r="3067" spans="1:3" x14ac:dyDescent="0.25">
      <c r="A3067" s="31"/>
      <c r="B3067" s="30"/>
      <c r="C3067" s="30"/>
    </row>
    <row r="3068" spans="1:3" x14ac:dyDescent="0.25">
      <c r="A3068" s="31"/>
      <c r="B3068" s="30"/>
      <c r="C3068" s="30"/>
    </row>
    <row r="3069" spans="1:3" x14ac:dyDescent="0.25">
      <c r="A3069" s="31"/>
      <c r="B3069" s="30"/>
      <c r="C3069" s="30"/>
    </row>
    <row r="3070" spans="1:3" x14ac:dyDescent="0.25">
      <c r="A3070" s="31"/>
      <c r="B3070" s="30"/>
      <c r="C3070" s="30"/>
    </row>
    <row r="3071" spans="1:3" x14ac:dyDescent="0.25">
      <c r="A3071" s="31"/>
      <c r="B3071" s="30"/>
      <c r="C3071" s="30"/>
    </row>
    <row r="3072" spans="1:3" x14ac:dyDescent="0.25">
      <c r="A3072" s="31"/>
      <c r="B3072" s="30"/>
      <c r="C3072" s="30"/>
    </row>
    <row r="3073" spans="1:3" x14ac:dyDescent="0.25">
      <c r="A3073" s="31"/>
      <c r="B3073" s="30"/>
      <c r="C3073" s="30"/>
    </row>
    <row r="3074" spans="1:3" x14ac:dyDescent="0.25">
      <c r="A3074" s="31"/>
      <c r="B3074" s="30"/>
      <c r="C3074" s="30"/>
    </row>
    <row r="3075" spans="1:3" x14ac:dyDescent="0.25">
      <c r="A3075" s="31"/>
      <c r="B3075" s="30"/>
      <c r="C3075" s="30"/>
    </row>
    <row r="3076" spans="1:3" x14ac:dyDescent="0.25">
      <c r="A3076" s="31"/>
      <c r="B3076" s="30"/>
      <c r="C3076" s="30"/>
    </row>
    <row r="3077" spans="1:3" x14ac:dyDescent="0.25">
      <c r="A3077" s="31"/>
      <c r="B3077" s="30"/>
      <c r="C3077" s="30"/>
    </row>
    <row r="3078" spans="1:3" x14ac:dyDescent="0.25">
      <c r="A3078" s="31"/>
      <c r="B3078" s="30"/>
      <c r="C3078" s="30"/>
    </row>
    <row r="3079" spans="1:3" x14ac:dyDescent="0.25">
      <c r="A3079" s="31"/>
      <c r="B3079" s="30"/>
      <c r="C3079" s="30"/>
    </row>
    <row r="3080" spans="1:3" x14ac:dyDescent="0.25">
      <c r="A3080" s="31"/>
      <c r="B3080" s="30"/>
      <c r="C3080" s="30"/>
    </row>
    <row r="3081" spans="1:3" x14ac:dyDescent="0.25">
      <c r="A3081" s="31"/>
      <c r="B3081" s="30"/>
      <c r="C3081" s="30"/>
    </row>
    <row r="3082" spans="1:3" x14ac:dyDescent="0.25">
      <c r="A3082" s="31"/>
      <c r="B3082" s="30"/>
      <c r="C3082" s="30"/>
    </row>
    <row r="3083" spans="1:3" x14ac:dyDescent="0.25">
      <c r="A3083" s="31"/>
      <c r="B3083" s="30"/>
      <c r="C3083" s="30"/>
    </row>
    <row r="3084" spans="1:3" x14ac:dyDescent="0.25">
      <c r="A3084" s="31"/>
      <c r="B3084" s="30"/>
      <c r="C3084" s="30"/>
    </row>
    <row r="3085" spans="1:3" x14ac:dyDescent="0.25">
      <c r="A3085" s="31"/>
      <c r="B3085" s="30"/>
      <c r="C3085" s="30"/>
    </row>
    <row r="3086" spans="1:3" x14ac:dyDescent="0.25">
      <c r="A3086" s="31"/>
      <c r="B3086" s="30"/>
      <c r="C3086" s="30"/>
    </row>
    <row r="3087" spans="1:3" x14ac:dyDescent="0.25">
      <c r="A3087" s="31"/>
      <c r="B3087" s="30"/>
      <c r="C3087" s="30"/>
    </row>
    <row r="3088" spans="1:3" x14ac:dyDescent="0.25">
      <c r="A3088" s="31"/>
      <c r="B3088" s="30"/>
      <c r="C3088" s="30"/>
    </row>
    <row r="3089" spans="1:3" x14ac:dyDescent="0.25">
      <c r="A3089" s="31"/>
      <c r="B3089" s="30"/>
      <c r="C3089" s="30"/>
    </row>
    <row r="3090" spans="1:3" x14ac:dyDescent="0.25">
      <c r="A3090" s="31"/>
      <c r="B3090" s="30"/>
      <c r="C3090" s="30"/>
    </row>
    <row r="3091" spans="1:3" x14ac:dyDescent="0.25">
      <c r="A3091" s="31"/>
      <c r="B3091" s="30"/>
      <c r="C3091" s="30"/>
    </row>
    <row r="3092" spans="1:3" x14ac:dyDescent="0.25">
      <c r="A3092" s="31"/>
      <c r="B3092" s="30"/>
      <c r="C3092" s="30"/>
    </row>
    <row r="3093" spans="1:3" x14ac:dyDescent="0.25">
      <c r="A3093" s="31"/>
      <c r="B3093" s="30"/>
      <c r="C3093" s="30"/>
    </row>
    <row r="3094" spans="1:3" x14ac:dyDescent="0.25">
      <c r="A3094" s="31"/>
      <c r="B3094" s="30"/>
      <c r="C3094" s="30"/>
    </row>
    <row r="3095" spans="1:3" x14ac:dyDescent="0.25">
      <c r="A3095" s="31"/>
      <c r="B3095" s="30"/>
      <c r="C3095" s="30"/>
    </row>
    <row r="3096" spans="1:3" x14ac:dyDescent="0.25">
      <c r="A3096" s="31"/>
      <c r="B3096" s="30"/>
      <c r="C3096" s="30"/>
    </row>
    <row r="3097" spans="1:3" x14ac:dyDescent="0.25">
      <c r="A3097" s="31"/>
      <c r="B3097" s="30"/>
      <c r="C3097" s="30"/>
    </row>
    <row r="3098" spans="1:3" x14ac:dyDescent="0.25">
      <c r="A3098" s="31"/>
      <c r="B3098" s="30"/>
      <c r="C3098" s="30"/>
    </row>
    <row r="3099" spans="1:3" x14ac:dyDescent="0.25">
      <c r="A3099" s="31"/>
      <c r="B3099" s="30"/>
      <c r="C3099" s="30"/>
    </row>
    <row r="3100" spans="1:3" x14ac:dyDescent="0.25">
      <c r="A3100" s="31"/>
      <c r="B3100" s="30"/>
      <c r="C3100" s="30"/>
    </row>
    <row r="3101" spans="1:3" x14ac:dyDescent="0.25">
      <c r="A3101" s="31"/>
      <c r="B3101" s="30"/>
      <c r="C3101" s="30"/>
    </row>
    <row r="3102" spans="1:3" x14ac:dyDescent="0.25">
      <c r="A3102" s="31"/>
      <c r="B3102" s="30"/>
      <c r="C3102" s="30"/>
    </row>
    <row r="3103" spans="1:3" x14ac:dyDescent="0.25">
      <c r="A3103" s="31"/>
      <c r="B3103" s="30"/>
      <c r="C3103" s="30"/>
    </row>
    <row r="3104" spans="1:3" x14ac:dyDescent="0.25">
      <c r="A3104" s="31"/>
      <c r="B3104" s="30"/>
      <c r="C3104" s="30"/>
    </row>
    <row r="3105" spans="1:3" x14ac:dyDescent="0.25">
      <c r="A3105" s="31"/>
      <c r="B3105" s="30"/>
      <c r="C3105" s="30"/>
    </row>
    <row r="3106" spans="1:3" x14ac:dyDescent="0.25">
      <c r="A3106" s="31"/>
      <c r="B3106" s="30"/>
      <c r="C3106" s="30"/>
    </row>
    <row r="3107" spans="1:3" x14ac:dyDescent="0.25">
      <c r="A3107" s="31"/>
      <c r="B3107" s="30"/>
      <c r="C3107" s="30"/>
    </row>
    <row r="3108" spans="1:3" x14ac:dyDescent="0.25">
      <c r="A3108" s="31"/>
      <c r="B3108" s="30"/>
      <c r="C3108" s="30"/>
    </row>
    <row r="3109" spans="1:3" x14ac:dyDescent="0.25">
      <c r="A3109" s="31"/>
      <c r="B3109" s="30"/>
      <c r="C3109" s="30"/>
    </row>
    <row r="3110" spans="1:3" x14ac:dyDescent="0.25">
      <c r="A3110" s="31"/>
      <c r="B3110" s="30"/>
      <c r="C3110" s="30"/>
    </row>
    <row r="3111" spans="1:3" x14ac:dyDescent="0.25">
      <c r="A3111" s="31"/>
      <c r="B3111" s="30"/>
      <c r="C3111" s="30"/>
    </row>
    <row r="3112" spans="1:3" x14ac:dyDescent="0.25">
      <c r="A3112" s="31"/>
      <c r="B3112" s="30"/>
      <c r="C3112" s="30"/>
    </row>
    <row r="3113" spans="1:3" x14ac:dyDescent="0.25">
      <c r="A3113" s="31"/>
      <c r="B3113" s="30"/>
      <c r="C3113" s="30"/>
    </row>
    <row r="3114" spans="1:3" x14ac:dyDescent="0.25">
      <c r="A3114" s="31"/>
      <c r="B3114" s="30"/>
      <c r="C3114" s="30"/>
    </row>
    <row r="3115" spans="1:3" x14ac:dyDescent="0.25">
      <c r="A3115" s="31"/>
      <c r="B3115" s="30"/>
      <c r="C3115" s="30"/>
    </row>
    <row r="3116" spans="1:3" x14ac:dyDescent="0.25">
      <c r="A3116" s="31"/>
      <c r="B3116" s="30"/>
      <c r="C3116" s="30"/>
    </row>
    <row r="3117" spans="1:3" x14ac:dyDescent="0.25">
      <c r="A3117" s="31"/>
      <c r="B3117" s="30"/>
      <c r="C3117" s="30"/>
    </row>
    <row r="3118" spans="1:3" x14ac:dyDescent="0.25">
      <c r="A3118" s="31"/>
      <c r="B3118" s="30"/>
      <c r="C3118" s="30"/>
    </row>
    <row r="3119" spans="1:3" x14ac:dyDescent="0.25">
      <c r="A3119" s="31"/>
      <c r="B3119" s="30"/>
      <c r="C3119" s="30"/>
    </row>
    <row r="3120" spans="1:3" x14ac:dyDescent="0.25">
      <c r="A3120" s="31"/>
      <c r="B3120" s="30"/>
      <c r="C3120" s="30"/>
    </row>
    <row r="3121" spans="1:3" x14ac:dyDescent="0.25">
      <c r="A3121" s="31"/>
      <c r="B3121" s="30"/>
      <c r="C3121" s="30"/>
    </row>
    <row r="3122" spans="1:3" x14ac:dyDescent="0.25">
      <c r="A3122" s="31"/>
      <c r="B3122" s="30"/>
      <c r="C3122" s="30"/>
    </row>
    <row r="3123" spans="1:3" x14ac:dyDescent="0.25">
      <c r="A3123" s="31"/>
      <c r="B3123" s="30"/>
      <c r="C3123" s="30"/>
    </row>
    <row r="3124" spans="1:3" x14ac:dyDescent="0.25">
      <c r="A3124" s="31"/>
      <c r="B3124" s="30"/>
      <c r="C3124" s="30"/>
    </row>
    <row r="3125" spans="1:3" x14ac:dyDescent="0.25">
      <c r="A3125" s="31"/>
      <c r="B3125" s="30"/>
      <c r="C3125" s="30"/>
    </row>
    <row r="3126" spans="1:3" x14ac:dyDescent="0.25">
      <c r="A3126" s="31"/>
      <c r="B3126" s="30"/>
      <c r="C3126" s="30"/>
    </row>
    <row r="3127" spans="1:3" x14ac:dyDescent="0.25">
      <c r="A3127" s="31"/>
      <c r="B3127" s="30"/>
      <c r="C3127" s="30"/>
    </row>
    <row r="3128" spans="1:3" x14ac:dyDescent="0.25">
      <c r="A3128" s="31"/>
      <c r="B3128" s="30"/>
      <c r="C3128" s="30"/>
    </row>
    <row r="3129" spans="1:3" x14ac:dyDescent="0.25">
      <c r="A3129" s="31"/>
      <c r="B3129" s="30"/>
      <c r="C3129" s="30"/>
    </row>
    <row r="3130" spans="1:3" x14ac:dyDescent="0.25">
      <c r="A3130" s="31"/>
      <c r="B3130" s="30"/>
      <c r="C3130" s="30"/>
    </row>
    <row r="3131" spans="1:3" x14ac:dyDescent="0.25">
      <c r="A3131" s="31"/>
      <c r="B3131" s="30"/>
      <c r="C3131" s="30"/>
    </row>
    <row r="3132" spans="1:3" x14ac:dyDescent="0.25">
      <c r="A3132" s="31"/>
      <c r="B3132" s="30"/>
      <c r="C3132" s="30"/>
    </row>
    <row r="3133" spans="1:3" x14ac:dyDescent="0.25">
      <c r="A3133" s="31"/>
      <c r="B3133" s="30"/>
      <c r="C3133" s="30"/>
    </row>
    <row r="3134" spans="1:3" x14ac:dyDescent="0.25">
      <c r="A3134" s="31"/>
      <c r="B3134" s="30"/>
      <c r="C3134" s="30"/>
    </row>
    <row r="3135" spans="1:3" x14ac:dyDescent="0.25">
      <c r="A3135" s="31"/>
      <c r="B3135" s="30"/>
      <c r="C3135" s="30"/>
    </row>
    <row r="3136" spans="1:3" x14ac:dyDescent="0.25">
      <c r="A3136" s="31"/>
      <c r="B3136" s="30"/>
      <c r="C3136" s="30"/>
    </row>
    <row r="3137" spans="1:3" x14ac:dyDescent="0.25">
      <c r="A3137" s="31"/>
      <c r="B3137" s="30"/>
      <c r="C3137" s="30"/>
    </row>
    <row r="3138" spans="1:3" x14ac:dyDescent="0.25">
      <c r="A3138" s="31"/>
      <c r="B3138" s="30"/>
      <c r="C3138" s="30"/>
    </row>
    <row r="3139" spans="1:3" x14ac:dyDescent="0.25">
      <c r="A3139" s="31"/>
      <c r="B3139" s="30"/>
      <c r="C3139" s="30"/>
    </row>
    <row r="3140" spans="1:3" x14ac:dyDescent="0.25">
      <c r="A3140" s="31"/>
      <c r="B3140" s="30"/>
      <c r="C3140" s="30"/>
    </row>
    <row r="3141" spans="1:3" x14ac:dyDescent="0.25">
      <c r="A3141" s="31"/>
      <c r="B3141" s="30"/>
      <c r="C3141" s="30"/>
    </row>
    <row r="3142" spans="1:3" x14ac:dyDescent="0.25">
      <c r="A3142" s="31"/>
      <c r="B3142" s="30"/>
      <c r="C3142" s="30"/>
    </row>
    <row r="3143" spans="1:3" x14ac:dyDescent="0.25">
      <c r="A3143" s="31"/>
      <c r="B3143" s="30"/>
      <c r="C3143" s="30"/>
    </row>
    <row r="3144" spans="1:3" x14ac:dyDescent="0.25">
      <c r="A3144" s="31"/>
      <c r="B3144" s="30"/>
      <c r="C3144" s="30"/>
    </row>
    <row r="3145" spans="1:3" x14ac:dyDescent="0.25">
      <c r="A3145" s="31"/>
      <c r="B3145" s="30"/>
      <c r="C3145" s="30"/>
    </row>
    <row r="3146" spans="1:3" x14ac:dyDescent="0.25">
      <c r="A3146" s="31"/>
      <c r="B3146" s="30"/>
      <c r="C3146" s="30"/>
    </row>
    <row r="3147" spans="1:3" x14ac:dyDescent="0.25">
      <c r="A3147" s="31"/>
      <c r="B3147" s="30"/>
      <c r="C3147" s="30"/>
    </row>
    <row r="3148" spans="1:3" x14ac:dyDescent="0.25">
      <c r="A3148" s="31"/>
      <c r="B3148" s="30"/>
      <c r="C3148" s="30"/>
    </row>
    <row r="3149" spans="1:3" x14ac:dyDescent="0.25">
      <c r="A3149" s="31"/>
      <c r="B3149" s="30"/>
      <c r="C3149" s="30"/>
    </row>
    <row r="3150" spans="1:3" x14ac:dyDescent="0.25">
      <c r="A3150" s="31"/>
      <c r="B3150" s="30"/>
      <c r="C3150" s="30"/>
    </row>
    <row r="3151" spans="1:3" x14ac:dyDescent="0.25">
      <c r="A3151" s="31"/>
      <c r="B3151" s="30"/>
      <c r="C3151" s="30"/>
    </row>
    <row r="3152" spans="1:3" x14ac:dyDescent="0.25">
      <c r="A3152" s="31"/>
      <c r="B3152" s="30"/>
      <c r="C3152" s="30"/>
    </row>
    <row r="3153" spans="1:3" x14ac:dyDescent="0.25">
      <c r="A3153" s="31"/>
      <c r="B3153" s="30"/>
      <c r="C3153" s="30"/>
    </row>
    <row r="3154" spans="1:3" x14ac:dyDescent="0.25">
      <c r="A3154" s="31"/>
      <c r="B3154" s="30"/>
      <c r="C3154" s="30"/>
    </row>
    <row r="3155" spans="1:3" x14ac:dyDescent="0.25">
      <c r="A3155" s="31"/>
      <c r="B3155" s="30"/>
      <c r="C3155" s="30"/>
    </row>
    <row r="3156" spans="1:3" x14ac:dyDescent="0.25">
      <c r="A3156" s="31"/>
      <c r="B3156" s="30"/>
      <c r="C3156" s="30"/>
    </row>
    <row r="3157" spans="1:3" x14ac:dyDescent="0.25">
      <c r="A3157" s="31"/>
      <c r="B3157" s="30"/>
      <c r="C3157" s="30"/>
    </row>
    <row r="3158" spans="1:3" x14ac:dyDescent="0.25">
      <c r="A3158" s="31"/>
      <c r="B3158" s="30"/>
      <c r="C3158" s="30"/>
    </row>
    <row r="3159" spans="1:3" x14ac:dyDescent="0.25">
      <c r="A3159" s="31"/>
      <c r="B3159" s="30"/>
      <c r="C3159" s="30"/>
    </row>
    <row r="3160" spans="1:3" x14ac:dyDescent="0.25">
      <c r="A3160" s="31"/>
      <c r="B3160" s="30"/>
      <c r="C3160" s="30"/>
    </row>
    <row r="3161" spans="1:3" x14ac:dyDescent="0.25">
      <c r="A3161" s="31"/>
      <c r="B3161" s="30"/>
      <c r="C3161" s="30"/>
    </row>
    <row r="3162" spans="1:3" x14ac:dyDescent="0.25">
      <c r="A3162" s="31"/>
      <c r="B3162" s="30"/>
      <c r="C3162" s="30"/>
    </row>
    <row r="3163" spans="1:3" x14ac:dyDescent="0.25">
      <c r="A3163" s="31"/>
      <c r="B3163" s="30"/>
      <c r="C3163" s="30"/>
    </row>
    <row r="3164" spans="1:3" x14ac:dyDescent="0.25">
      <c r="A3164" s="31"/>
      <c r="B3164" s="30"/>
      <c r="C3164" s="30"/>
    </row>
    <row r="3165" spans="1:3" x14ac:dyDescent="0.25">
      <c r="A3165" s="31"/>
      <c r="B3165" s="30"/>
      <c r="C3165" s="30"/>
    </row>
    <row r="3166" spans="1:3" x14ac:dyDescent="0.25">
      <c r="A3166" s="31"/>
      <c r="B3166" s="30"/>
      <c r="C3166" s="30"/>
    </row>
    <row r="3167" spans="1:3" x14ac:dyDescent="0.25">
      <c r="A3167" s="31"/>
      <c r="B3167" s="30"/>
      <c r="C3167" s="30"/>
    </row>
    <row r="3168" spans="1:3" x14ac:dyDescent="0.25">
      <c r="A3168" s="31"/>
      <c r="B3168" s="30"/>
      <c r="C3168" s="30"/>
    </row>
    <row r="3169" spans="1:3" x14ac:dyDescent="0.25">
      <c r="A3169" s="31"/>
      <c r="B3169" s="30"/>
      <c r="C3169" s="30"/>
    </row>
    <row r="3170" spans="1:3" x14ac:dyDescent="0.25">
      <c r="A3170" s="31"/>
      <c r="B3170" s="30"/>
      <c r="C3170" s="30"/>
    </row>
    <row r="3171" spans="1:3" x14ac:dyDescent="0.25">
      <c r="A3171" s="31"/>
      <c r="B3171" s="30"/>
      <c r="C3171" s="30"/>
    </row>
    <row r="3172" spans="1:3" x14ac:dyDescent="0.25">
      <c r="A3172" s="31"/>
      <c r="B3172" s="30"/>
      <c r="C3172" s="30"/>
    </row>
    <row r="3173" spans="1:3" x14ac:dyDescent="0.25">
      <c r="A3173" s="31"/>
      <c r="B3173" s="30"/>
      <c r="C3173" s="30"/>
    </row>
    <row r="3174" spans="1:3" x14ac:dyDescent="0.25">
      <c r="A3174" s="31"/>
      <c r="B3174" s="30"/>
      <c r="C3174" s="30"/>
    </row>
    <row r="3175" spans="1:3" x14ac:dyDescent="0.25">
      <c r="A3175" s="31"/>
      <c r="B3175" s="30"/>
      <c r="C3175" s="30"/>
    </row>
    <row r="3176" spans="1:3" x14ac:dyDescent="0.25">
      <c r="A3176" s="31"/>
      <c r="B3176" s="30"/>
      <c r="C3176" s="30"/>
    </row>
    <row r="3177" spans="1:3" x14ac:dyDescent="0.25">
      <c r="A3177" s="31"/>
      <c r="B3177" s="30"/>
      <c r="C3177" s="30"/>
    </row>
    <row r="3178" spans="1:3" x14ac:dyDescent="0.25">
      <c r="A3178" s="31"/>
      <c r="B3178" s="30"/>
      <c r="C3178" s="30"/>
    </row>
    <row r="3179" spans="1:3" x14ac:dyDescent="0.25">
      <c r="A3179" s="31"/>
      <c r="B3179" s="30"/>
      <c r="C3179" s="30"/>
    </row>
    <row r="3180" spans="1:3" x14ac:dyDescent="0.25">
      <c r="A3180" s="31"/>
      <c r="B3180" s="30"/>
      <c r="C3180" s="30"/>
    </row>
    <row r="3181" spans="1:3" x14ac:dyDescent="0.25">
      <c r="A3181" s="31"/>
      <c r="B3181" s="30"/>
      <c r="C3181" s="30"/>
    </row>
    <row r="3182" spans="1:3" x14ac:dyDescent="0.25">
      <c r="A3182" s="31"/>
      <c r="B3182" s="30"/>
      <c r="C3182" s="30"/>
    </row>
    <row r="3183" spans="1:3" x14ac:dyDescent="0.25">
      <c r="A3183" s="31"/>
      <c r="B3183" s="30"/>
      <c r="C3183" s="30"/>
    </row>
    <row r="3184" spans="1:3" x14ac:dyDescent="0.25">
      <c r="A3184" s="31"/>
      <c r="B3184" s="30"/>
      <c r="C3184" s="30"/>
    </row>
    <row r="3185" spans="1:3" x14ac:dyDescent="0.25">
      <c r="A3185" s="31"/>
      <c r="B3185" s="30"/>
      <c r="C3185" s="30"/>
    </row>
    <row r="3186" spans="1:3" x14ac:dyDescent="0.25">
      <c r="A3186" s="31"/>
      <c r="B3186" s="30"/>
      <c r="C3186" s="30"/>
    </row>
    <row r="3187" spans="1:3" x14ac:dyDescent="0.25">
      <c r="A3187" s="31"/>
      <c r="B3187" s="30"/>
      <c r="C3187" s="30"/>
    </row>
    <row r="3188" spans="1:3" x14ac:dyDescent="0.25">
      <c r="A3188" s="31"/>
      <c r="B3188" s="30"/>
      <c r="C3188" s="30"/>
    </row>
    <row r="3189" spans="1:3" x14ac:dyDescent="0.25">
      <c r="A3189" s="31"/>
      <c r="B3189" s="30"/>
      <c r="C3189" s="30"/>
    </row>
    <row r="3190" spans="1:3" x14ac:dyDescent="0.25">
      <c r="A3190" s="31"/>
      <c r="B3190" s="30"/>
      <c r="C3190" s="30"/>
    </row>
    <row r="3191" spans="1:3" x14ac:dyDescent="0.25">
      <c r="A3191" s="31"/>
      <c r="B3191" s="30"/>
      <c r="C3191" s="30"/>
    </row>
    <row r="3192" spans="1:3" x14ac:dyDescent="0.25">
      <c r="A3192" s="31"/>
      <c r="B3192" s="30"/>
      <c r="C3192" s="30"/>
    </row>
    <row r="3193" spans="1:3" x14ac:dyDescent="0.25">
      <c r="A3193" s="31"/>
      <c r="B3193" s="30"/>
      <c r="C3193" s="30"/>
    </row>
    <row r="3194" spans="1:3" x14ac:dyDescent="0.25">
      <c r="A3194" s="31"/>
      <c r="B3194" s="30"/>
      <c r="C3194" s="30"/>
    </row>
    <row r="3195" spans="1:3" x14ac:dyDescent="0.25">
      <c r="A3195" s="31"/>
      <c r="B3195" s="30"/>
      <c r="C3195" s="30"/>
    </row>
    <row r="3196" spans="1:3" x14ac:dyDescent="0.25">
      <c r="A3196" s="31"/>
      <c r="B3196" s="30"/>
      <c r="C3196" s="30"/>
    </row>
    <row r="3197" spans="1:3" x14ac:dyDescent="0.25">
      <c r="A3197" s="31"/>
      <c r="B3197" s="30"/>
      <c r="C3197" s="30"/>
    </row>
    <row r="3198" spans="1:3" x14ac:dyDescent="0.25">
      <c r="A3198" s="31"/>
      <c r="B3198" s="30"/>
      <c r="C3198" s="30"/>
    </row>
    <row r="3199" spans="1:3" x14ac:dyDescent="0.25">
      <c r="A3199" s="31"/>
      <c r="B3199" s="30"/>
      <c r="C3199" s="30"/>
    </row>
    <row r="3200" spans="1:3" x14ac:dyDescent="0.25">
      <c r="A3200" s="31"/>
      <c r="B3200" s="30"/>
      <c r="C3200" s="30"/>
    </row>
    <row r="3201" spans="1:3" x14ac:dyDescent="0.25">
      <c r="A3201" s="31"/>
      <c r="B3201" s="30"/>
      <c r="C3201" s="30"/>
    </row>
    <row r="3202" spans="1:3" x14ac:dyDescent="0.25">
      <c r="A3202" s="31"/>
      <c r="B3202" s="30"/>
      <c r="C3202" s="30"/>
    </row>
    <row r="3203" spans="1:3" x14ac:dyDescent="0.25">
      <c r="A3203" s="31"/>
      <c r="B3203" s="30"/>
      <c r="C3203" s="30"/>
    </row>
    <row r="3204" spans="1:3" x14ac:dyDescent="0.25">
      <c r="A3204" s="31"/>
      <c r="B3204" s="30"/>
      <c r="C3204" s="30"/>
    </row>
    <row r="3205" spans="1:3" x14ac:dyDescent="0.25">
      <c r="A3205" s="31"/>
      <c r="B3205" s="30"/>
      <c r="C3205" s="30"/>
    </row>
    <row r="3206" spans="1:3" x14ac:dyDescent="0.25">
      <c r="A3206" s="31"/>
      <c r="B3206" s="30"/>
      <c r="C3206" s="30"/>
    </row>
    <row r="3207" spans="1:3" x14ac:dyDescent="0.25">
      <c r="A3207" s="31"/>
      <c r="B3207" s="30"/>
      <c r="C3207" s="30"/>
    </row>
    <row r="3208" spans="1:3" x14ac:dyDescent="0.25">
      <c r="A3208" s="31"/>
      <c r="B3208" s="30"/>
      <c r="C3208" s="30"/>
    </row>
    <row r="3209" spans="1:3" x14ac:dyDescent="0.25">
      <c r="A3209" s="31"/>
      <c r="B3209" s="30"/>
      <c r="C3209" s="30"/>
    </row>
    <row r="3210" spans="1:3" x14ac:dyDescent="0.25">
      <c r="A3210" s="31"/>
      <c r="B3210" s="30"/>
      <c r="C3210" s="30"/>
    </row>
    <row r="3211" spans="1:3" x14ac:dyDescent="0.25">
      <c r="A3211" s="31"/>
      <c r="B3211" s="30"/>
      <c r="C3211" s="30"/>
    </row>
    <row r="3212" spans="1:3" x14ac:dyDescent="0.25">
      <c r="A3212" s="31"/>
      <c r="B3212" s="30"/>
      <c r="C3212" s="30"/>
    </row>
    <row r="3213" spans="1:3" x14ac:dyDescent="0.25">
      <c r="A3213" s="31"/>
      <c r="B3213" s="30"/>
      <c r="C3213" s="30"/>
    </row>
    <row r="3214" spans="1:3" x14ac:dyDescent="0.25">
      <c r="A3214" s="31"/>
      <c r="B3214" s="30"/>
      <c r="C3214" s="30"/>
    </row>
    <row r="3215" spans="1:3" x14ac:dyDescent="0.25">
      <c r="A3215" s="31"/>
      <c r="B3215" s="30"/>
      <c r="C3215" s="30"/>
    </row>
    <row r="3216" spans="1:3" x14ac:dyDescent="0.25">
      <c r="A3216" s="31"/>
      <c r="B3216" s="30"/>
      <c r="C3216" s="30"/>
    </row>
    <row r="3217" spans="1:3" x14ac:dyDescent="0.25">
      <c r="A3217" s="31"/>
      <c r="B3217" s="30"/>
      <c r="C3217" s="30"/>
    </row>
    <row r="3218" spans="1:3" x14ac:dyDescent="0.25">
      <c r="A3218" s="31"/>
      <c r="B3218" s="30"/>
      <c r="C3218" s="30"/>
    </row>
    <row r="3219" spans="1:3" x14ac:dyDescent="0.25">
      <c r="A3219" s="31"/>
      <c r="B3219" s="30"/>
      <c r="C3219" s="30"/>
    </row>
    <row r="3220" spans="1:3" x14ac:dyDescent="0.25">
      <c r="A3220" s="31"/>
      <c r="B3220" s="30"/>
      <c r="C3220" s="30"/>
    </row>
    <row r="3221" spans="1:3" x14ac:dyDescent="0.25">
      <c r="A3221" s="31"/>
      <c r="B3221" s="30"/>
      <c r="C3221" s="30"/>
    </row>
    <row r="3222" spans="1:3" x14ac:dyDescent="0.25">
      <c r="A3222" s="31"/>
      <c r="B3222" s="30"/>
      <c r="C3222" s="30"/>
    </row>
    <row r="3223" spans="1:3" x14ac:dyDescent="0.25">
      <c r="A3223" s="31"/>
      <c r="B3223" s="30"/>
      <c r="C3223" s="30"/>
    </row>
    <row r="3224" spans="1:3" x14ac:dyDescent="0.25">
      <c r="A3224" s="31"/>
      <c r="B3224" s="30"/>
      <c r="C3224" s="30"/>
    </row>
    <row r="3225" spans="1:3" x14ac:dyDescent="0.25">
      <c r="A3225" s="31"/>
      <c r="B3225" s="30"/>
      <c r="C3225" s="30"/>
    </row>
    <row r="3226" spans="1:3" x14ac:dyDescent="0.25">
      <c r="A3226" s="31"/>
      <c r="B3226" s="30"/>
      <c r="C3226" s="30"/>
    </row>
    <row r="3227" spans="1:3" x14ac:dyDescent="0.25">
      <c r="A3227" s="31"/>
      <c r="B3227" s="30"/>
      <c r="C3227" s="30"/>
    </row>
    <row r="3228" spans="1:3" x14ac:dyDescent="0.25">
      <c r="A3228" s="31"/>
      <c r="B3228" s="30"/>
      <c r="C3228" s="30"/>
    </row>
    <row r="3229" spans="1:3" x14ac:dyDescent="0.25">
      <c r="A3229" s="31"/>
      <c r="B3229" s="30"/>
      <c r="C3229" s="30"/>
    </row>
    <row r="3230" spans="1:3" x14ac:dyDescent="0.25">
      <c r="A3230" s="31"/>
      <c r="B3230" s="30"/>
      <c r="C3230" s="30"/>
    </row>
    <row r="3231" spans="1:3" x14ac:dyDescent="0.25">
      <c r="A3231" s="31"/>
      <c r="B3231" s="30"/>
      <c r="C3231" s="30"/>
    </row>
    <row r="3232" spans="1:3" x14ac:dyDescent="0.25">
      <c r="A3232" s="31"/>
      <c r="B3232" s="30"/>
      <c r="C3232" s="30"/>
    </row>
    <row r="3233" spans="1:3" x14ac:dyDescent="0.25">
      <c r="A3233" s="31"/>
      <c r="B3233" s="30"/>
      <c r="C3233" s="30"/>
    </row>
    <row r="3234" spans="1:3" x14ac:dyDescent="0.25">
      <c r="A3234" s="31"/>
      <c r="B3234" s="30"/>
      <c r="C3234" s="30"/>
    </row>
    <row r="3235" spans="1:3" x14ac:dyDescent="0.25">
      <c r="A3235" s="31"/>
      <c r="B3235" s="30"/>
      <c r="C3235" s="30"/>
    </row>
    <row r="3236" spans="1:3" x14ac:dyDescent="0.25">
      <c r="A3236" s="31"/>
      <c r="B3236" s="30"/>
      <c r="C3236" s="30"/>
    </row>
    <row r="3237" spans="1:3" x14ac:dyDescent="0.25">
      <c r="A3237" s="31"/>
      <c r="B3237" s="30"/>
      <c r="C3237" s="30"/>
    </row>
    <row r="3238" spans="1:3" x14ac:dyDescent="0.25">
      <c r="A3238" s="31"/>
      <c r="B3238" s="30"/>
      <c r="C3238" s="30"/>
    </row>
    <row r="3239" spans="1:3" x14ac:dyDescent="0.25">
      <c r="A3239" s="31"/>
      <c r="B3239" s="30"/>
      <c r="C3239" s="30"/>
    </row>
    <row r="3240" spans="1:3" x14ac:dyDescent="0.25">
      <c r="A3240" s="31"/>
      <c r="B3240" s="30"/>
      <c r="C3240" s="30"/>
    </row>
    <row r="3241" spans="1:3" x14ac:dyDescent="0.25">
      <c r="A3241" s="31"/>
      <c r="B3241" s="30"/>
      <c r="C3241" s="30"/>
    </row>
    <row r="3242" spans="1:3" x14ac:dyDescent="0.25">
      <c r="A3242" s="31"/>
      <c r="B3242" s="30"/>
      <c r="C3242" s="30"/>
    </row>
    <row r="3243" spans="1:3" x14ac:dyDescent="0.25">
      <c r="A3243" s="31"/>
      <c r="B3243" s="30"/>
      <c r="C3243" s="30"/>
    </row>
    <row r="3244" spans="1:3" x14ac:dyDescent="0.25">
      <c r="A3244" s="31"/>
      <c r="B3244" s="30"/>
      <c r="C3244" s="30"/>
    </row>
    <row r="3245" spans="1:3" x14ac:dyDescent="0.25">
      <c r="A3245" s="31"/>
      <c r="B3245" s="30"/>
      <c r="C3245" s="30"/>
    </row>
    <row r="3246" spans="1:3" x14ac:dyDescent="0.25">
      <c r="A3246" s="31"/>
      <c r="B3246" s="30"/>
      <c r="C3246" s="30"/>
    </row>
    <row r="3247" spans="1:3" x14ac:dyDescent="0.25">
      <c r="A3247" s="31"/>
      <c r="B3247" s="30"/>
      <c r="C3247" s="30"/>
    </row>
    <row r="3248" spans="1:3" x14ac:dyDescent="0.25">
      <c r="A3248" s="31"/>
      <c r="B3248" s="30"/>
      <c r="C3248" s="30"/>
    </row>
    <row r="3249" spans="1:3" x14ac:dyDescent="0.25">
      <c r="A3249" s="31"/>
      <c r="B3249" s="30"/>
      <c r="C3249" s="30"/>
    </row>
    <row r="3250" spans="1:3" x14ac:dyDescent="0.25">
      <c r="A3250" s="31"/>
      <c r="B3250" s="30"/>
      <c r="C3250" s="30"/>
    </row>
    <row r="3251" spans="1:3" x14ac:dyDescent="0.25">
      <c r="A3251" s="31"/>
      <c r="B3251" s="30"/>
      <c r="C3251" s="30"/>
    </row>
    <row r="3252" spans="1:3" x14ac:dyDescent="0.25">
      <c r="A3252" s="31"/>
      <c r="B3252" s="30"/>
      <c r="C3252" s="30"/>
    </row>
    <row r="3253" spans="1:3" x14ac:dyDescent="0.25">
      <c r="A3253" s="31"/>
      <c r="B3253" s="30"/>
      <c r="C3253" s="30"/>
    </row>
    <row r="3254" spans="1:3" x14ac:dyDescent="0.25">
      <c r="A3254" s="31"/>
      <c r="B3254" s="30"/>
      <c r="C3254" s="30"/>
    </row>
    <row r="3255" spans="1:3" x14ac:dyDescent="0.25">
      <c r="A3255" s="31"/>
      <c r="B3255" s="30"/>
      <c r="C3255" s="30"/>
    </row>
    <row r="3256" spans="1:3" x14ac:dyDescent="0.25">
      <c r="A3256" s="31"/>
      <c r="B3256" s="30"/>
      <c r="C3256" s="30"/>
    </row>
    <row r="3257" spans="1:3" x14ac:dyDescent="0.25">
      <c r="A3257" s="31"/>
      <c r="B3257" s="30"/>
      <c r="C3257" s="30"/>
    </row>
    <row r="3258" spans="1:3" x14ac:dyDescent="0.25">
      <c r="A3258" s="31"/>
      <c r="B3258" s="30"/>
      <c r="C3258" s="30"/>
    </row>
    <row r="3259" spans="1:3" x14ac:dyDescent="0.25">
      <c r="A3259" s="31"/>
      <c r="B3259" s="30"/>
      <c r="C3259" s="30"/>
    </row>
    <row r="3260" spans="1:3" x14ac:dyDescent="0.25">
      <c r="A3260" s="31"/>
      <c r="B3260" s="30"/>
      <c r="C3260" s="30"/>
    </row>
    <row r="3261" spans="1:3" x14ac:dyDescent="0.25">
      <c r="A3261" s="31"/>
      <c r="B3261" s="30"/>
      <c r="C3261" s="30"/>
    </row>
    <row r="3262" spans="1:3" x14ac:dyDescent="0.25">
      <c r="A3262" s="31"/>
      <c r="B3262" s="30"/>
      <c r="C3262" s="30"/>
    </row>
    <row r="3263" spans="1:3" x14ac:dyDescent="0.25">
      <c r="A3263" s="31"/>
      <c r="B3263" s="30"/>
      <c r="C3263" s="30"/>
    </row>
    <row r="3264" spans="1:3" x14ac:dyDescent="0.25">
      <c r="A3264" s="31"/>
      <c r="B3264" s="30"/>
      <c r="C3264" s="30"/>
    </row>
    <row r="3265" spans="1:3" x14ac:dyDescent="0.25">
      <c r="A3265" s="31"/>
      <c r="B3265" s="30"/>
      <c r="C3265" s="30"/>
    </row>
    <row r="3266" spans="1:3" x14ac:dyDescent="0.25">
      <c r="A3266" s="31"/>
      <c r="B3266" s="30"/>
      <c r="C3266" s="30"/>
    </row>
    <row r="3267" spans="1:3" x14ac:dyDescent="0.25">
      <c r="A3267" s="31"/>
      <c r="B3267" s="30"/>
      <c r="C3267" s="30"/>
    </row>
    <row r="3268" spans="1:3" x14ac:dyDescent="0.25">
      <c r="A3268" s="31"/>
      <c r="B3268" s="30"/>
      <c r="C3268" s="30"/>
    </row>
    <row r="3269" spans="1:3" x14ac:dyDescent="0.25">
      <c r="A3269" s="31"/>
      <c r="B3269" s="30"/>
      <c r="C3269" s="30"/>
    </row>
    <row r="3270" spans="1:3" x14ac:dyDescent="0.25">
      <c r="A3270" s="31"/>
      <c r="B3270" s="30"/>
      <c r="C3270" s="30"/>
    </row>
    <row r="3271" spans="1:3" x14ac:dyDescent="0.25">
      <c r="A3271" s="31"/>
      <c r="B3271" s="30"/>
      <c r="C3271" s="30"/>
    </row>
    <row r="3272" spans="1:3" x14ac:dyDescent="0.25">
      <c r="A3272" s="31"/>
      <c r="B3272" s="30"/>
      <c r="C3272" s="30"/>
    </row>
    <row r="3273" spans="1:3" x14ac:dyDescent="0.25">
      <c r="A3273" s="31"/>
      <c r="B3273" s="30"/>
      <c r="C3273" s="30"/>
    </row>
    <row r="3274" spans="1:3" x14ac:dyDescent="0.25">
      <c r="A3274" s="31"/>
      <c r="B3274" s="30"/>
      <c r="C3274" s="30"/>
    </row>
    <row r="3275" spans="1:3" x14ac:dyDescent="0.25">
      <c r="A3275" s="31"/>
      <c r="B3275" s="30"/>
      <c r="C3275" s="30"/>
    </row>
    <row r="3276" spans="1:3" x14ac:dyDescent="0.25">
      <c r="A3276" s="31"/>
      <c r="B3276" s="30"/>
      <c r="C3276" s="30"/>
    </row>
    <row r="3277" spans="1:3" x14ac:dyDescent="0.25">
      <c r="A3277" s="31"/>
      <c r="B3277" s="30"/>
      <c r="C3277" s="30"/>
    </row>
    <row r="3278" spans="1:3" x14ac:dyDescent="0.25">
      <c r="A3278" s="31"/>
      <c r="B3278" s="30"/>
      <c r="C3278" s="30"/>
    </row>
    <row r="3279" spans="1:3" x14ac:dyDescent="0.25">
      <c r="A3279" s="31"/>
      <c r="B3279" s="30"/>
      <c r="C3279" s="30"/>
    </row>
    <row r="3280" spans="1:3" x14ac:dyDescent="0.25">
      <c r="A3280" s="31"/>
      <c r="B3280" s="30"/>
      <c r="C3280" s="30"/>
    </row>
    <row r="3281" spans="1:3" x14ac:dyDescent="0.25">
      <c r="A3281" s="31"/>
      <c r="B3281" s="30"/>
      <c r="C3281" s="30"/>
    </row>
    <row r="3282" spans="1:3" x14ac:dyDescent="0.25">
      <c r="A3282" s="31"/>
      <c r="B3282" s="30"/>
      <c r="C3282" s="30"/>
    </row>
    <row r="3283" spans="1:3" x14ac:dyDescent="0.25">
      <c r="A3283" s="31"/>
      <c r="B3283" s="30"/>
      <c r="C3283" s="30"/>
    </row>
    <row r="3284" spans="1:3" x14ac:dyDescent="0.25">
      <c r="A3284" s="31"/>
      <c r="B3284" s="30"/>
      <c r="C3284" s="30"/>
    </row>
    <row r="3285" spans="1:3" x14ac:dyDescent="0.25">
      <c r="A3285" s="31"/>
      <c r="B3285" s="30"/>
      <c r="C3285" s="30"/>
    </row>
    <row r="3286" spans="1:3" x14ac:dyDescent="0.25">
      <c r="A3286" s="31"/>
      <c r="B3286" s="30"/>
      <c r="C3286" s="30"/>
    </row>
    <row r="3287" spans="1:3" x14ac:dyDescent="0.25">
      <c r="A3287" s="31"/>
      <c r="B3287" s="30"/>
      <c r="C3287" s="30"/>
    </row>
    <row r="3288" spans="1:3" x14ac:dyDescent="0.25">
      <c r="A3288" s="31"/>
      <c r="B3288" s="30"/>
      <c r="C3288" s="30"/>
    </row>
    <row r="3289" spans="1:3" x14ac:dyDescent="0.25">
      <c r="A3289" s="31"/>
      <c r="B3289" s="30"/>
      <c r="C3289" s="30"/>
    </row>
    <row r="3290" spans="1:3" x14ac:dyDescent="0.25">
      <c r="A3290" s="31"/>
      <c r="B3290" s="30"/>
      <c r="C3290" s="30"/>
    </row>
    <row r="3291" spans="1:3" x14ac:dyDescent="0.25">
      <c r="A3291" s="31"/>
      <c r="B3291" s="30"/>
      <c r="C3291" s="30"/>
    </row>
    <row r="3292" spans="1:3" x14ac:dyDescent="0.25">
      <c r="A3292" s="31"/>
      <c r="B3292" s="30"/>
      <c r="C3292" s="30"/>
    </row>
    <row r="3293" spans="1:3" x14ac:dyDescent="0.25">
      <c r="A3293" s="31"/>
      <c r="B3293" s="30"/>
      <c r="C3293" s="30"/>
    </row>
    <row r="3294" spans="1:3" x14ac:dyDescent="0.25">
      <c r="A3294" s="31"/>
      <c r="B3294" s="30"/>
      <c r="C3294" s="30"/>
    </row>
    <row r="3295" spans="1:3" x14ac:dyDescent="0.25">
      <c r="A3295" s="31"/>
      <c r="B3295" s="30"/>
      <c r="C3295" s="30"/>
    </row>
    <row r="3296" spans="1:3" x14ac:dyDescent="0.25">
      <c r="A3296" s="31"/>
      <c r="B3296" s="30"/>
      <c r="C3296" s="30"/>
    </row>
    <row r="3297" spans="1:3" x14ac:dyDescent="0.25">
      <c r="A3297" s="31"/>
      <c r="B3297" s="30"/>
      <c r="C3297" s="30"/>
    </row>
    <row r="3298" spans="1:3" x14ac:dyDescent="0.25">
      <c r="A3298" s="31"/>
      <c r="B3298" s="30"/>
      <c r="C3298" s="30"/>
    </row>
    <row r="3299" spans="1:3" x14ac:dyDescent="0.25">
      <c r="A3299" s="31"/>
      <c r="B3299" s="30"/>
      <c r="C3299" s="30"/>
    </row>
    <row r="3300" spans="1:3" x14ac:dyDescent="0.25">
      <c r="A3300" s="31"/>
      <c r="B3300" s="30"/>
      <c r="C3300" s="30"/>
    </row>
    <row r="3301" spans="1:3" x14ac:dyDescent="0.25">
      <c r="A3301" s="31"/>
      <c r="B3301" s="30"/>
      <c r="C3301" s="30"/>
    </row>
    <row r="3302" spans="1:3" x14ac:dyDescent="0.25">
      <c r="A3302" s="31"/>
      <c r="B3302" s="30"/>
      <c r="C3302" s="30"/>
    </row>
    <row r="3303" spans="1:3" x14ac:dyDescent="0.25">
      <c r="A3303" s="31"/>
      <c r="B3303" s="30"/>
      <c r="C3303" s="30"/>
    </row>
    <row r="3304" spans="1:3" x14ac:dyDescent="0.25">
      <c r="A3304" s="31"/>
      <c r="B3304" s="30"/>
      <c r="C3304" s="30"/>
    </row>
    <row r="3305" spans="1:3" x14ac:dyDescent="0.25">
      <c r="A3305" s="31"/>
      <c r="B3305" s="30"/>
      <c r="C3305" s="30"/>
    </row>
    <row r="3306" spans="1:3" x14ac:dyDescent="0.25">
      <c r="A3306" s="31"/>
      <c r="B3306" s="30"/>
      <c r="C3306" s="30"/>
    </row>
    <row r="3307" spans="1:3" x14ac:dyDescent="0.25">
      <c r="A3307" s="31"/>
      <c r="B3307" s="30"/>
      <c r="C3307" s="30"/>
    </row>
    <row r="3308" spans="1:3" x14ac:dyDescent="0.25">
      <c r="A3308" s="31"/>
      <c r="B3308" s="30"/>
      <c r="C3308" s="30"/>
    </row>
    <row r="3309" spans="1:3" x14ac:dyDescent="0.25">
      <c r="A3309" s="31"/>
      <c r="B3309" s="30"/>
      <c r="C3309" s="30"/>
    </row>
    <row r="3310" spans="1:3" x14ac:dyDescent="0.25">
      <c r="A3310" s="31"/>
      <c r="B3310" s="30"/>
      <c r="C3310" s="30"/>
    </row>
    <row r="3311" spans="1:3" x14ac:dyDescent="0.25">
      <c r="A3311" s="31"/>
      <c r="B3311" s="30"/>
      <c r="C3311" s="30"/>
    </row>
    <row r="3312" spans="1:3" x14ac:dyDescent="0.25">
      <c r="A3312" s="31"/>
      <c r="B3312" s="30"/>
      <c r="C3312" s="30"/>
    </row>
    <row r="3313" spans="1:3" x14ac:dyDescent="0.25">
      <c r="A3313" s="31"/>
      <c r="B3313" s="30"/>
      <c r="C3313" s="30"/>
    </row>
    <row r="3314" spans="1:3" x14ac:dyDescent="0.25">
      <c r="A3314" s="31"/>
      <c r="B3314" s="30"/>
      <c r="C3314" s="30"/>
    </row>
    <row r="3315" spans="1:3" x14ac:dyDescent="0.25">
      <c r="A3315" s="31"/>
      <c r="B3315" s="30"/>
      <c r="C3315" s="30"/>
    </row>
    <row r="3316" spans="1:3" x14ac:dyDescent="0.25">
      <c r="A3316" s="31"/>
      <c r="B3316" s="30"/>
      <c r="C3316" s="30"/>
    </row>
    <row r="3317" spans="1:3" x14ac:dyDescent="0.25">
      <c r="A3317" s="31"/>
      <c r="B3317" s="30"/>
      <c r="C3317" s="30"/>
    </row>
    <row r="3318" spans="1:3" x14ac:dyDescent="0.25">
      <c r="A3318" s="31"/>
      <c r="B3318" s="30"/>
      <c r="C3318" s="30"/>
    </row>
    <row r="3319" spans="1:3" x14ac:dyDescent="0.25">
      <c r="A3319" s="31"/>
      <c r="B3319" s="30"/>
      <c r="C3319" s="30"/>
    </row>
    <row r="3320" spans="1:3" x14ac:dyDescent="0.25">
      <c r="A3320" s="31"/>
      <c r="B3320" s="30"/>
      <c r="C3320" s="30"/>
    </row>
    <row r="3321" spans="1:3" x14ac:dyDescent="0.25">
      <c r="A3321" s="31"/>
      <c r="B3321" s="30"/>
      <c r="C3321" s="30"/>
    </row>
    <row r="3322" spans="1:3" x14ac:dyDescent="0.25">
      <c r="A3322" s="31"/>
      <c r="B3322" s="30"/>
      <c r="C3322" s="30"/>
    </row>
    <row r="3323" spans="1:3" x14ac:dyDescent="0.25">
      <c r="A3323" s="31"/>
      <c r="B3323" s="30"/>
      <c r="C3323" s="30"/>
    </row>
    <row r="3324" spans="1:3" x14ac:dyDescent="0.25">
      <c r="A3324" s="31"/>
      <c r="B3324" s="30"/>
      <c r="C3324" s="30"/>
    </row>
    <row r="3325" spans="1:3" x14ac:dyDescent="0.25">
      <c r="A3325" s="31"/>
      <c r="B3325" s="30"/>
      <c r="C3325" s="30"/>
    </row>
    <row r="3326" spans="1:3" x14ac:dyDescent="0.25">
      <c r="A3326" s="31"/>
      <c r="B3326" s="30"/>
      <c r="C3326" s="30"/>
    </row>
    <row r="3327" spans="1:3" x14ac:dyDescent="0.25">
      <c r="A3327" s="31"/>
      <c r="B3327" s="30"/>
      <c r="C3327" s="30"/>
    </row>
    <row r="3328" spans="1:3" x14ac:dyDescent="0.25">
      <c r="A3328" s="31"/>
      <c r="B3328" s="30"/>
      <c r="C3328" s="30"/>
    </row>
    <row r="3329" spans="1:3" x14ac:dyDescent="0.25">
      <c r="A3329" s="31"/>
      <c r="B3329" s="30"/>
      <c r="C3329" s="30"/>
    </row>
    <row r="3330" spans="1:3" x14ac:dyDescent="0.25">
      <c r="A3330" s="31"/>
      <c r="B3330" s="30"/>
      <c r="C3330" s="30"/>
    </row>
    <row r="3331" spans="1:3" x14ac:dyDescent="0.25">
      <c r="A3331" s="31"/>
      <c r="B3331" s="30"/>
      <c r="C3331" s="30"/>
    </row>
    <row r="3332" spans="1:3" x14ac:dyDescent="0.25">
      <c r="A3332" s="31"/>
      <c r="B3332" s="30"/>
      <c r="C3332" s="30"/>
    </row>
    <row r="3333" spans="1:3" x14ac:dyDescent="0.25">
      <c r="A3333" s="31"/>
      <c r="B3333" s="30"/>
      <c r="C3333" s="30"/>
    </row>
    <row r="3334" spans="1:3" x14ac:dyDescent="0.25">
      <c r="A3334" s="31"/>
      <c r="B3334" s="30"/>
      <c r="C3334" s="30"/>
    </row>
    <row r="3335" spans="1:3" x14ac:dyDescent="0.25">
      <c r="A3335" s="31"/>
      <c r="B3335" s="30"/>
      <c r="C3335" s="30"/>
    </row>
    <row r="3336" spans="1:3" x14ac:dyDescent="0.25">
      <c r="A3336" s="31"/>
      <c r="B3336" s="30"/>
      <c r="C3336" s="30"/>
    </row>
    <row r="3337" spans="1:3" x14ac:dyDescent="0.25">
      <c r="A3337" s="31"/>
      <c r="B3337" s="30"/>
      <c r="C3337" s="30"/>
    </row>
    <row r="3338" spans="1:3" x14ac:dyDescent="0.25">
      <c r="A3338" s="31"/>
      <c r="B3338" s="30"/>
      <c r="C3338" s="30"/>
    </row>
    <row r="3339" spans="1:3" x14ac:dyDescent="0.25">
      <c r="A3339" s="31"/>
      <c r="B3339" s="30"/>
      <c r="C3339" s="30"/>
    </row>
    <row r="3340" spans="1:3" x14ac:dyDescent="0.25">
      <c r="A3340" s="31"/>
      <c r="B3340" s="30"/>
      <c r="C3340" s="30"/>
    </row>
    <row r="3341" spans="1:3" x14ac:dyDescent="0.25">
      <c r="A3341" s="31"/>
      <c r="B3341" s="30"/>
      <c r="C3341" s="30"/>
    </row>
    <row r="3342" spans="1:3" x14ac:dyDescent="0.25">
      <c r="A3342" s="31"/>
      <c r="B3342" s="30"/>
      <c r="C3342" s="30"/>
    </row>
    <row r="3343" spans="1:3" x14ac:dyDescent="0.25">
      <c r="A3343" s="31"/>
      <c r="B3343" s="30"/>
      <c r="C3343" s="30"/>
    </row>
    <row r="3344" spans="1:3" x14ac:dyDescent="0.25">
      <c r="A3344" s="31"/>
      <c r="B3344" s="30"/>
      <c r="C3344" s="30"/>
    </row>
    <row r="3345" spans="1:3" x14ac:dyDescent="0.25">
      <c r="A3345" s="31"/>
      <c r="B3345" s="30"/>
      <c r="C3345" s="30"/>
    </row>
    <row r="3346" spans="1:3" x14ac:dyDescent="0.25">
      <c r="A3346" s="31"/>
      <c r="B3346" s="30"/>
      <c r="C3346" s="30"/>
    </row>
    <row r="3347" spans="1:3" x14ac:dyDescent="0.25">
      <c r="A3347" s="31"/>
      <c r="B3347" s="30"/>
      <c r="C3347" s="30"/>
    </row>
    <row r="3348" spans="1:3" x14ac:dyDescent="0.25">
      <c r="A3348" s="31"/>
      <c r="B3348" s="30"/>
      <c r="C3348" s="30"/>
    </row>
    <row r="3349" spans="1:3" x14ac:dyDescent="0.25">
      <c r="A3349" s="31"/>
      <c r="B3349" s="30"/>
      <c r="C3349" s="30"/>
    </row>
    <row r="3350" spans="1:3" x14ac:dyDescent="0.25">
      <c r="A3350" s="31"/>
      <c r="B3350" s="30"/>
      <c r="C3350" s="30"/>
    </row>
    <row r="3351" spans="1:3" x14ac:dyDescent="0.25">
      <c r="A3351" s="31"/>
      <c r="B3351" s="30"/>
      <c r="C3351" s="30"/>
    </row>
    <row r="3352" spans="1:3" x14ac:dyDescent="0.25">
      <c r="A3352" s="31"/>
      <c r="B3352" s="30"/>
      <c r="C3352" s="30"/>
    </row>
    <row r="3353" spans="1:3" x14ac:dyDescent="0.25">
      <c r="A3353" s="31"/>
      <c r="B3353" s="30"/>
      <c r="C3353" s="30"/>
    </row>
    <row r="3354" spans="1:3" x14ac:dyDescent="0.25">
      <c r="A3354" s="31"/>
      <c r="B3354" s="30"/>
      <c r="C3354" s="30"/>
    </row>
    <row r="3355" spans="1:3" x14ac:dyDescent="0.25">
      <c r="A3355" s="31"/>
      <c r="B3355" s="30"/>
      <c r="C3355" s="30"/>
    </row>
    <row r="3356" spans="1:3" x14ac:dyDescent="0.25">
      <c r="A3356" s="31"/>
      <c r="B3356" s="30"/>
      <c r="C3356" s="30"/>
    </row>
    <row r="3357" spans="1:3" x14ac:dyDescent="0.25">
      <c r="A3357" s="31"/>
      <c r="B3357" s="30"/>
      <c r="C3357" s="30"/>
    </row>
    <row r="3358" spans="1:3" x14ac:dyDescent="0.25">
      <c r="A3358" s="31"/>
      <c r="B3358" s="30"/>
      <c r="C3358" s="30"/>
    </row>
    <row r="3359" spans="1:3" x14ac:dyDescent="0.25">
      <c r="A3359" s="31"/>
      <c r="B3359" s="30"/>
      <c r="C3359" s="30"/>
    </row>
    <row r="3360" spans="1:3" x14ac:dyDescent="0.25">
      <c r="A3360" s="31"/>
      <c r="B3360" s="30"/>
      <c r="C3360" s="30"/>
    </row>
    <row r="3361" spans="1:3" x14ac:dyDescent="0.25">
      <c r="A3361" s="31"/>
      <c r="B3361" s="30"/>
      <c r="C3361" s="30"/>
    </row>
    <row r="3362" spans="1:3" x14ac:dyDescent="0.25">
      <c r="A3362" s="31"/>
      <c r="B3362" s="30"/>
      <c r="C3362" s="30"/>
    </row>
    <row r="3363" spans="1:3" x14ac:dyDescent="0.25">
      <c r="A3363" s="31"/>
      <c r="B3363" s="30"/>
      <c r="C3363" s="30"/>
    </row>
    <row r="3364" spans="1:3" x14ac:dyDescent="0.25">
      <c r="A3364" s="31"/>
      <c r="B3364" s="30"/>
      <c r="C3364" s="30"/>
    </row>
    <row r="3365" spans="1:3" x14ac:dyDescent="0.25">
      <c r="A3365" s="31"/>
      <c r="B3365" s="30"/>
      <c r="C3365" s="30"/>
    </row>
    <row r="3366" spans="1:3" x14ac:dyDescent="0.25">
      <c r="A3366" s="31"/>
      <c r="B3366" s="30"/>
      <c r="C3366" s="30"/>
    </row>
    <row r="3367" spans="1:3" x14ac:dyDescent="0.25">
      <c r="A3367" s="31"/>
      <c r="B3367" s="30"/>
      <c r="C3367" s="30"/>
    </row>
    <row r="3368" spans="1:3" x14ac:dyDescent="0.25">
      <c r="A3368" s="31"/>
      <c r="B3368" s="30"/>
      <c r="C3368" s="30"/>
    </row>
    <row r="3369" spans="1:3" x14ac:dyDescent="0.25">
      <c r="A3369" s="31"/>
      <c r="B3369" s="30"/>
      <c r="C3369" s="30"/>
    </row>
    <row r="3370" spans="1:3" x14ac:dyDescent="0.25">
      <c r="A3370" s="31"/>
      <c r="B3370" s="30"/>
      <c r="C3370" s="30"/>
    </row>
    <row r="3371" spans="1:3" x14ac:dyDescent="0.25">
      <c r="A3371" s="31"/>
      <c r="B3371" s="30"/>
      <c r="C3371" s="30"/>
    </row>
    <row r="3372" spans="1:3" x14ac:dyDescent="0.25">
      <c r="A3372" s="31"/>
      <c r="B3372" s="30"/>
      <c r="C3372" s="30"/>
    </row>
    <row r="3373" spans="1:3" x14ac:dyDescent="0.25">
      <c r="A3373" s="31"/>
      <c r="B3373" s="30"/>
      <c r="C3373" s="30"/>
    </row>
    <row r="3374" spans="1:3" x14ac:dyDescent="0.25">
      <c r="A3374" s="31"/>
      <c r="B3374" s="30"/>
      <c r="C3374" s="30"/>
    </row>
    <row r="3375" spans="1:3" x14ac:dyDescent="0.25">
      <c r="A3375" s="31"/>
      <c r="B3375" s="30"/>
      <c r="C3375" s="30"/>
    </row>
    <row r="3376" spans="1:3" x14ac:dyDescent="0.25">
      <c r="A3376" s="31"/>
      <c r="B3376" s="30"/>
      <c r="C3376" s="30"/>
    </row>
    <row r="3377" spans="1:3" x14ac:dyDescent="0.25">
      <c r="A3377" s="31"/>
      <c r="B3377" s="30"/>
      <c r="C3377" s="30"/>
    </row>
    <row r="3378" spans="1:3" x14ac:dyDescent="0.25">
      <c r="A3378" s="31"/>
      <c r="B3378" s="30"/>
      <c r="C3378" s="30"/>
    </row>
    <row r="3379" spans="1:3" x14ac:dyDescent="0.25">
      <c r="A3379" s="31"/>
      <c r="B3379" s="30"/>
      <c r="C3379" s="30"/>
    </row>
    <row r="3380" spans="1:3" x14ac:dyDescent="0.25">
      <c r="A3380" s="31"/>
      <c r="B3380" s="30"/>
      <c r="C3380" s="30"/>
    </row>
    <row r="3381" spans="1:3" x14ac:dyDescent="0.25">
      <c r="A3381" s="31"/>
      <c r="B3381" s="30"/>
      <c r="C3381" s="30"/>
    </row>
    <row r="3382" spans="1:3" x14ac:dyDescent="0.25">
      <c r="A3382" s="31"/>
      <c r="B3382" s="30"/>
      <c r="C3382" s="30"/>
    </row>
    <row r="3383" spans="1:3" x14ac:dyDescent="0.25">
      <c r="A3383" s="31"/>
      <c r="B3383" s="30"/>
      <c r="C3383" s="30"/>
    </row>
    <row r="3384" spans="1:3" x14ac:dyDescent="0.25">
      <c r="A3384" s="31"/>
      <c r="B3384" s="30"/>
      <c r="C3384" s="30"/>
    </row>
    <row r="3385" spans="1:3" x14ac:dyDescent="0.25">
      <c r="A3385" s="31"/>
      <c r="B3385" s="30"/>
      <c r="C3385" s="30"/>
    </row>
    <row r="3386" spans="1:3" x14ac:dyDescent="0.25">
      <c r="A3386" s="31"/>
      <c r="B3386" s="30"/>
      <c r="C3386" s="30"/>
    </row>
    <row r="3387" spans="1:3" x14ac:dyDescent="0.25">
      <c r="A3387" s="31"/>
      <c r="B3387" s="30"/>
      <c r="C3387" s="30"/>
    </row>
    <row r="3388" spans="1:3" x14ac:dyDescent="0.25">
      <c r="A3388" s="31"/>
      <c r="B3388" s="30"/>
      <c r="C3388" s="30"/>
    </row>
    <row r="3389" spans="1:3" x14ac:dyDescent="0.25">
      <c r="A3389" s="31"/>
      <c r="B3389" s="30"/>
      <c r="C3389" s="30"/>
    </row>
    <row r="3390" spans="1:3" x14ac:dyDescent="0.25">
      <c r="A3390" s="31"/>
      <c r="B3390" s="30"/>
      <c r="C3390" s="30"/>
    </row>
    <row r="3391" spans="1:3" x14ac:dyDescent="0.25">
      <c r="A3391" s="31"/>
      <c r="B3391" s="30"/>
      <c r="C3391" s="30"/>
    </row>
    <row r="3392" spans="1:3" x14ac:dyDescent="0.25">
      <c r="A3392" s="31"/>
      <c r="B3392" s="30"/>
      <c r="C3392" s="30"/>
    </row>
    <row r="3393" spans="1:3" x14ac:dyDescent="0.25">
      <c r="A3393" s="31"/>
      <c r="B3393" s="30"/>
      <c r="C3393" s="30"/>
    </row>
    <row r="3394" spans="1:3" x14ac:dyDescent="0.25">
      <c r="A3394" s="31"/>
      <c r="B3394" s="30"/>
      <c r="C3394" s="30"/>
    </row>
    <row r="3395" spans="1:3" x14ac:dyDescent="0.25">
      <c r="A3395" s="31"/>
      <c r="B3395" s="30"/>
      <c r="C3395" s="30"/>
    </row>
    <row r="3396" spans="1:3" x14ac:dyDescent="0.25">
      <c r="A3396" s="31"/>
      <c r="B3396" s="30"/>
      <c r="C3396" s="30"/>
    </row>
    <row r="3397" spans="1:3" x14ac:dyDescent="0.25">
      <c r="A3397" s="31"/>
      <c r="B3397" s="30"/>
      <c r="C3397" s="30"/>
    </row>
    <row r="3398" spans="1:3" x14ac:dyDescent="0.25">
      <c r="A3398" s="31"/>
      <c r="B3398" s="30"/>
      <c r="C3398" s="30"/>
    </row>
    <row r="3399" spans="1:3" x14ac:dyDescent="0.25">
      <c r="A3399" s="31"/>
      <c r="B3399" s="30"/>
      <c r="C3399" s="30"/>
    </row>
    <row r="3400" spans="1:3" x14ac:dyDescent="0.25">
      <c r="A3400" s="31"/>
      <c r="B3400" s="30"/>
      <c r="C3400" s="30"/>
    </row>
    <row r="3401" spans="1:3" x14ac:dyDescent="0.25">
      <c r="A3401" s="31"/>
      <c r="B3401" s="30"/>
      <c r="C3401" s="30"/>
    </row>
    <row r="3402" spans="1:3" x14ac:dyDescent="0.25">
      <c r="A3402" s="31"/>
      <c r="B3402" s="30"/>
      <c r="C3402" s="30"/>
    </row>
    <row r="3403" spans="1:3" x14ac:dyDescent="0.25">
      <c r="A3403" s="31"/>
      <c r="B3403" s="30"/>
      <c r="C3403" s="30"/>
    </row>
    <row r="3404" spans="1:3" x14ac:dyDescent="0.25">
      <c r="A3404" s="31"/>
      <c r="B3404" s="30"/>
      <c r="C3404" s="30"/>
    </row>
    <row r="3405" spans="1:3" x14ac:dyDescent="0.25">
      <c r="A3405" s="31"/>
      <c r="B3405" s="30"/>
      <c r="C3405" s="30"/>
    </row>
    <row r="3406" spans="1:3" x14ac:dyDescent="0.25">
      <c r="A3406" s="31"/>
      <c r="B3406" s="30"/>
      <c r="C3406" s="30"/>
    </row>
    <row r="3407" spans="1:3" x14ac:dyDescent="0.25">
      <c r="A3407" s="31"/>
      <c r="B3407" s="30"/>
      <c r="C3407" s="30"/>
    </row>
    <row r="3408" spans="1:3" x14ac:dyDescent="0.25">
      <c r="A3408" s="31"/>
      <c r="B3408" s="30"/>
      <c r="C3408" s="30"/>
    </row>
    <row r="3409" spans="1:3" x14ac:dyDescent="0.25">
      <c r="A3409" s="31"/>
      <c r="B3409" s="30"/>
      <c r="C3409" s="30"/>
    </row>
    <row r="3410" spans="1:3" x14ac:dyDescent="0.25">
      <c r="A3410" s="31"/>
      <c r="B3410" s="30"/>
      <c r="C3410" s="30"/>
    </row>
    <row r="3411" spans="1:3" x14ac:dyDescent="0.25">
      <c r="A3411" s="31"/>
      <c r="B3411" s="30"/>
      <c r="C3411" s="30"/>
    </row>
    <row r="3412" spans="1:3" x14ac:dyDescent="0.25">
      <c r="A3412" s="31"/>
      <c r="B3412" s="30"/>
      <c r="C3412" s="30"/>
    </row>
    <row r="3413" spans="1:3" x14ac:dyDescent="0.25">
      <c r="A3413" s="31"/>
      <c r="B3413" s="30"/>
      <c r="C3413" s="30"/>
    </row>
    <row r="3414" spans="1:3" x14ac:dyDescent="0.25">
      <c r="A3414" s="31"/>
      <c r="B3414" s="30"/>
      <c r="C3414" s="30"/>
    </row>
    <row r="3415" spans="1:3" x14ac:dyDescent="0.25">
      <c r="A3415" s="31"/>
      <c r="B3415" s="30"/>
      <c r="C3415" s="30"/>
    </row>
    <row r="3416" spans="1:3" x14ac:dyDescent="0.25">
      <c r="A3416" s="31"/>
      <c r="B3416" s="30"/>
      <c r="C3416" s="30"/>
    </row>
    <row r="3417" spans="1:3" x14ac:dyDescent="0.25">
      <c r="A3417" s="31"/>
      <c r="B3417" s="30"/>
      <c r="C3417" s="30"/>
    </row>
    <row r="3418" spans="1:3" x14ac:dyDescent="0.25">
      <c r="A3418" s="31"/>
      <c r="B3418" s="30"/>
      <c r="C3418" s="30"/>
    </row>
    <row r="3419" spans="1:3" x14ac:dyDescent="0.25">
      <c r="A3419" s="31"/>
      <c r="B3419" s="30"/>
      <c r="C3419" s="30"/>
    </row>
    <row r="3420" spans="1:3" x14ac:dyDescent="0.25">
      <c r="A3420" s="31"/>
      <c r="B3420" s="30"/>
      <c r="C3420" s="30"/>
    </row>
    <row r="3421" spans="1:3" x14ac:dyDescent="0.25">
      <c r="A3421" s="31"/>
      <c r="B3421" s="30"/>
      <c r="C3421" s="30"/>
    </row>
    <row r="3422" spans="1:3" x14ac:dyDescent="0.25">
      <c r="A3422" s="31"/>
      <c r="B3422" s="30"/>
      <c r="C3422" s="30"/>
    </row>
    <row r="3423" spans="1:3" x14ac:dyDescent="0.25">
      <c r="A3423" s="31"/>
      <c r="B3423" s="30"/>
      <c r="C3423" s="30"/>
    </row>
    <row r="3424" spans="1:3" x14ac:dyDescent="0.25">
      <c r="A3424" s="31"/>
      <c r="B3424" s="30"/>
      <c r="C3424" s="30"/>
    </row>
    <row r="3425" spans="1:3" x14ac:dyDescent="0.25">
      <c r="A3425" s="31"/>
      <c r="B3425" s="30"/>
      <c r="C3425" s="30"/>
    </row>
    <row r="3426" spans="1:3" x14ac:dyDescent="0.25">
      <c r="A3426" s="31"/>
      <c r="B3426" s="30"/>
      <c r="C3426" s="30"/>
    </row>
    <row r="3427" spans="1:3" x14ac:dyDescent="0.25">
      <c r="A3427" s="31"/>
      <c r="B3427" s="30"/>
      <c r="C3427" s="30"/>
    </row>
    <row r="3428" spans="1:3" x14ac:dyDescent="0.25">
      <c r="A3428" s="31"/>
      <c r="B3428" s="30"/>
      <c r="C3428" s="30"/>
    </row>
    <row r="3429" spans="1:3" x14ac:dyDescent="0.25">
      <c r="A3429" s="31"/>
      <c r="B3429" s="30"/>
      <c r="C3429" s="30"/>
    </row>
    <row r="3430" spans="1:3" x14ac:dyDescent="0.25">
      <c r="A3430" s="31"/>
      <c r="B3430" s="30"/>
      <c r="C3430" s="30"/>
    </row>
    <row r="3431" spans="1:3" x14ac:dyDescent="0.25">
      <c r="A3431" s="31"/>
      <c r="B3431" s="30"/>
      <c r="C3431" s="30"/>
    </row>
    <row r="3432" spans="1:3" x14ac:dyDescent="0.25">
      <c r="A3432" s="31"/>
      <c r="B3432" s="30"/>
      <c r="C3432" s="30"/>
    </row>
    <row r="3433" spans="1:3" x14ac:dyDescent="0.25">
      <c r="A3433" s="31"/>
      <c r="B3433" s="30"/>
      <c r="C3433" s="30"/>
    </row>
    <row r="3434" spans="1:3" x14ac:dyDescent="0.25">
      <c r="A3434" s="31"/>
      <c r="B3434" s="30"/>
      <c r="C3434" s="30"/>
    </row>
    <row r="3435" spans="1:3" x14ac:dyDescent="0.25">
      <c r="A3435" s="31"/>
      <c r="B3435" s="30"/>
      <c r="C3435" s="30"/>
    </row>
    <row r="3436" spans="1:3" x14ac:dyDescent="0.25">
      <c r="A3436" s="31"/>
      <c r="B3436" s="30"/>
      <c r="C3436" s="30"/>
    </row>
    <row r="3437" spans="1:3" x14ac:dyDescent="0.25">
      <c r="A3437" s="31"/>
      <c r="B3437" s="30"/>
      <c r="C3437" s="30"/>
    </row>
    <row r="3438" spans="1:3" x14ac:dyDescent="0.25">
      <c r="A3438" s="31"/>
      <c r="B3438" s="30"/>
      <c r="C3438" s="30"/>
    </row>
    <row r="3439" spans="1:3" x14ac:dyDescent="0.25">
      <c r="A3439" s="31"/>
      <c r="B3439" s="30"/>
      <c r="C3439" s="30"/>
    </row>
    <row r="3440" spans="1:3" x14ac:dyDescent="0.25">
      <c r="A3440" s="31"/>
      <c r="B3440" s="30"/>
      <c r="C3440" s="30"/>
    </row>
    <row r="3441" spans="1:3" x14ac:dyDescent="0.25">
      <c r="A3441" s="31"/>
      <c r="B3441" s="30"/>
      <c r="C3441" s="30"/>
    </row>
    <row r="3442" spans="1:3" x14ac:dyDescent="0.25">
      <c r="A3442" s="31"/>
      <c r="B3442" s="30"/>
      <c r="C3442" s="30"/>
    </row>
    <row r="3443" spans="1:3" x14ac:dyDescent="0.25">
      <c r="A3443" s="31"/>
      <c r="B3443" s="30"/>
      <c r="C3443" s="30"/>
    </row>
    <row r="3444" spans="1:3" x14ac:dyDescent="0.25">
      <c r="A3444" s="31"/>
      <c r="B3444" s="30"/>
      <c r="C3444" s="30"/>
    </row>
    <row r="3445" spans="1:3" x14ac:dyDescent="0.25">
      <c r="A3445" s="31"/>
      <c r="B3445" s="30"/>
      <c r="C3445" s="30"/>
    </row>
    <row r="3446" spans="1:3" x14ac:dyDescent="0.25">
      <c r="A3446" s="31"/>
      <c r="B3446" s="30"/>
      <c r="C3446" s="30"/>
    </row>
    <row r="3447" spans="1:3" x14ac:dyDescent="0.25">
      <c r="A3447" s="31"/>
      <c r="B3447" s="30"/>
      <c r="C3447" s="30"/>
    </row>
    <row r="3448" spans="1:3" x14ac:dyDescent="0.25">
      <c r="A3448" s="31"/>
      <c r="B3448" s="30"/>
      <c r="C3448" s="30"/>
    </row>
    <row r="3449" spans="1:3" x14ac:dyDescent="0.25">
      <c r="A3449" s="31"/>
      <c r="B3449" s="30"/>
      <c r="C3449" s="30"/>
    </row>
    <row r="3450" spans="1:3" x14ac:dyDescent="0.25">
      <c r="A3450" s="31"/>
      <c r="B3450" s="30"/>
      <c r="C3450" s="30"/>
    </row>
    <row r="3451" spans="1:3" x14ac:dyDescent="0.25">
      <c r="A3451" s="31"/>
      <c r="B3451" s="30"/>
      <c r="C3451" s="30"/>
    </row>
    <row r="3452" spans="1:3" x14ac:dyDescent="0.25">
      <c r="A3452" s="31"/>
      <c r="B3452" s="30"/>
      <c r="C3452" s="30"/>
    </row>
    <row r="3453" spans="1:3" x14ac:dyDescent="0.25">
      <c r="A3453" s="31"/>
      <c r="B3453" s="30"/>
      <c r="C3453" s="30"/>
    </row>
    <row r="3454" spans="1:3" x14ac:dyDescent="0.25">
      <c r="A3454" s="31"/>
      <c r="B3454" s="30"/>
      <c r="C3454" s="30"/>
    </row>
    <row r="3455" spans="1:3" x14ac:dyDescent="0.25">
      <c r="A3455" s="31"/>
      <c r="B3455" s="30"/>
      <c r="C3455" s="30"/>
    </row>
    <row r="3456" spans="1:3" x14ac:dyDescent="0.25">
      <c r="A3456" s="31"/>
      <c r="B3456" s="30"/>
      <c r="C3456" s="30"/>
    </row>
    <row r="3457" spans="1:3" x14ac:dyDescent="0.25">
      <c r="A3457" s="31"/>
      <c r="B3457" s="30"/>
      <c r="C3457" s="30"/>
    </row>
    <row r="3458" spans="1:3" x14ac:dyDescent="0.25">
      <c r="A3458" s="31"/>
      <c r="B3458" s="30"/>
      <c r="C3458" s="30"/>
    </row>
    <row r="3459" spans="1:3" x14ac:dyDescent="0.25">
      <c r="A3459" s="31"/>
      <c r="B3459" s="30"/>
      <c r="C3459" s="30"/>
    </row>
    <row r="3460" spans="1:3" x14ac:dyDescent="0.25">
      <c r="A3460" s="31"/>
      <c r="B3460" s="30"/>
      <c r="C3460" s="30"/>
    </row>
    <row r="3461" spans="1:3" x14ac:dyDescent="0.25">
      <c r="A3461" s="31"/>
      <c r="B3461" s="30"/>
      <c r="C3461" s="30"/>
    </row>
    <row r="3462" spans="1:3" x14ac:dyDescent="0.25">
      <c r="A3462" s="31"/>
      <c r="B3462" s="30"/>
      <c r="C3462" s="30"/>
    </row>
    <row r="3463" spans="1:3" x14ac:dyDescent="0.25">
      <c r="A3463" s="31"/>
      <c r="B3463" s="30"/>
      <c r="C3463" s="30"/>
    </row>
    <row r="3464" spans="1:3" x14ac:dyDescent="0.25">
      <c r="A3464" s="31"/>
      <c r="B3464" s="30"/>
      <c r="C3464" s="30"/>
    </row>
    <row r="3465" spans="1:3" x14ac:dyDescent="0.25">
      <c r="A3465" s="31"/>
      <c r="B3465" s="30"/>
      <c r="C3465" s="30"/>
    </row>
    <row r="3466" spans="1:3" x14ac:dyDescent="0.25">
      <c r="A3466" s="31"/>
      <c r="B3466" s="30"/>
      <c r="C3466" s="30"/>
    </row>
    <row r="3467" spans="1:3" x14ac:dyDescent="0.25">
      <c r="A3467" s="31"/>
      <c r="B3467" s="30"/>
      <c r="C3467" s="30"/>
    </row>
    <row r="3468" spans="1:3" x14ac:dyDescent="0.25">
      <c r="A3468" s="31"/>
      <c r="B3468" s="30"/>
      <c r="C3468" s="30"/>
    </row>
    <row r="3469" spans="1:3" x14ac:dyDescent="0.25">
      <c r="A3469" s="31"/>
      <c r="B3469" s="30"/>
      <c r="C3469" s="30"/>
    </row>
    <row r="3470" spans="1:3" x14ac:dyDescent="0.25">
      <c r="A3470" s="31"/>
      <c r="B3470" s="30"/>
      <c r="C3470" s="30"/>
    </row>
    <row r="3471" spans="1:3" x14ac:dyDescent="0.25">
      <c r="A3471" s="31"/>
      <c r="B3471" s="30"/>
      <c r="C3471" s="30"/>
    </row>
    <row r="3472" spans="1:3" x14ac:dyDescent="0.25">
      <c r="A3472" s="31"/>
      <c r="B3472" s="30"/>
      <c r="C3472" s="30"/>
    </row>
    <row r="3473" spans="1:3" x14ac:dyDescent="0.25">
      <c r="A3473" s="31"/>
      <c r="B3473" s="30"/>
      <c r="C3473" s="30"/>
    </row>
    <row r="3474" spans="1:3" x14ac:dyDescent="0.25">
      <c r="A3474" s="31"/>
      <c r="B3474" s="30"/>
      <c r="C3474" s="30"/>
    </row>
    <row r="3475" spans="1:3" x14ac:dyDescent="0.25">
      <c r="A3475" s="31"/>
      <c r="B3475" s="30"/>
      <c r="C3475" s="30"/>
    </row>
    <row r="3476" spans="1:3" x14ac:dyDescent="0.25">
      <c r="A3476" s="31"/>
      <c r="B3476" s="30"/>
      <c r="C3476" s="30"/>
    </row>
    <row r="3477" spans="1:3" x14ac:dyDescent="0.25">
      <c r="A3477" s="31"/>
      <c r="B3477" s="30"/>
      <c r="C3477" s="30"/>
    </row>
    <row r="3478" spans="1:3" x14ac:dyDescent="0.25">
      <c r="A3478" s="31"/>
      <c r="B3478" s="30"/>
      <c r="C3478" s="30"/>
    </row>
    <row r="3479" spans="1:3" x14ac:dyDescent="0.25">
      <c r="A3479" s="31"/>
      <c r="B3479" s="30"/>
      <c r="C3479" s="30"/>
    </row>
    <row r="3480" spans="1:3" x14ac:dyDescent="0.25">
      <c r="A3480" s="31"/>
      <c r="B3480" s="30"/>
      <c r="C3480" s="30"/>
    </row>
    <row r="3481" spans="1:3" x14ac:dyDescent="0.25">
      <c r="A3481" s="31"/>
      <c r="B3481" s="30"/>
      <c r="C3481" s="30"/>
    </row>
    <row r="3482" spans="1:3" x14ac:dyDescent="0.25">
      <c r="A3482" s="31"/>
      <c r="B3482" s="30"/>
      <c r="C3482" s="30"/>
    </row>
    <row r="3483" spans="1:3" x14ac:dyDescent="0.25">
      <c r="A3483" s="31"/>
      <c r="B3483" s="30"/>
      <c r="C3483" s="30"/>
    </row>
    <row r="3484" spans="1:3" x14ac:dyDescent="0.25">
      <c r="A3484" s="31"/>
      <c r="B3484" s="30"/>
      <c r="C3484" s="30"/>
    </row>
    <row r="3485" spans="1:3" x14ac:dyDescent="0.25">
      <c r="A3485" s="31"/>
      <c r="B3485" s="30"/>
      <c r="C3485" s="30"/>
    </row>
    <row r="3486" spans="1:3" x14ac:dyDescent="0.25">
      <c r="A3486" s="31"/>
      <c r="B3486" s="30"/>
      <c r="C3486" s="30"/>
    </row>
    <row r="3487" spans="1:3" x14ac:dyDescent="0.25">
      <c r="A3487" s="31"/>
      <c r="B3487" s="30"/>
      <c r="C3487" s="30"/>
    </row>
    <row r="3488" spans="1:3" x14ac:dyDescent="0.25">
      <c r="A3488" s="31"/>
      <c r="B3488" s="30"/>
      <c r="C3488" s="30"/>
    </row>
    <row r="3489" spans="1:3" x14ac:dyDescent="0.25">
      <c r="A3489" s="31"/>
      <c r="B3489" s="30"/>
      <c r="C3489" s="30"/>
    </row>
    <row r="3490" spans="1:3" x14ac:dyDescent="0.25">
      <c r="A3490" s="31"/>
      <c r="B3490" s="30"/>
      <c r="C3490" s="30"/>
    </row>
    <row r="3491" spans="1:3" x14ac:dyDescent="0.25">
      <c r="A3491" s="31"/>
      <c r="B3491" s="30"/>
      <c r="C3491" s="30"/>
    </row>
    <row r="3492" spans="1:3" x14ac:dyDescent="0.25">
      <c r="A3492" s="31"/>
      <c r="B3492" s="30"/>
      <c r="C3492" s="30"/>
    </row>
    <row r="3493" spans="1:3" x14ac:dyDescent="0.25">
      <c r="A3493" s="31"/>
      <c r="B3493" s="30"/>
      <c r="C3493" s="30"/>
    </row>
    <row r="3494" spans="1:3" x14ac:dyDescent="0.25">
      <c r="A3494" s="31"/>
      <c r="B3494" s="30"/>
      <c r="C3494" s="30"/>
    </row>
    <row r="3495" spans="1:3" x14ac:dyDescent="0.25">
      <c r="A3495" s="31"/>
      <c r="B3495" s="30"/>
      <c r="C3495" s="30"/>
    </row>
    <row r="3496" spans="1:3" x14ac:dyDescent="0.25">
      <c r="A3496" s="31"/>
      <c r="B3496" s="30"/>
      <c r="C3496" s="30"/>
    </row>
    <row r="3497" spans="1:3" x14ac:dyDescent="0.25">
      <c r="A3497" s="31"/>
      <c r="B3497" s="30"/>
      <c r="C3497" s="30"/>
    </row>
    <row r="3498" spans="1:3" x14ac:dyDescent="0.25">
      <c r="A3498" s="31"/>
      <c r="B3498" s="30"/>
      <c r="C3498" s="30"/>
    </row>
    <row r="3499" spans="1:3" x14ac:dyDescent="0.25">
      <c r="A3499" s="31"/>
      <c r="B3499" s="30"/>
      <c r="C3499" s="30"/>
    </row>
    <row r="3500" spans="1:3" x14ac:dyDescent="0.25">
      <c r="A3500" s="31"/>
      <c r="B3500" s="30"/>
      <c r="C3500" s="30"/>
    </row>
    <row r="3501" spans="1:3" x14ac:dyDescent="0.25">
      <c r="A3501" s="31"/>
      <c r="B3501" s="30"/>
      <c r="C3501" s="30"/>
    </row>
    <row r="3502" spans="1:3" x14ac:dyDescent="0.25">
      <c r="A3502" s="31"/>
      <c r="B3502" s="30"/>
      <c r="C3502" s="30"/>
    </row>
    <row r="3503" spans="1:3" x14ac:dyDescent="0.25">
      <c r="A3503" s="31"/>
      <c r="B3503" s="30"/>
      <c r="C3503" s="30"/>
    </row>
    <row r="3504" spans="1:3" x14ac:dyDescent="0.25">
      <c r="A3504" s="31"/>
      <c r="B3504" s="30"/>
      <c r="C3504" s="30"/>
    </row>
    <row r="3505" spans="1:3" x14ac:dyDescent="0.25">
      <c r="A3505" s="31"/>
      <c r="B3505" s="30"/>
      <c r="C3505" s="30"/>
    </row>
    <row r="3506" spans="1:3" x14ac:dyDescent="0.25">
      <c r="A3506" s="31"/>
      <c r="B3506" s="30"/>
      <c r="C3506" s="30"/>
    </row>
    <row r="3507" spans="1:3" x14ac:dyDescent="0.25">
      <c r="A3507" s="31"/>
      <c r="B3507" s="30"/>
      <c r="C3507" s="30"/>
    </row>
    <row r="3508" spans="1:3" x14ac:dyDescent="0.25">
      <c r="A3508" s="31"/>
      <c r="B3508" s="30"/>
      <c r="C3508" s="30"/>
    </row>
    <row r="3509" spans="1:3" x14ac:dyDescent="0.25">
      <c r="A3509" s="31"/>
      <c r="B3509" s="30"/>
      <c r="C3509" s="30"/>
    </row>
    <row r="3510" spans="1:3" x14ac:dyDescent="0.25">
      <c r="A3510" s="31"/>
      <c r="B3510" s="30"/>
      <c r="C3510" s="30"/>
    </row>
    <row r="3511" spans="1:3" x14ac:dyDescent="0.25">
      <c r="A3511" s="31"/>
      <c r="B3511" s="30"/>
      <c r="C3511" s="30"/>
    </row>
    <row r="3512" spans="1:3" x14ac:dyDescent="0.25">
      <c r="A3512" s="31"/>
      <c r="B3512" s="30"/>
      <c r="C3512" s="30"/>
    </row>
    <row r="3513" spans="1:3" x14ac:dyDescent="0.25">
      <c r="A3513" s="31"/>
      <c r="B3513" s="30"/>
      <c r="C3513" s="30"/>
    </row>
    <row r="3514" spans="1:3" x14ac:dyDescent="0.25">
      <c r="A3514" s="31"/>
      <c r="B3514" s="30"/>
      <c r="C3514" s="30"/>
    </row>
    <row r="3515" spans="1:3" x14ac:dyDescent="0.25">
      <c r="A3515" s="31"/>
      <c r="B3515" s="30"/>
      <c r="C3515" s="30"/>
    </row>
    <row r="3516" spans="1:3" x14ac:dyDescent="0.25">
      <c r="A3516" s="31"/>
      <c r="B3516" s="30"/>
      <c r="C3516" s="30"/>
    </row>
    <row r="3517" spans="1:3" x14ac:dyDescent="0.25">
      <c r="A3517" s="31"/>
      <c r="B3517" s="30"/>
      <c r="C3517" s="30"/>
    </row>
    <row r="3518" spans="1:3" x14ac:dyDescent="0.25">
      <c r="A3518" s="31"/>
      <c r="B3518" s="30"/>
      <c r="C3518" s="30"/>
    </row>
    <row r="3519" spans="1:3" x14ac:dyDescent="0.25">
      <c r="A3519" s="31"/>
      <c r="B3519" s="30"/>
      <c r="C3519" s="30"/>
    </row>
    <row r="3520" spans="1:3" x14ac:dyDescent="0.25">
      <c r="A3520" s="31"/>
      <c r="B3520" s="30"/>
      <c r="C3520" s="30"/>
    </row>
    <row r="3521" spans="1:3" x14ac:dyDescent="0.25">
      <c r="A3521" s="31"/>
      <c r="B3521" s="30"/>
      <c r="C3521" s="30"/>
    </row>
    <row r="3522" spans="1:3" x14ac:dyDescent="0.25">
      <c r="A3522" s="31"/>
      <c r="B3522" s="30"/>
      <c r="C3522" s="30"/>
    </row>
    <row r="3523" spans="1:3" x14ac:dyDescent="0.25">
      <c r="A3523" s="31"/>
      <c r="B3523" s="30"/>
      <c r="C3523" s="30"/>
    </row>
    <row r="3524" spans="1:3" x14ac:dyDescent="0.25">
      <c r="A3524" s="31"/>
      <c r="B3524" s="30"/>
      <c r="C3524" s="30"/>
    </row>
    <row r="3525" spans="1:3" x14ac:dyDescent="0.25">
      <c r="A3525" s="31"/>
      <c r="B3525" s="30"/>
      <c r="C3525" s="30"/>
    </row>
    <row r="3526" spans="1:3" x14ac:dyDescent="0.25">
      <c r="A3526" s="31"/>
      <c r="B3526" s="30"/>
      <c r="C3526" s="30"/>
    </row>
    <row r="3527" spans="1:3" x14ac:dyDescent="0.25">
      <c r="A3527" s="31"/>
      <c r="B3527" s="30"/>
      <c r="C3527" s="30"/>
    </row>
    <row r="3528" spans="1:3" x14ac:dyDescent="0.25">
      <c r="A3528" s="31"/>
      <c r="B3528" s="30"/>
      <c r="C3528" s="30"/>
    </row>
    <row r="3529" spans="1:3" x14ac:dyDescent="0.25">
      <c r="A3529" s="31"/>
      <c r="B3529" s="30"/>
      <c r="C3529" s="30"/>
    </row>
    <row r="3530" spans="1:3" x14ac:dyDescent="0.25">
      <c r="A3530" s="31"/>
      <c r="B3530" s="30"/>
      <c r="C3530" s="30"/>
    </row>
    <row r="3531" spans="1:3" x14ac:dyDescent="0.25">
      <c r="A3531" s="31"/>
      <c r="B3531" s="30"/>
      <c r="C3531" s="30"/>
    </row>
    <row r="3532" spans="1:3" x14ac:dyDescent="0.25">
      <c r="A3532" s="31"/>
      <c r="B3532" s="30"/>
      <c r="C3532" s="30"/>
    </row>
    <row r="3533" spans="1:3" x14ac:dyDescent="0.25">
      <c r="A3533" s="31"/>
      <c r="B3533" s="30"/>
      <c r="C3533" s="30"/>
    </row>
    <row r="3534" spans="1:3" x14ac:dyDescent="0.25">
      <c r="A3534" s="31"/>
      <c r="B3534" s="30"/>
      <c r="C3534" s="30"/>
    </row>
    <row r="3535" spans="1:3" x14ac:dyDescent="0.25">
      <c r="A3535" s="31"/>
      <c r="B3535" s="30"/>
      <c r="C3535" s="30"/>
    </row>
    <row r="3536" spans="1:3" x14ac:dyDescent="0.25">
      <c r="A3536" s="31"/>
      <c r="B3536" s="30"/>
      <c r="C3536" s="30"/>
    </row>
    <row r="3537" spans="1:3" x14ac:dyDescent="0.25">
      <c r="A3537" s="31"/>
      <c r="B3537" s="30"/>
      <c r="C3537" s="30"/>
    </row>
    <row r="3538" spans="1:3" x14ac:dyDescent="0.25">
      <c r="A3538" s="31"/>
      <c r="B3538" s="30"/>
      <c r="C3538" s="30"/>
    </row>
    <row r="3539" spans="1:3" x14ac:dyDescent="0.25">
      <c r="A3539" s="31"/>
      <c r="B3539" s="30"/>
      <c r="C3539" s="30"/>
    </row>
    <row r="3540" spans="1:3" x14ac:dyDescent="0.25">
      <c r="A3540" s="31"/>
      <c r="B3540" s="30"/>
      <c r="C3540" s="30"/>
    </row>
    <row r="3541" spans="1:3" x14ac:dyDescent="0.25">
      <c r="A3541" s="31"/>
      <c r="B3541" s="30"/>
      <c r="C3541" s="30"/>
    </row>
    <row r="3542" spans="1:3" x14ac:dyDescent="0.25">
      <c r="A3542" s="31"/>
      <c r="B3542" s="30"/>
      <c r="C3542" s="30"/>
    </row>
    <row r="3543" spans="1:3" x14ac:dyDescent="0.25">
      <c r="A3543" s="31"/>
      <c r="B3543" s="30"/>
      <c r="C3543" s="30"/>
    </row>
    <row r="3544" spans="1:3" x14ac:dyDescent="0.25">
      <c r="A3544" s="31"/>
      <c r="B3544" s="30"/>
      <c r="C3544" s="30"/>
    </row>
    <row r="3545" spans="1:3" x14ac:dyDescent="0.25">
      <c r="A3545" s="31"/>
      <c r="B3545" s="30"/>
      <c r="C3545" s="30"/>
    </row>
    <row r="3546" spans="1:3" x14ac:dyDescent="0.25">
      <c r="A3546" s="31"/>
      <c r="B3546" s="30"/>
      <c r="C3546" s="30"/>
    </row>
    <row r="3547" spans="1:3" x14ac:dyDescent="0.25">
      <c r="A3547" s="31"/>
      <c r="B3547" s="30"/>
      <c r="C3547" s="30"/>
    </row>
    <row r="3548" spans="1:3" x14ac:dyDescent="0.25">
      <c r="A3548" s="31"/>
      <c r="B3548" s="30"/>
      <c r="C3548" s="30"/>
    </row>
    <row r="3549" spans="1:3" x14ac:dyDescent="0.25">
      <c r="A3549" s="31"/>
      <c r="B3549" s="30"/>
      <c r="C3549" s="30"/>
    </row>
    <row r="3550" spans="1:3" x14ac:dyDescent="0.25">
      <c r="A3550" s="31"/>
      <c r="B3550" s="30"/>
      <c r="C3550" s="30"/>
    </row>
    <row r="3551" spans="1:3" x14ac:dyDescent="0.25">
      <c r="A3551" s="31"/>
      <c r="B3551" s="30"/>
      <c r="C3551" s="30"/>
    </row>
    <row r="3552" spans="1:3" x14ac:dyDescent="0.25">
      <c r="A3552" s="31"/>
      <c r="B3552" s="30"/>
      <c r="C3552" s="30"/>
    </row>
    <row r="3553" spans="1:3" x14ac:dyDescent="0.25">
      <c r="A3553" s="31"/>
      <c r="B3553" s="30"/>
      <c r="C3553" s="30"/>
    </row>
    <row r="3554" spans="1:3" x14ac:dyDescent="0.25">
      <c r="A3554" s="31"/>
      <c r="B3554" s="30"/>
      <c r="C3554" s="30"/>
    </row>
    <row r="3555" spans="1:3" x14ac:dyDescent="0.25">
      <c r="A3555" s="31"/>
      <c r="B3555" s="30"/>
      <c r="C3555" s="30"/>
    </row>
    <row r="3556" spans="1:3" x14ac:dyDescent="0.25">
      <c r="A3556" s="31"/>
      <c r="B3556" s="30"/>
      <c r="C3556" s="30"/>
    </row>
    <row r="3557" spans="1:3" x14ac:dyDescent="0.25">
      <c r="A3557" s="31"/>
      <c r="B3557" s="30"/>
      <c r="C3557" s="30"/>
    </row>
    <row r="3558" spans="1:3" x14ac:dyDescent="0.25">
      <c r="A3558" s="31"/>
      <c r="B3558" s="30"/>
      <c r="C3558" s="30"/>
    </row>
    <row r="3559" spans="1:3" x14ac:dyDescent="0.25">
      <c r="A3559" s="31"/>
      <c r="B3559" s="30"/>
      <c r="C3559" s="30"/>
    </row>
    <row r="3560" spans="1:3" x14ac:dyDescent="0.25">
      <c r="A3560" s="31"/>
      <c r="B3560" s="30"/>
      <c r="C3560" s="30"/>
    </row>
    <row r="3561" spans="1:3" x14ac:dyDescent="0.25">
      <c r="A3561" s="31"/>
      <c r="B3561" s="30"/>
      <c r="C3561" s="30"/>
    </row>
    <row r="3562" spans="1:3" x14ac:dyDescent="0.25">
      <c r="A3562" s="31"/>
      <c r="B3562" s="30"/>
      <c r="C3562" s="30"/>
    </row>
    <row r="3563" spans="1:3" x14ac:dyDescent="0.25">
      <c r="A3563" s="31"/>
      <c r="B3563" s="30"/>
      <c r="C3563" s="30"/>
    </row>
    <row r="3564" spans="1:3" x14ac:dyDescent="0.25">
      <c r="A3564" s="31"/>
      <c r="B3564" s="30"/>
      <c r="C3564" s="30"/>
    </row>
    <row r="3565" spans="1:3" x14ac:dyDescent="0.25">
      <c r="A3565" s="31"/>
      <c r="B3565" s="30"/>
      <c r="C3565" s="30"/>
    </row>
    <row r="3566" spans="1:3" x14ac:dyDescent="0.25">
      <c r="A3566" s="31"/>
      <c r="B3566" s="30"/>
      <c r="C3566" s="30"/>
    </row>
    <row r="3567" spans="1:3" x14ac:dyDescent="0.25">
      <c r="A3567" s="31"/>
      <c r="B3567" s="30"/>
      <c r="C3567" s="30"/>
    </row>
    <row r="3568" spans="1:3" x14ac:dyDescent="0.25">
      <c r="A3568" s="31"/>
      <c r="B3568" s="30"/>
      <c r="C3568" s="30"/>
    </row>
    <row r="3569" spans="1:3" x14ac:dyDescent="0.25">
      <c r="A3569" s="31"/>
      <c r="B3569" s="30"/>
      <c r="C3569" s="30"/>
    </row>
    <row r="3570" spans="1:3" x14ac:dyDescent="0.25">
      <c r="A3570" s="31"/>
      <c r="B3570" s="30"/>
      <c r="C3570" s="30"/>
    </row>
    <row r="3571" spans="1:3" x14ac:dyDescent="0.25">
      <c r="A3571" s="31"/>
      <c r="B3571" s="30"/>
      <c r="C3571" s="30"/>
    </row>
    <row r="3572" spans="1:3" x14ac:dyDescent="0.25">
      <c r="A3572" s="31"/>
      <c r="B3572" s="30"/>
      <c r="C3572" s="30"/>
    </row>
    <row r="3573" spans="1:3" x14ac:dyDescent="0.25">
      <c r="A3573" s="31"/>
      <c r="B3573" s="30"/>
      <c r="C3573" s="30"/>
    </row>
    <row r="3574" spans="1:3" x14ac:dyDescent="0.25">
      <c r="A3574" s="31"/>
      <c r="B3574" s="30"/>
      <c r="C3574" s="30"/>
    </row>
    <row r="3575" spans="1:3" x14ac:dyDescent="0.25">
      <c r="A3575" s="31"/>
      <c r="B3575" s="30"/>
      <c r="C3575" s="30"/>
    </row>
    <row r="3576" spans="1:3" x14ac:dyDescent="0.25">
      <c r="A3576" s="31"/>
      <c r="B3576" s="30"/>
      <c r="C3576" s="30"/>
    </row>
    <row r="3577" spans="1:3" x14ac:dyDescent="0.25">
      <c r="A3577" s="31"/>
      <c r="B3577" s="30"/>
      <c r="C3577" s="30"/>
    </row>
    <row r="3578" spans="1:3" x14ac:dyDescent="0.25">
      <c r="A3578" s="31"/>
      <c r="B3578" s="30"/>
      <c r="C3578" s="30"/>
    </row>
    <row r="3579" spans="1:3" x14ac:dyDescent="0.25">
      <c r="A3579" s="31"/>
      <c r="B3579" s="30"/>
      <c r="C3579" s="30"/>
    </row>
    <row r="3580" spans="1:3" x14ac:dyDescent="0.25">
      <c r="A3580" s="31"/>
      <c r="B3580" s="30"/>
      <c r="C3580" s="30"/>
    </row>
    <row r="3581" spans="1:3" x14ac:dyDescent="0.25">
      <c r="A3581" s="31"/>
      <c r="B3581" s="30"/>
      <c r="C3581" s="30"/>
    </row>
    <row r="3582" spans="1:3" x14ac:dyDescent="0.25">
      <c r="A3582" s="31"/>
      <c r="B3582" s="30"/>
      <c r="C3582" s="30"/>
    </row>
    <row r="3583" spans="1:3" x14ac:dyDescent="0.25">
      <c r="A3583" s="31"/>
      <c r="B3583" s="30"/>
      <c r="C3583" s="30"/>
    </row>
    <row r="3584" spans="1:3" x14ac:dyDescent="0.25">
      <c r="A3584" s="31"/>
      <c r="B3584" s="30"/>
      <c r="C3584" s="30"/>
    </row>
    <row r="3585" spans="1:3" x14ac:dyDescent="0.25">
      <c r="A3585" s="31"/>
      <c r="B3585" s="30"/>
      <c r="C3585" s="30"/>
    </row>
    <row r="3586" spans="1:3" x14ac:dyDescent="0.25">
      <c r="A3586" s="31"/>
      <c r="B3586" s="30"/>
      <c r="C3586" s="30"/>
    </row>
    <row r="3587" spans="1:3" x14ac:dyDescent="0.25">
      <c r="A3587" s="31"/>
      <c r="B3587" s="30"/>
      <c r="C3587" s="30"/>
    </row>
    <row r="3588" spans="1:3" x14ac:dyDescent="0.25">
      <c r="A3588" s="31"/>
      <c r="B3588" s="30"/>
      <c r="C3588" s="30"/>
    </row>
    <row r="3589" spans="1:3" x14ac:dyDescent="0.25">
      <c r="A3589" s="31"/>
      <c r="B3589" s="30"/>
      <c r="C3589" s="30"/>
    </row>
    <row r="3590" spans="1:3" x14ac:dyDescent="0.25">
      <c r="A3590" s="31"/>
      <c r="B3590" s="30"/>
      <c r="C3590" s="30"/>
    </row>
    <row r="3591" spans="1:3" x14ac:dyDescent="0.25">
      <c r="A3591" s="31"/>
      <c r="B3591" s="30"/>
      <c r="C3591" s="30"/>
    </row>
    <row r="3592" spans="1:3" x14ac:dyDescent="0.25">
      <c r="A3592" s="31"/>
      <c r="B3592" s="30"/>
      <c r="C3592" s="30"/>
    </row>
    <row r="3593" spans="1:3" x14ac:dyDescent="0.25">
      <c r="A3593" s="31"/>
      <c r="B3593" s="30"/>
      <c r="C3593" s="30"/>
    </row>
    <row r="3594" spans="1:3" x14ac:dyDescent="0.25">
      <c r="A3594" s="31"/>
      <c r="B3594" s="30"/>
      <c r="C3594" s="30"/>
    </row>
    <row r="3595" spans="1:3" x14ac:dyDescent="0.25">
      <c r="A3595" s="31"/>
      <c r="B3595" s="30"/>
      <c r="C3595" s="30"/>
    </row>
    <row r="3596" spans="1:3" x14ac:dyDescent="0.25">
      <c r="A3596" s="31"/>
      <c r="B3596" s="30"/>
      <c r="C3596" s="30"/>
    </row>
    <row r="3597" spans="1:3" x14ac:dyDescent="0.25">
      <c r="A3597" s="31"/>
      <c r="B3597" s="30"/>
      <c r="C3597" s="30"/>
    </row>
    <row r="3598" spans="1:3" x14ac:dyDescent="0.25">
      <c r="A3598" s="31"/>
      <c r="B3598" s="30"/>
      <c r="C3598" s="30"/>
    </row>
    <row r="3599" spans="1:3" x14ac:dyDescent="0.25">
      <c r="A3599" s="31"/>
      <c r="B3599" s="30"/>
      <c r="C3599" s="30"/>
    </row>
    <row r="3600" spans="1:3" x14ac:dyDescent="0.25">
      <c r="A3600" s="31"/>
      <c r="B3600" s="30"/>
      <c r="C3600" s="30"/>
    </row>
    <row r="3601" spans="1:3" x14ac:dyDescent="0.25">
      <c r="A3601" s="31"/>
      <c r="B3601" s="30"/>
      <c r="C3601" s="30"/>
    </row>
    <row r="3602" spans="1:3" x14ac:dyDescent="0.25">
      <c r="A3602" s="31"/>
      <c r="B3602" s="30"/>
      <c r="C3602" s="30"/>
    </row>
    <row r="3603" spans="1:3" x14ac:dyDescent="0.25">
      <c r="A3603" s="31"/>
      <c r="B3603" s="30"/>
      <c r="C3603" s="30"/>
    </row>
    <row r="3604" spans="1:3" x14ac:dyDescent="0.25">
      <c r="A3604" s="31"/>
      <c r="B3604" s="30"/>
      <c r="C3604" s="30"/>
    </row>
    <row r="3605" spans="1:3" x14ac:dyDescent="0.25">
      <c r="A3605" s="31"/>
      <c r="B3605" s="30"/>
      <c r="C3605" s="30"/>
    </row>
    <row r="3606" spans="1:3" x14ac:dyDescent="0.25">
      <c r="A3606" s="31"/>
      <c r="B3606" s="30"/>
      <c r="C3606" s="30"/>
    </row>
    <row r="3607" spans="1:3" x14ac:dyDescent="0.25">
      <c r="A3607" s="31"/>
      <c r="B3607" s="30"/>
      <c r="C3607" s="30"/>
    </row>
    <row r="3608" spans="1:3" x14ac:dyDescent="0.25">
      <c r="A3608" s="31"/>
      <c r="B3608" s="30"/>
      <c r="C3608" s="30"/>
    </row>
    <row r="3609" spans="1:3" x14ac:dyDescent="0.25">
      <c r="A3609" s="31"/>
      <c r="B3609" s="30"/>
      <c r="C3609" s="30"/>
    </row>
    <row r="3610" spans="1:3" x14ac:dyDescent="0.25">
      <c r="A3610" s="31"/>
      <c r="B3610" s="30"/>
      <c r="C3610" s="30"/>
    </row>
    <row r="3611" spans="1:3" x14ac:dyDescent="0.25">
      <c r="A3611" s="31"/>
      <c r="B3611" s="30"/>
      <c r="C3611" s="30"/>
    </row>
    <row r="3612" spans="1:3" x14ac:dyDescent="0.25">
      <c r="A3612" s="31"/>
      <c r="B3612" s="30"/>
      <c r="C3612" s="30"/>
    </row>
    <row r="3613" spans="1:3" x14ac:dyDescent="0.25">
      <c r="A3613" s="31"/>
      <c r="B3613" s="30"/>
      <c r="C3613" s="30"/>
    </row>
    <row r="3614" spans="1:3" x14ac:dyDescent="0.25">
      <c r="A3614" s="31"/>
      <c r="B3614" s="30"/>
      <c r="C3614" s="30"/>
    </row>
    <row r="3615" spans="1:3" x14ac:dyDescent="0.25">
      <c r="A3615" s="31"/>
      <c r="B3615" s="30"/>
      <c r="C3615" s="30"/>
    </row>
    <row r="3616" spans="1:3" x14ac:dyDescent="0.25">
      <c r="A3616" s="31"/>
      <c r="B3616" s="30"/>
      <c r="C3616" s="30"/>
    </row>
    <row r="3617" spans="1:3" x14ac:dyDescent="0.25">
      <c r="A3617" s="31"/>
      <c r="B3617" s="30"/>
      <c r="C3617" s="30"/>
    </row>
    <row r="3618" spans="1:3" x14ac:dyDescent="0.25">
      <c r="A3618" s="31"/>
      <c r="B3618" s="30"/>
      <c r="C3618" s="30"/>
    </row>
    <row r="3619" spans="1:3" x14ac:dyDescent="0.25">
      <c r="A3619" s="31"/>
      <c r="B3619" s="30"/>
      <c r="C3619" s="30"/>
    </row>
    <row r="3620" spans="1:3" x14ac:dyDescent="0.25">
      <c r="A3620" s="31"/>
      <c r="B3620" s="30"/>
      <c r="C3620" s="30"/>
    </row>
    <row r="3621" spans="1:3" x14ac:dyDescent="0.25">
      <c r="A3621" s="31"/>
      <c r="B3621" s="30"/>
      <c r="C3621" s="30"/>
    </row>
    <row r="3622" spans="1:3" x14ac:dyDescent="0.25">
      <c r="A3622" s="31"/>
      <c r="B3622" s="30"/>
      <c r="C3622" s="30"/>
    </row>
    <row r="3623" spans="1:3" x14ac:dyDescent="0.25">
      <c r="A3623" s="31"/>
      <c r="B3623" s="30"/>
      <c r="C3623" s="30"/>
    </row>
    <row r="3624" spans="1:3" x14ac:dyDescent="0.25">
      <c r="A3624" s="31"/>
      <c r="B3624" s="30"/>
      <c r="C3624" s="30"/>
    </row>
    <row r="3625" spans="1:3" x14ac:dyDescent="0.25">
      <c r="A3625" s="31"/>
      <c r="B3625" s="30"/>
      <c r="C3625" s="30"/>
    </row>
    <row r="3626" spans="1:3" x14ac:dyDescent="0.25">
      <c r="A3626" s="31"/>
      <c r="B3626" s="30"/>
      <c r="C3626" s="30"/>
    </row>
    <row r="3627" spans="1:3" x14ac:dyDescent="0.25">
      <c r="A3627" s="31"/>
      <c r="B3627" s="30"/>
      <c r="C3627" s="30"/>
    </row>
    <row r="3628" spans="1:3" x14ac:dyDescent="0.25">
      <c r="A3628" s="31"/>
      <c r="B3628" s="30"/>
      <c r="C3628" s="30"/>
    </row>
    <row r="3629" spans="1:3" x14ac:dyDescent="0.25">
      <c r="A3629" s="31"/>
      <c r="B3629" s="30"/>
      <c r="C3629" s="30"/>
    </row>
    <row r="3630" spans="1:3" x14ac:dyDescent="0.25">
      <c r="A3630" s="31"/>
      <c r="B3630" s="30"/>
      <c r="C3630" s="30"/>
    </row>
    <row r="3631" spans="1:3" x14ac:dyDescent="0.25">
      <c r="A3631" s="31"/>
      <c r="B3631" s="30"/>
      <c r="C3631" s="30"/>
    </row>
    <row r="3632" spans="1:3" x14ac:dyDescent="0.25">
      <c r="A3632" s="31"/>
      <c r="B3632" s="30"/>
      <c r="C3632" s="30"/>
    </row>
    <row r="3633" spans="1:3" x14ac:dyDescent="0.25">
      <c r="A3633" s="31"/>
      <c r="B3633" s="30"/>
      <c r="C3633" s="30"/>
    </row>
    <row r="3634" spans="1:3" x14ac:dyDescent="0.25">
      <c r="A3634" s="31"/>
      <c r="B3634" s="30"/>
      <c r="C3634" s="30"/>
    </row>
    <row r="3635" spans="1:3" x14ac:dyDescent="0.25">
      <c r="A3635" s="31"/>
      <c r="B3635" s="30"/>
      <c r="C3635" s="30"/>
    </row>
    <row r="3636" spans="1:3" x14ac:dyDescent="0.25">
      <c r="A3636" s="31"/>
      <c r="B3636" s="30"/>
      <c r="C3636" s="30"/>
    </row>
    <row r="3637" spans="1:3" x14ac:dyDescent="0.25">
      <c r="A3637" s="31"/>
      <c r="B3637" s="30"/>
      <c r="C3637" s="30"/>
    </row>
    <row r="3638" spans="1:3" x14ac:dyDescent="0.25">
      <c r="A3638" s="31"/>
      <c r="B3638" s="30"/>
      <c r="C3638" s="30"/>
    </row>
    <row r="3639" spans="1:3" x14ac:dyDescent="0.25">
      <c r="A3639" s="31"/>
      <c r="B3639" s="30"/>
      <c r="C3639" s="30"/>
    </row>
    <row r="3640" spans="1:3" x14ac:dyDescent="0.25">
      <c r="A3640" s="31"/>
      <c r="B3640" s="30"/>
      <c r="C3640" s="30"/>
    </row>
    <row r="3641" spans="1:3" x14ac:dyDescent="0.25">
      <c r="A3641" s="31"/>
      <c r="B3641" s="30"/>
      <c r="C3641" s="30"/>
    </row>
    <row r="3642" spans="1:3" x14ac:dyDescent="0.25">
      <c r="A3642" s="31"/>
      <c r="B3642" s="30"/>
      <c r="C3642" s="30"/>
    </row>
    <row r="3643" spans="1:3" x14ac:dyDescent="0.25">
      <c r="A3643" s="31"/>
      <c r="B3643" s="30"/>
      <c r="C3643" s="30"/>
    </row>
    <row r="3644" spans="1:3" x14ac:dyDescent="0.25">
      <c r="A3644" s="31"/>
      <c r="B3644" s="30"/>
      <c r="C3644" s="30"/>
    </row>
    <row r="3645" spans="1:3" x14ac:dyDescent="0.25">
      <c r="A3645" s="31"/>
      <c r="B3645" s="30"/>
      <c r="C3645" s="30"/>
    </row>
    <row r="3646" spans="1:3" x14ac:dyDescent="0.25">
      <c r="A3646" s="31"/>
      <c r="B3646" s="30"/>
      <c r="C3646" s="30"/>
    </row>
    <row r="3647" spans="1:3" x14ac:dyDescent="0.25">
      <c r="A3647" s="31"/>
      <c r="B3647" s="30"/>
      <c r="C3647" s="30"/>
    </row>
    <row r="3648" spans="1:3" x14ac:dyDescent="0.25">
      <c r="A3648" s="31"/>
      <c r="B3648" s="30"/>
      <c r="C3648" s="30"/>
    </row>
    <row r="3649" spans="1:3" x14ac:dyDescent="0.25">
      <c r="A3649" s="31"/>
      <c r="B3649" s="30"/>
      <c r="C3649" s="30"/>
    </row>
    <row r="3650" spans="1:3" x14ac:dyDescent="0.25">
      <c r="A3650" s="31"/>
      <c r="B3650" s="30"/>
      <c r="C3650" s="30"/>
    </row>
    <row r="3651" spans="1:3" x14ac:dyDescent="0.25">
      <c r="A3651" s="31"/>
      <c r="B3651" s="30"/>
      <c r="C3651" s="30"/>
    </row>
    <row r="3652" spans="1:3" x14ac:dyDescent="0.25">
      <c r="A3652" s="31"/>
      <c r="B3652" s="30"/>
      <c r="C3652" s="30"/>
    </row>
    <row r="3653" spans="1:3" x14ac:dyDescent="0.25">
      <c r="A3653" s="31"/>
      <c r="B3653" s="30"/>
      <c r="C3653" s="30"/>
    </row>
    <row r="3654" spans="1:3" x14ac:dyDescent="0.25">
      <c r="A3654" s="31"/>
      <c r="B3654" s="30"/>
      <c r="C3654" s="30"/>
    </row>
    <row r="3655" spans="1:3" x14ac:dyDescent="0.25">
      <c r="A3655" s="31"/>
      <c r="B3655" s="30"/>
      <c r="C3655" s="30"/>
    </row>
    <row r="3656" spans="1:3" x14ac:dyDescent="0.25">
      <c r="A3656" s="31"/>
      <c r="B3656" s="30"/>
      <c r="C3656" s="30"/>
    </row>
    <row r="3657" spans="1:3" x14ac:dyDescent="0.25">
      <c r="A3657" s="31"/>
      <c r="B3657" s="30"/>
      <c r="C3657" s="30"/>
    </row>
    <row r="3658" spans="1:3" x14ac:dyDescent="0.25">
      <c r="A3658" s="31"/>
      <c r="B3658" s="30"/>
      <c r="C3658" s="30"/>
    </row>
    <row r="3659" spans="1:3" x14ac:dyDescent="0.25">
      <c r="A3659" s="31"/>
      <c r="B3659" s="30"/>
      <c r="C3659" s="30"/>
    </row>
    <row r="3660" spans="1:3" x14ac:dyDescent="0.25">
      <c r="A3660" s="31"/>
      <c r="B3660" s="30"/>
      <c r="C3660" s="30"/>
    </row>
    <row r="3661" spans="1:3" x14ac:dyDescent="0.25">
      <c r="A3661" s="31"/>
      <c r="B3661" s="30"/>
      <c r="C3661" s="30"/>
    </row>
    <row r="3662" spans="1:3" x14ac:dyDescent="0.25">
      <c r="A3662" s="31"/>
      <c r="B3662" s="30"/>
      <c r="C3662" s="30"/>
    </row>
    <row r="3663" spans="1:3" x14ac:dyDescent="0.25">
      <c r="A3663" s="31"/>
      <c r="B3663" s="30"/>
      <c r="C3663" s="30"/>
    </row>
    <row r="3664" spans="1:3" x14ac:dyDescent="0.25">
      <c r="A3664" s="31"/>
      <c r="B3664" s="30"/>
      <c r="C3664" s="30"/>
    </row>
    <row r="3665" spans="1:3" x14ac:dyDescent="0.25">
      <c r="A3665" s="31"/>
      <c r="B3665" s="30"/>
      <c r="C3665" s="30"/>
    </row>
    <row r="3666" spans="1:3" x14ac:dyDescent="0.25">
      <c r="A3666" s="31"/>
      <c r="B3666" s="30"/>
      <c r="C3666" s="30"/>
    </row>
    <row r="3667" spans="1:3" x14ac:dyDescent="0.25">
      <c r="A3667" s="31"/>
      <c r="B3667" s="30"/>
      <c r="C3667" s="30"/>
    </row>
    <row r="3668" spans="1:3" x14ac:dyDescent="0.25">
      <c r="A3668" s="31"/>
      <c r="B3668" s="30"/>
      <c r="C3668" s="30"/>
    </row>
    <row r="3669" spans="1:3" x14ac:dyDescent="0.25">
      <c r="A3669" s="31"/>
      <c r="B3669" s="30"/>
      <c r="C3669" s="30"/>
    </row>
    <row r="3670" spans="1:3" x14ac:dyDescent="0.25">
      <c r="A3670" s="31"/>
      <c r="B3670" s="30"/>
      <c r="C3670" s="30"/>
    </row>
    <row r="3671" spans="1:3" x14ac:dyDescent="0.25">
      <c r="A3671" s="31"/>
      <c r="B3671" s="30"/>
      <c r="C3671" s="30"/>
    </row>
    <row r="3672" spans="1:3" x14ac:dyDescent="0.25">
      <c r="A3672" s="31"/>
      <c r="B3672" s="30"/>
      <c r="C3672" s="30"/>
    </row>
    <row r="3673" spans="1:3" x14ac:dyDescent="0.25">
      <c r="A3673" s="31"/>
      <c r="B3673" s="30"/>
      <c r="C3673" s="30"/>
    </row>
    <row r="3674" spans="1:3" x14ac:dyDescent="0.25">
      <c r="A3674" s="31"/>
      <c r="B3674" s="30"/>
      <c r="C3674" s="30"/>
    </row>
    <row r="3675" spans="1:3" x14ac:dyDescent="0.25">
      <c r="A3675" s="31"/>
      <c r="B3675" s="30"/>
      <c r="C3675" s="30"/>
    </row>
    <row r="3676" spans="1:3" x14ac:dyDescent="0.25">
      <c r="A3676" s="31"/>
      <c r="B3676" s="30"/>
      <c r="C3676" s="30"/>
    </row>
    <row r="3677" spans="1:3" x14ac:dyDescent="0.25">
      <c r="A3677" s="31"/>
      <c r="B3677" s="30"/>
      <c r="C3677" s="30"/>
    </row>
    <row r="3678" spans="1:3" x14ac:dyDescent="0.25">
      <c r="A3678" s="31"/>
      <c r="B3678" s="30"/>
      <c r="C3678" s="30"/>
    </row>
    <row r="3679" spans="1:3" x14ac:dyDescent="0.25">
      <c r="A3679" s="31"/>
      <c r="B3679" s="30"/>
      <c r="C3679" s="30"/>
    </row>
    <row r="3680" spans="1:3" x14ac:dyDescent="0.25">
      <c r="A3680" s="31"/>
      <c r="B3680" s="30"/>
      <c r="C3680" s="30"/>
    </row>
    <row r="3681" spans="1:3" x14ac:dyDescent="0.25">
      <c r="A3681" s="31"/>
      <c r="B3681" s="30"/>
      <c r="C3681" s="30"/>
    </row>
    <row r="3682" spans="1:3" x14ac:dyDescent="0.25">
      <c r="A3682" s="31"/>
      <c r="B3682" s="30"/>
      <c r="C3682" s="30"/>
    </row>
    <row r="3683" spans="1:3" x14ac:dyDescent="0.25">
      <c r="A3683" s="31"/>
      <c r="B3683" s="30"/>
      <c r="C3683" s="30"/>
    </row>
    <row r="3684" spans="1:3" x14ac:dyDescent="0.25">
      <c r="A3684" s="31"/>
      <c r="B3684" s="30"/>
      <c r="C3684" s="30"/>
    </row>
    <row r="3685" spans="1:3" x14ac:dyDescent="0.25">
      <c r="A3685" s="31"/>
      <c r="B3685" s="30"/>
      <c r="C3685" s="30"/>
    </row>
    <row r="3686" spans="1:3" x14ac:dyDescent="0.25">
      <c r="A3686" s="31"/>
      <c r="B3686" s="30"/>
      <c r="C3686" s="30"/>
    </row>
    <row r="3687" spans="1:3" x14ac:dyDescent="0.25">
      <c r="A3687" s="31"/>
      <c r="B3687" s="30"/>
      <c r="C3687" s="30"/>
    </row>
    <row r="3688" spans="1:3" x14ac:dyDescent="0.25">
      <c r="A3688" s="31"/>
      <c r="B3688" s="30"/>
      <c r="C3688" s="30"/>
    </row>
    <row r="3689" spans="1:3" x14ac:dyDescent="0.25">
      <c r="A3689" s="31"/>
      <c r="B3689" s="30"/>
      <c r="C3689" s="30"/>
    </row>
    <row r="3690" spans="1:3" x14ac:dyDescent="0.25">
      <c r="A3690" s="31"/>
      <c r="B3690" s="30"/>
      <c r="C3690" s="30"/>
    </row>
    <row r="3691" spans="1:3" x14ac:dyDescent="0.25">
      <c r="A3691" s="31"/>
      <c r="B3691" s="30"/>
      <c r="C3691" s="30"/>
    </row>
    <row r="3692" spans="1:3" x14ac:dyDescent="0.25">
      <c r="A3692" s="31"/>
      <c r="B3692" s="30"/>
      <c r="C3692" s="30"/>
    </row>
    <row r="3693" spans="1:3" x14ac:dyDescent="0.25">
      <c r="A3693" s="31"/>
      <c r="B3693" s="30"/>
      <c r="C3693" s="30"/>
    </row>
    <row r="3694" spans="1:3" x14ac:dyDescent="0.25">
      <c r="A3694" s="31"/>
      <c r="B3694" s="30"/>
      <c r="C3694" s="30"/>
    </row>
    <row r="3695" spans="1:3" x14ac:dyDescent="0.25">
      <c r="A3695" s="31"/>
      <c r="B3695" s="30"/>
      <c r="C3695" s="30"/>
    </row>
    <row r="3696" spans="1:3" x14ac:dyDescent="0.25">
      <c r="A3696" s="31"/>
      <c r="B3696" s="30"/>
      <c r="C3696" s="30"/>
    </row>
    <row r="3697" spans="1:3" x14ac:dyDescent="0.25">
      <c r="A3697" s="31"/>
      <c r="B3697" s="30"/>
      <c r="C3697" s="30"/>
    </row>
    <row r="3698" spans="1:3" x14ac:dyDescent="0.25">
      <c r="A3698" s="31"/>
      <c r="B3698" s="30"/>
      <c r="C3698" s="30"/>
    </row>
    <row r="3699" spans="1:3" x14ac:dyDescent="0.25">
      <c r="A3699" s="31"/>
      <c r="B3699" s="30"/>
      <c r="C3699" s="30"/>
    </row>
    <row r="3700" spans="1:3" x14ac:dyDescent="0.25">
      <c r="A3700" s="31"/>
      <c r="B3700" s="30"/>
      <c r="C3700" s="30"/>
    </row>
    <row r="3701" spans="1:3" x14ac:dyDescent="0.25">
      <c r="A3701" s="31"/>
      <c r="B3701" s="30"/>
      <c r="C3701" s="30"/>
    </row>
    <row r="3702" spans="1:3" x14ac:dyDescent="0.25">
      <c r="A3702" s="31"/>
      <c r="B3702" s="30"/>
      <c r="C3702" s="30"/>
    </row>
    <row r="3703" spans="1:3" x14ac:dyDescent="0.25">
      <c r="A3703" s="31"/>
      <c r="B3703" s="30"/>
      <c r="C3703" s="30"/>
    </row>
    <row r="3704" spans="1:3" x14ac:dyDescent="0.25">
      <c r="A3704" s="31"/>
      <c r="B3704" s="30"/>
      <c r="C3704" s="30"/>
    </row>
    <row r="3705" spans="1:3" x14ac:dyDescent="0.25">
      <c r="A3705" s="31"/>
      <c r="B3705" s="30"/>
      <c r="C3705" s="30"/>
    </row>
    <row r="3706" spans="1:3" x14ac:dyDescent="0.25">
      <c r="A3706" s="31"/>
      <c r="B3706" s="30"/>
      <c r="C3706" s="30"/>
    </row>
    <row r="3707" spans="1:3" x14ac:dyDescent="0.25">
      <c r="A3707" s="31"/>
      <c r="B3707" s="30"/>
      <c r="C3707" s="30"/>
    </row>
    <row r="3708" spans="1:3" x14ac:dyDescent="0.25">
      <c r="A3708" s="31"/>
      <c r="B3708" s="30"/>
      <c r="C3708" s="30"/>
    </row>
    <row r="3709" spans="1:3" x14ac:dyDescent="0.25">
      <c r="A3709" s="31"/>
      <c r="B3709" s="30"/>
      <c r="C3709" s="30"/>
    </row>
    <row r="3710" spans="1:3" x14ac:dyDescent="0.25">
      <c r="A3710" s="31"/>
      <c r="B3710" s="30"/>
      <c r="C3710" s="30"/>
    </row>
    <row r="3711" spans="1:3" x14ac:dyDescent="0.25">
      <c r="A3711" s="31"/>
      <c r="B3711" s="30"/>
      <c r="C3711" s="30"/>
    </row>
    <row r="3712" spans="1:3" x14ac:dyDescent="0.25">
      <c r="A3712" s="31"/>
      <c r="B3712" s="30"/>
      <c r="C3712" s="30"/>
    </row>
    <row r="3713" spans="1:3" x14ac:dyDescent="0.25">
      <c r="A3713" s="31"/>
      <c r="B3713" s="30"/>
      <c r="C3713" s="30"/>
    </row>
    <row r="3714" spans="1:3" x14ac:dyDescent="0.25">
      <c r="A3714" s="31"/>
      <c r="B3714" s="30"/>
      <c r="C3714" s="30"/>
    </row>
    <row r="3715" spans="1:3" x14ac:dyDescent="0.25">
      <c r="A3715" s="31"/>
      <c r="B3715" s="30"/>
      <c r="C3715" s="30"/>
    </row>
    <row r="3716" spans="1:3" x14ac:dyDescent="0.25">
      <c r="A3716" s="31"/>
      <c r="B3716" s="30"/>
      <c r="C3716" s="30"/>
    </row>
    <row r="3717" spans="1:3" x14ac:dyDescent="0.25">
      <c r="A3717" s="31"/>
      <c r="B3717" s="30"/>
      <c r="C3717" s="30"/>
    </row>
    <row r="3718" spans="1:3" x14ac:dyDescent="0.25">
      <c r="A3718" s="31"/>
      <c r="B3718" s="30"/>
      <c r="C3718" s="30"/>
    </row>
    <row r="3719" spans="1:3" x14ac:dyDescent="0.25">
      <c r="A3719" s="31"/>
      <c r="B3719" s="30"/>
      <c r="C3719" s="30"/>
    </row>
    <row r="3720" spans="1:3" x14ac:dyDescent="0.25">
      <c r="A3720" s="31"/>
      <c r="B3720" s="30"/>
      <c r="C3720" s="30"/>
    </row>
    <row r="3721" spans="1:3" x14ac:dyDescent="0.25">
      <c r="A3721" s="31"/>
      <c r="B3721" s="30"/>
      <c r="C3721" s="30"/>
    </row>
    <row r="3722" spans="1:3" x14ac:dyDescent="0.25">
      <c r="A3722" s="31"/>
      <c r="B3722" s="30"/>
      <c r="C3722" s="30"/>
    </row>
    <row r="3723" spans="1:3" x14ac:dyDescent="0.25">
      <c r="A3723" s="31"/>
      <c r="B3723" s="30"/>
      <c r="C3723" s="30"/>
    </row>
    <row r="3724" spans="1:3" x14ac:dyDescent="0.25">
      <c r="A3724" s="31"/>
      <c r="B3724" s="30"/>
      <c r="C3724" s="30"/>
    </row>
    <row r="3725" spans="1:3" x14ac:dyDescent="0.25">
      <c r="A3725" s="31"/>
      <c r="B3725" s="30"/>
      <c r="C3725" s="30"/>
    </row>
    <row r="3726" spans="1:3" x14ac:dyDescent="0.25">
      <c r="A3726" s="31"/>
      <c r="B3726" s="30"/>
      <c r="C3726" s="30"/>
    </row>
    <row r="3727" spans="1:3" x14ac:dyDescent="0.25">
      <c r="A3727" s="31"/>
      <c r="B3727" s="30"/>
      <c r="C3727" s="30"/>
    </row>
    <row r="3728" spans="1:3" x14ac:dyDescent="0.25">
      <c r="A3728" s="31"/>
      <c r="B3728" s="30"/>
      <c r="C3728" s="30"/>
    </row>
    <row r="3729" spans="1:3" x14ac:dyDescent="0.25">
      <c r="A3729" s="31"/>
      <c r="B3729" s="30"/>
      <c r="C3729" s="30"/>
    </row>
    <row r="3730" spans="1:3" x14ac:dyDescent="0.25">
      <c r="A3730" s="31"/>
      <c r="B3730" s="30"/>
      <c r="C3730" s="30"/>
    </row>
    <row r="3731" spans="1:3" x14ac:dyDescent="0.25">
      <c r="A3731" s="31"/>
      <c r="B3731" s="30"/>
      <c r="C3731" s="30"/>
    </row>
    <row r="3732" spans="1:3" x14ac:dyDescent="0.25">
      <c r="A3732" s="31"/>
      <c r="B3732" s="30"/>
      <c r="C3732" s="30"/>
    </row>
    <row r="3733" spans="1:3" x14ac:dyDescent="0.25">
      <c r="A3733" s="31"/>
      <c r="B3733" s="30"/>
      <c r="C3733" s="30"/>
    </row>
    <row r="3734" spans="1:3" x14ac:dyDescent="0.25">
      <c r="A3734" s="31"/>
      <c r="B3734" s="30"/>
      <c r="C3734" s="30"/>
    </row>
    <row r="3735" spans="1:3" x14ac:dyDescent="0.25">
      <c r="A3735" s="31"/>
      <c r="B3735" s="30"/>
      <c r="C3735" s="30"/>
    </row>
    <row r="3736" spans="1:3" x14ac:dyDescent="0.25">
      <c r="A3736" s="31"/>
      <c r="B3736" s="30"/>
      <c r="C3736" s="30"/>
    </row>
    <row r="3737" spans="1:3" x14ac:dyDescent="0.25">
      <c r="A3737" s="31"/>
      <c r="B3737" s="30"/>
      <c r="C3737" s="30"/>
    </row>
    <row r="3738" spans="1:3" x14ac:dyDescent="0.25">
      <c r="A3738" s="31"/>
      <c r="B3738" s="30"/>
      <c r="C3738" s="30"/>
    </row>
    <row r="3739" spans="1:3" x14ac:dyDescent="0.25">
      <c r="A3739" s="31"/>
      <c r="B3739" s="30"/>
      <c r="C3739" s="30"/>
    </row>
    <row r="3740" spans="1:3" x14ac:dyDescent="0.25">
      <c r="A3740" s="31"/>
      <c r="B3740" s="30"/>
      <c r="C3740" s="30"/>
    </row>
    <row r="3741" spans="1:3" x14ac:dyDescent="0.25">
      <c r="A3741" s="31"/>
      <c r="B3741" s="30"/>
      <c r="C3741" s="30"/>
    </row>
    <row r="3742" spans="1:3" x14ac:dyDescent="0.25">
      <c r="A3742" s="31"/>
      <c r="B3742" s="30"/>
      <c r="C3742" s="30"/>
    </row>
    <row r="3743" spans="1:3" x14ac:dyDescent="0.25">
      <c r="A3743" s="31"/>
      <c r="B3743" s="30"/>
      <c r="C3743" s="30"/>
    </row>
    <row r="3744" spans="1:3" x14ac:dyDescent="0.25">
      <c r="A3744" s="31"/>
      <c r="B3744" s="30"/>
      <c r="C3744" s="30"/>
    </row>
    <row r="3745" spans="1:3" x14ac:dyDescent="0.25">
      <c r="A3745" s="31"/>
      <c r="B3745" s="30"/>
      <c r="C3745" s="30"/>
    </row>
    <row r="3746" spans="1:3" x14ac:dyDescent="0.25">
      <c r="A3746" s="31"/>
      <c r="B3746" s="30"/>
      <c r="C3746" s="30"/>
    </row>
    <row r="3747" spans="1:3" x14ac:dyDescent="0.25">
      <c r="A3747" s="31"/>
      <c r="B3747" s="30"/>
      <c r="C3747" s="30"/>
    </row>
    <row r="3748" spans="1:3" x14ac:dyDescent="0.25">
      <c r="A3748" s="31"/>
      <c r="B3748" s="30"/>
      <c r="C3748" s="30"/>
    </row>
    <row r="3749" spans="1:3" x14ac:dyDescent="0.25">
      <c r="A3749" s="31"/>
      <c r="B3749" s="30"/>
      <c r="C3749" s="30"/>
    </row>
    <row r="3750" spans="1:3" x14ac:dyDescent="0.25">
      <c r="A3750" s="31"/>
      <c r="B3750" s="30"/>
      <c r="C3750" s="30"/>
    </row>
    <row r="3751" spans="1:3" x14ac:dyDescent="0.25">
      <c r="A3751" s="31"/>
      <c r="B3751" s="30"/>
      <c r="C3751" s="30"/>
    </row>
    <row r="3752" spans="1:3" x14ac:dyDescent="0.25">
      <c r="A3752" s="31"/>
      <c r="B3752" s="30"/>
      <c r="C3752" s="30"/>
    </row>
    <row r="3753" spans="1:3" x14ac:dyDescent="0.25">
      <c r="A3753" s="31"/>
      <c r="B3753" s="30"/>
      <c r="C3753" s="30"/>
    </row>
    <row r="3754" spans="1:3" x14ac:dyDescent="0.25">
      <c r="A3754" s="31"/>
      <c r="B3754" s="30"/>
      <c r="C3754" s="30"/>
    </row>
    <row r="3755" spans="1:3" x14ac:dyDescent="0.25">
      <c r="A3755" s="31"/>
      <c r="B3755" s="30"/>
      <c r="C3755" s="30"/>
    </row>
    <row r="3756" spans="1:3" x14ac:dyDescent="0.25">
      <c r="A3756" s="31"/>
      <c r="B3756" s="30"/>
      <c r="C3756" s="30"/>
    </row>
    <row r="3757" spans="1:3" x14ac:dyDescent="0.25">
      <c r="A3757" s="31"/>
      <c r="B3757" s="30"/>
      <c r="C3757" s="30"/>
    </row>
    <row r="3758" spans="1:3" x14ac:dyDescent="0.25">
      <c r="A3758" s="31"/>
      <c r="B3758" s="30"/>
      <c r="C3758" s="30"/>
    </row>
    <row r="3759" spans="1:3" x14ac:dyDescent="0.25">
      <c r="A3759" s="31"/>
      <c r="B3759" s="30"/>
      <c r="C3759" s="30"/>
    </row>
    <row r="3760" spans="1:3" x14ac:dyDescent="0.25">
      <c r="A3760" s="31"/>
      <c r="B3760" s="30"/>
      <c r="C3760" s="30"/>
    </row>
    <row r="3761" spans="1:3" x14ac:dyDescent="0.25">
      <c r="A3761" s="31"/>
      <c r="B3761" s="30"/>
      <c r="C3761" s="30"/>
    </row>
    <row r="3762" spans="1:3" x14ac:dyDescent="0.25">
      <c r="A3762" s="31"/>
      <c r="B3762" s="30"/>
      <c r="C3762" s="30"/>
    </row>
    <row r="3763" spans="1:3" x14ac:dyDescent="0.25">
      <c r="A3763" s="31"/>
      <c r="B3763" s="30"/>
      <c r="C3763" s="30"/>
    </row>
    <row r="3764" spans="1:3" x14ac:dyDescent="0.25">
      <c r="A3764" s="31"/>
      <c r="B3764" s="30"/>
      <c r="C3764" s="30"/>
    </row>
    <row r="3765" spans="1:3" x14ac:dyDescent="0.25">
      <c r="A3765" s="31"/>
      <c r="B3765" s="30"/>
      <c r="C3765" s="30"/>
    </row>
    <row r="3766" spans="1:3" x14ac:dyDescent="0.25">
      <c r="A3766" s="31"/>
      <c r="B3766" s="30"/>
      <c r="C3766" s="30"/>
    </row>
    <row r="3767" spans="1:3" x14ac:dyDescent="0.25">
      <c r="A3767" s="31"/>
      <c r="B3767" s="30"/>
      <c r="C3767" s="30"/>
    </row>
    <row r="3768" spans="1:3" x14ac:dyDescent="0.25">
      <c r="A3768" s="31"/>
      <c r="B3768" s="30"/>
      <c r="C3768" s="30"/>
    </row>
    <row r="3769" spans="1:3" x14ac:dyDescent="0.25">
      <c r="A3769" s="31"/>
      <c r="B3769" s="30"/>
      <c r="C3769" s="30"/>
    </row>
    <row r="3770" spans="1:3" x14ac:dyDescent="0.25">
      <c r="A3770" s="31"/>
      <c r="B3770" s="30"/>
      <c r="C3770" s="30"/>
    </row>
    <row r="3771" spans="1:3" x14ac:dyDescent="0.25">
      <c r="A3771" s="31"/>
      <c r="B3771" s="30"/>
      <c r="C3771" s="30"/>
    </row>
    <row r="3772" spans="1:3" x14ac:dyDescent="0.25">
      <c r="A3772" s="31"/>
      <c r="B3772" s="30"/>
      <c r="C3772" s="30"/>
    </row>
    <row r="3773" spans="1:3" x14ac:dyDescent="0.25">
      <c r="A3773" s="31"/>
      <c r="B3773" s="30"/>
      <c r="C3773" s="30"/>
    </row>
    <row r="3774" spans="1:3" x14ac:dyDescent="0.25">
      <c r="A3774" s="31"/>
      <c r="B3774" s="30"/>
      <c r="C3774" s="30"/>
    </row>
    <row r="3775" spans="1:3" x14ac:dyDescent="0.25">
      <c r="A3775" s="31"/>
      <c r="B3775" s="30"/>
      <c r="C3775" s="30"/>
    </row>
    <row r="3776" spans="1:3" x14ac:dyDescent="0.25">
      <c r="A3776" s="31"/>
      <c r="B3776" s="30"/>
      <c r="C3776" s="30"/>
    </row>
    <row r="3777" spans="1:3" x14ac:dyDescent="0.25">
      <c r="A3777" s="31"/>
      <c r="B3777" s="30"/>
      <c r="C3777" s="30"/>
    </row>
    <row r="3778" spans="1:3" x14ac:dyDescent="0.25">
      <c r="A3778" s="31"/>
      <c r="B3778" s="30"/>
      <c r="C3778" s="30"/>
    </row>
    <row r="3779" spans="1:3" x14ac:dyDescent="0.25">
      <c r="A3779" s="31"/>
      <c r="B3779" s="30"/>
      <c r="C3779" s="30"/>
    </row>
    <row r="3780" spans="1:3" x14ac:dyDescent="0.25">
      <c r="A3780" s="31"/>
      <c r="B3780" s="30"/>
      <c r="C3780" s="30"/>
    </row>
    <row r="3781" spans="1:3" x14ac:dyDescent="0.25">
      <c r="A3781" s="31"/>
      <c r="B3781" s="30"/>
      <c r="C3781" s="30"/>
    </row>
    <row r="3782" spans="1:3" x14ac:dyDescent="0.25">
      <c r="A3782" s="31"/>
      <c r="B3782" s="30"/>
      <c r="C3782" s="30"/>
    </row>
    <row r="3783" spans="1:3" x14ac:dyDescent="0.25">
      <c r="A3783" s="31"/>
      <c r="B3783" s="30"/>
      <c r="C3783" s="30"/>
    </row>
    <row r="3784" spans="1:3" x14ac:dyDescent="0.25">
      <c r="A3784" s="31"/>
      <c r="B3784" s="30"/>
      <c r="C3784" s="30"/>
    </row>
    <row r="3785" spans="1:3" x14ac:dyDescent="0.25">
      <c r="A3785" s="31"/>
      <c r="B3785" s="30"/>
      <c r="C3785" s="30"/>
    </row>
    <row r="3786" spans="1:3" x14ac:dyDescent="0.25">
      <c r="A3786" s="31"/>
      <c r="B3786" s="30"/>
      <c r="C3786" s="30"/>
    </row>
    <row r="3787" spans="1:3" x14ac:dyDescent="0.25">
      <c r="A3787" s="31"/>
      <c r="B3787" s="30"/>
      <c r="C3787" s="30"/>
    </row>
    <row r="3788" spans="1:3" x14ac:dyDescent="0.25">
      <c r="A3788" s="31"/>
      <c r="B3788" s="30"/>
      <c r="C3788" s="30"/>
    </row>
    <row r="3789" spans="1:3" x14ac:dyDescent="0.25">
      <c r="A3789" s="31"/>
      <c r="B3789" s="30"/>
      <c r="C3789" s="30"/>
    </row>
    <row r="3790" spans="1:3" x14ac:dyDescent="0.25">
      <c r="A3790" s="31"/>
      <c r="B3790" s="30"/>
      <c r="C3790" s="30"/>
    </row>
    <row r="3791" spans="1:3" x14ac:dyDescent="0.25">
      <c r="A3791" s="31"/>
      <c r="B3791" s="30"/>
      <c r="C3791" s="30"/>
    </row>
    <row r="3792" spans="1:3" x14ac:dyDescent="0.25">
      <c r="A3792" s="31"/>
      <c r="B3792" s="30"/>
      <c r="C3792" s="30"/>
    </row>
    <row r="3793" spans="1:3" x14ac:dyDescent="0.25">
      <c r="A3793" s="31"/>
      <c r="B3793" s="30"/>
      <c r="C3793" s="30"/>
    </row>
    <row r="3794" spans="1:3" x14ac:dyDescent="0.25">
      <c r="A3794" s="31"/>
      <c r="B3794" s="30"/>
      <c r="C3794" s="30"/>
    </row>
    <row r="3795" spans="1:3" x14ac:dyDescent="0.25">
      <c r="A3795" s="31"/>
      <c r="B3795" s="30"/>
      <c r="C3795" s="30"/>
    </row>
    <row r="3796" spans="1:3" x14ac:dyDescent="0.25">
      <c r="A3796" s="31"/>
      <c r="B3796" s="30"/>
      <c r="C3796" s="30"/>
    </row>
    <row r="3797" spans="1:3" x14ac:dyDescent="0.25">
      <c r="A3797" s="31"/>
      <c r="B3797" s="30"/>
      <c r="C3797" s="30"/>
    </row>
    <row r="3798" spans="1:3" x14ac:dyDescent="0.25">
      <c r="A3798" s="31"/>
      <c r="B3798" s="30"/>
      <c r="C3798" s="30"/>
    </row>
    <row r="3799" spans="1:3" x14ac:dyDescent="0.25">
      <c r="A3799" s="31"/>
      <c r="B3799" s="30"/>
      <c r="C3799" s="30"/>
    </row>
    <row r="3800" spans="1:3" x14ac:dyDescent="0.25">
      <c r="A3800" s="31"/>
      <c r="B3800" s="30"/>
      <c r="C3800" s="30"/>
    </row>
    <row r="3801" spans="1:3" x14ac:dyDescent="0.25">
      <c r="A3801" s="31"/>
      <c r="B3801" s="30"/>
      <c r="C3801" s="30"/>
    </row>
    <row r="3802" spans="1:3" x14ac:dyDescent="0.25">
      <c r="A3802" s="31"/>
      <c r="B3802" s="30"/>
      <c r="C3802" s="30"/>
    </row>
    <row r="3803" spans="1:3" x14ac:dyDescent="0.25">
      <c r="A3803" s="31"/>
      <c r="B3803" s="30"/>
      <c r="C3803" s="30"/>
    </row>
    <row r="3804" spans="1:3" x14ac:dyDescent="0.25">
      <c r="A3804" s="31"/>
      <c r="B3804" s="30"/>
      <c r="C3804" s="30"/>
    </row>
    <row r="3805" spans="1:3" x14ac:dyDescent="0.25">
      <c r="A3805" s="31"/>
      <c r="B3805" s="30"/>
      <c r="C3805" s="30"/>
    </row>
    <row r="3806" spans="1:3" x14ac:dyDescent="0.25">
      <c r="A3806" s="31"/>
      <c r="B3806" s="30"/>
      <c r="C3806" s="30"/>
    </row>
    <row r="3807" spans="1:3" x14ac:dyDescent="0.25">
      <c r="A3807" s="31"/>
      <c r="B3807" s="30"/>
      <c r="C3807" s="30"/>
    </row>
    <row r="3808" spans="1:3" x14ac:dyDescent="0.25">
      <c r="A3808" s="31"/>
      <c r="B3808" s="30"/>
      <c r="C3808" s="30"/>
    </row>
    <row r="3809" spans="1:3" x14ac:dyDescent="0.25">
      <c r="A3809" s="31"/>
      <c r="B3809" s="30"/>
      <c r="C3809" s="30"/>
    </row>
    <row r="3810" spans="1:3" x14ac:dyDescent="0.25">
      <c r="A3810" s="31"/>
      <c r="B3810" s="30"/>
      <c r="C3810" s="30"/>
    </row>
    <row r="3811" spans="1:3" x14ac:dyDescent="0.25">
      <c r="A3811" s="31"/>
      <c r="B3811" s="30"/>
      <c r="C3811" s="30"/>
    </row>
    <row r="3812" spans="1:3" x14ac:dyDescent="0.25">
      <c r="A3812" s="31"/>
      <c r="B3812" s="30"/>
      <c r="C3812" s="30"/>
    </row>
    <row r="3813" spans="1:3" x14ac:dyDescent="0.25">
      <c r="A3813" s="31"/>
      <c r="B3813" s="30"/>
      <c r="C3813" s="30"/>
    </row>
    <row r="3814" spans="1:3" x14ac:dyDescent="0.25">
      <c r="A3814" s="31"/>
      <c r="B3814" s="30"/>
      <c r="C3814" s="30"/>
    </row>
    <row r="3815" spans="1:3" x14ac:dyDescent="0.25">
      <c r="A3815" s="31"/>
      <c r="B3815" s="30"/>
      <c r="C3815" s="30"/>
    </row>
    <row r="3816" spans="1:3" x14ac:dyDescent="0.25">
      <c r="A3816" s="31"/>
      <c r="B3816" s="30"/>
      <c r="C3816" s="30"/>
    </row>
    <row r="3817" spans="1:3" x14ac:dyDescent="0.25">
      <c r="A3817" s="31"/>
      <c r="B3817" s="30"/>
      <c r="C3817" s="30"/>
    </row>
    <row r="3818" spans="1:3" x14ac:dyDescent="0.25">
      <c r="A3818" s="31"/>
      <c r="B3818" s="30"/>
      <c r="C3818" s="30"/>
    </row>
    <row r="3819" spans="1:3" x14ac:dyDescent="0.25">
      <c r="A3819" s="31"/>
      <c r="B3819" s="30"/>
      <c r="C3819" s="30"/>
    </row>
    <row r="3820" spans="1:3" x14ac:dyDescent="0.25">
      <c r="A3820" s="31"/>
      <c r="B3820" s="30"/>
      <c r="C3820" s="30"/>
    </row>
    <row r="3821" spans="1:3" x14ac:dyDescent="0.25">
      <c r="A3821" s="31"/>
      <c r="B3821" s="30"/>
      <c r="C3821" s="30"/>
    </row>
    <row r="3822" spans="1:3" x14ac:dyDescent="0.25">
      <c r="A3822" s="31"/>
      <c r="B3822" s="30"/>
      <c r="C3822" s="30"/>
    </row>
    <row r="3823" spans="1:3" x14ac:dyDescent="0.25">
      <c r="A3823" s="31"/>
      <c r="B3823" s="30"/>
      <c r="C3823" s="30"/>
    </row>
    <row r="3824" spans="1:3" x14ac:dyDescent="0.25">
      <c r="A3824" s="31"/>
      <c r="B3824" s="30"/>
      <c r="C3824" s="30"/>
    </row>
    <row r="3825" spans="1:3" x14ac:dyDescent="0.25">
      <c r="A3825" s="31"/>
      <c r="B3825" s="30"/>
      <c r="C3825" s="30"/>
    </row>
    <row r="3826" spans="1:3" x14ac:dyDescent="0.25">
      <c r="A3826" s="31"/>
      <c r="B3826" s="30"/>
      <c r="C3826" s="30"/>
    </row>
    <row r="3827" spans="1:3" x14ac:dyDescent="0.25">
      <c r="A3827" s="31"/>
      <c r="B3827" s="30"/>
      <c r="C3827" s="30"/>
    </row>
    <row r="3828" spans="1:3" x14ac:dyDescent="0.25">
      <c r="A3828" s="31"/>
      <c r="B3828" s="30"/>
      <c r="C3828" s="30"/>
    </row>
    <row r="3829" spans="1:3" x14ac:dyDescent="0.25">
      <c r="A3829" s="31"/>
      <c r="B3829" s="30"/>
      <c r="C3829" s="30"/>
    </row>
    <row r="3830" spans="1:3" x14ac:dyDescent="0.25">
      <c r="A3830" s="31"/>
      <c r="B3830" s="30"/>
      <c r="C3830" s="30"/>
    </row>
    <row r="3831" spans="1:3" x14ac:dyDescent="0.25">
      <c r="A3831" s="31"/>
      <c r="B3831" s="30"/>
      <c r="C3831" s="30"/>
    </row>
    <row r="3832" spans="1:3" x14ac:dyDescent="0.25">
      <c r="A3832" s="31"/>
      <c r="B3832" s="30"/>
      <c r="C3832" s="30"/>
    </row>
    <row r="3833" spans="1:3" x14ac:dyDescent="0.25">
      <c r="A3833" s="31"/>
      <c r="B3833" s="30"/>
      <c r="C3833" s="30"/>
    </row>
    <row r="3834" spans="1:3" x14ac:dyDescent="0.25">
      <c r="A3834" s="31"/>
      <c r="B3834" s="30"/>
      <c r="C3834" s="30"/>
    </row>
    <row r="3835" spans="1:3" x14ac:dyDescent="0.25">
      <c r="A3835" s="31"/>
      <c r="B3835" s="30"/>
      <c r="C3835" s="30"/>
    </row>
    <row r="3836" spans="1:3" x14ac:dyDescent="0.25">
      <c r="A3836" s="31"/>
      <c r="B3836" s="30"/>
      <c r="C3836" s="30"/>
    </row>
    <row r="3837" spans="1:3" x14ac:dyDescent="0.25">
      <c r="A3837" s="31"/>
      <c r="B3837" s="30"/>
      <c r="C3837" s="30"/>
    </row>
    <row r="3838" spans="1:3" x14ac:dyDescent="0.25">
      <c r="A3838" s="31"/>
      <c r="B3838" s="30"/>
      <c r="C3838" s="30"/>
    </row>
    <row r="3839" spans="1:3" x14ac:dyDescent="0.25">
      <c r="A3839" s="31"/>
      <c r="B3839" s="30"/>
      <c r="C3839" s="30"/>
    </row>
    <row r="3840" spans="1:3" x14ac:dyDescent="0.25">
      <c r="A3840" s="31"/>
      <c r="B3840" s="30"/>
      <c r="C3840" s="30"/>
    </row>
    <row r="3841" spans="1:3" x14ac:dyDescent="0.25">
      <c r="A3841" s="31"/>
      <c r="B3841" s="30"/>
      <c r="C3841" s="30"/>
    </row>
    <row r="3842" spans="1:3" x14ac:dyDescent="0.25">
      <c r="A3842" s="31"/>
      <c r="B3842" s="30"/>
      <c r="C3842" s="30"/>
    </row>
    <row r="3843" spans="1:3" x14ac:dyDescent="0.25">
      <c r="A3843" s="31"/>
      <c r="B3843" s="30"/>
      <c r="C3843" s="30"/>
    </row>
    <row r="3844" spans="1:3" x14ac:dyDescent="0.25">
      <c r="A3844" s="31"/>
      <c r="B3844" s="30"/>
      <c r="C3844" s="30"/>
    </row>
    <row r="3845" spans="1:3" x14ac:dyDescent="0.25">
      <c r="A3845" s="31"/>
      <c r="B3845" s="30"/>
      <c r="C3845" s="30"/>
    </row>
    <row r="3846" spans="1:3" x14ac:dyDescent="0.25">
      <c r="A3846" s="31"/>
      <c r="B3846" s="30"/>
      <c r="C3846" s="30"/>
    </row>
    <row r="3847" spans="1:3" x14ac:dyDescent="0.25">
      <c r="A3847" s="31"/>
      <c r="B3847" s="30"/>
      <c r="C3847" s="30"/>
    </row>
    <row r="3848" spans="1:3" x14ac:dyDescent="0.25">
      <c r="A3848" s="31"/>
      <c r="B3848" s="30"/>
      <c r="C3848" s="30"/>
    </row>
    <row r="3849" spans="1:3" x14ac:dyDescent="0.25">
      <c r="A3849" s="31"/>
      <c r="B3849" s="30"/>
      <c r="C3849" s="30"/>
    </row>
    <row r="3850" spans="1:3" x14ac:dyDescent="0.25">
      <c r="A3850" s="31"/>
      <c r="B3850" s="30"/>
      <c r="C3850" s="30"/>
    </row>
    <row r="3851" spans="1:3" x14ac:dyDescent="0.25">
      <c r="A3851" s="31"/>
      <c r="B3851" s="30"/>
      <c r="C3851" s="30"/>
    </row>
    <row r="3852" spans="1:3" x14ac:dyDescent="0.25">
      <c r="A3852" s="31"/>
      <c r="B3852" s="30"/>
      <c r="C3852" s="30"/>
    </row>
    <row r="3853" spans="1:3" x14ac:dyDescent="0.25">
      <c r="A3853" s="31"/>
      <c r="B3853" s="30"/>
      <c r="C3853" s="30"/>
    </row>
    <row r="3854" spans="1:3" x14ac:dyDescent="0.25">
      <c r="A3854" s="31"/>
      <c r="B3854" s="30"/>
      <c r="C3854" s="30"/>
    </row>
    <row r="3855" spans="1:3" x14ac:dyDescent="0.25">
      <c r="A3855" s="31"/>
      <c r="B3855" s="30"/>
      <c r="C3855" s="30"/>
    </row>
    <row r="3856" spans="1:3" x14ac:dyDescent="0.25">
      <c r="A3856" s="31"/>
      <c r="B3856" s="30"/>
      <c r="C3856" s="30"/>
    </row>
    <row r="3857" spans="1:3" x14ac:dyDescent="0.25">
      <c r="A3857" s="31"/>
      <c r="B3857" s="30"/>
      <c r="C3857" s="30"/>
    </row>
    <row r="3858" spans="1:3" x14ac:dyDescent="0.25">
      <c r="A3858" s="31"/>
      <c r="B3858" s="30"/>
      <c r="C3858" s="30"/>
    </row>
    <row r="3859" spans="1:3" x14ac:dyDescent="0.25">
      <c r="A3859" s="31"/>
      <c r="B3859" s="30"/>
      <c r="C3859" s="30"/>
    </row>
    <row r="3860" spans="1:3" x14ac:dyDescent="0.25">
      <c r="A3860" s="31"/>
      <c r="B3860" s="30"/>
      <c r="C3860" s="30"/>
    </row>
    <row r="3861" spans="1:3" x14ac:dyDescent="0.25">
      <c r="A3861" s="31"/>
      <c r="B3861" s="30"/>
      <c r="C3861" s="30"/>
    </row>
    <row r="3862" spans="1:3" x14ac:dyDescent="0.25">
      <c r="A3862" s="31"/>
      <c r="B3862" s="30"/>
      <c r="C3862" s="30"/>
    </row>
    <row r="3863" spans="1:3" x14ac:dyDescent="0.25">
      <c r="A3863" s="31"/>
      <c r="B3863" s="30"/>
      <c r="C3863" s="30"/>
    </row>
    <row r="3864" spans="1:3" x14ac:dyDescent="0.25">
      <c r="A3864" s="31"/>
      <c r="B3864" s="30"/>
      <c r="C3864" s="30"/>
    </row>
    <row r="3865" spans="1:3" x14ac:dyDescent="0.25">
      <c r="A3865" s="31"/>
      <c r="B3865" s="30"/>
      <c r="C3865" s="30"/>
    </row>
    <row r="3866" spans="1:3" x14ac:dyDescent="0.25">
      <c r="A3866" s="31"/>
      <c r="B3866" s="30"/>
      <c r="C3866" s="30"/>
    </row>
    <row r="3867" spans="1:3" x14ac:dyDescent="0.25">
      <c r="A3867" s="31"/>
      <c r="B3867" s="30"/>
      <c r="C3867" s="30"/>
    </row>
    <row r="3868" spans="1:3" x14ac:dyDescent="0.25">
      <c r="A3868" s="31"/>
      <c r="B3868" s="30"/>
      <c r="C3868" s="30"/>
    </row>
    <row r="3869" spans="1:3" x14ac:dyDescent="0.25">
      <c r="A3869" s="31"/>
      <c r="B3869" s="30"/>
      <c r="C3869" s="30"/>
    </row>
    <row r="3870" spans="1:3" x14ac:dyDescent="0.25">
      <c r="A3870" s="31"/>
      <c r="B3870" s="30"/>
      <c r="C3870" s="30"/>
    </row>
    <row r="3871" spans="1:3" x14ac:dyDescent="0.25">
      <c r="A3871" s="31"/>
      <c r="B3871" s="30"/>
      <c r="C3871" s="30"/>
    </row>
    <row r="3872" spans="1:3" x14ac:dyDescent="0.25">
      <c r="A3872" s="31"/>
      <c r="B3872" s="30"/>
      <c r="C3872" s="30"/>
    </row>
    <row r="3873" spans="1:3" x14ac:dyDescent="0.25">
      <c r="A3873" s="31"/>
      <c r="B3873" s="30"/>
      <c r="C3873" s="30"/>
    </row>
    <row r="3874" spans="1:3" x14ac:dyDescent="0.25">
      <c r="A3874" s="31"/>
      <c r="B3874" s="30"/>
      <c r="C3874" s="30"/>
    </row>
    <row r="3875" spans="1:3" x14ac:dyDescent="0.25">
      <c r="A3875" s="31"/>
      <c r="B3875" s="30"/>
      <c r="C3875" s="30"/>
    </row>
    <row r="3876" spans="1:3" x14ac:dyDescent="0.25">
      <c r="A3876" s="31"/>
      <c r="B3876" s="30"/>
      <c r="C3876" s="30"/>
    </row>
    <row r="3877" spans="1:3" x14ac:dyDescent="0.25">
      <c r="A3877" s="31"/>
      <c r="B3877" s="30"/>
      <c r="C3877" s="30"/>
    </row>
    <row r="3878" spans="1:3" x14ac:dyDescent="0.25">
      <c r="A3878" s="31"/>
      <c r="B3878" s="30"/>
      <c r="C3878" s="30"/>
    </row>
    <row r="3879" spans="1:3" x14ac:dyDescent="0.25">
      <c r="A3879" s="31"/>
      <c r="B3879" s="30"/>
      <c r="C3879" s="30"/>
    </row>
    <row r="3880" spans="1:3" x14ac:dyDescent="0.25">
      <c r="A3880" s="31"/>
      <c r="B3880" s="30"/>
      <c r="C3880" s="30"/>
    </row>
    <row r="3881" spans="1:3" x14ac:dyDescent="0.25">
      <c r="A3881" s="31"/>
      <c r="B3881" s="30"/>
      <c r="C3881" s="30"/>
    </row>
    <row r="3882" spans="1:3" x14ac:dyDescent="0.25">
      <c r="A3882" s="31"/>
      <c r="B3882" s="30"/>
      <c r="C3882" s="30"/>
    </row>
    <row r="3883" spans="1:3" x14ac:dyDescent="0.25">
      <c r="A3883" s="31"/>
      <c r="B3883" s="30"/>
      <c r="C3883" s="30"/>
    </row>
    <row r="3884" spans="1:3" x14ac:dyDescent="0.25">
      <c r="A3884" s="31"/>
      <c r="B3884" s="30"/>
      <c r="C3884" s="30"/>
    </row>
    <row r="3885" spans="1:3" x14ac:dyDescent="0.25">
      <c r="A3885" s="31"/>
      <c r="B3885" s="30"/>
      <c r="C3885" s="30"/>
    </row>
    <row r="3886" spans="1:3" x14ac:dyDescent="0.25">
      <c r="A3886" s="31"/>
      <c r="B3886" s="30"/>
      <c r="C3886" s="30"/>
    </row>
    <row r="3887" spans="1:3" x14ac:dyDescent="0.25">
      <c r="A3887" s="31"/>
      <c r="B3887" s="30"/>
      <c r="C3887" s="30"/>
    </row>
    <row r="3888" spans="1:3" x14ac:dyDescent="0.25">
      <c r="A3888" s="31"/>
      <c r="B3888" s="30"/>
      <c r="C3888" s="30"/>
    </row>
    <row r="3889" spans="1:3" x14ac:dyDescent="0.25">
      <c r="A3889" s="31"/>
      <c r="B3889" s="30"/>
      <c r="C3889" s="30"/>
    </row>
    <row r="3890" spans="1:3" x14ac:dyDescent="0.25">
      <c r="A3890" s="31"/>
      <c r="B3890" s="30"/>
      <c r="C3890" s="30"/>
    </row>
    <row r="3891" spans="1:3" x14ac:dyDescent="0.25">
      <c r="A3891" s="31"/>
      <c r="B3891" s="30"/>
      <c r="C3891" s="30"/>
    </row>
    <row r="3892" spans="1:3" x14ac:dyDescent="0.25">
      <c r="A3892" s="31"/>
      <c r="B3892" s="30"/>
      <c r="C3892" s="30"/>
    </row>
    <row r="3893" spans="1:3" x14ac:dyDescent="0.25">
      <c r="A3893" s="31"/>
      <c r="B3893" s="30"/>
      <c r="C3893" s="30"/>
    </row>
    <row r="3894" spans="1:3" x14ac:dyDescent="0.25">
      <c r="A3894" s="31"/>
      <c r="B3894" s="30"/>
      <c r="C3894" s="30"/>
    </row>
    <row r="3895" spans="1:3" x14ac:dyDescent="0.25">
      <c r="A3895" s="31"/>
      <c r="B3895" s="30"/>
      <c r="C3895" s="30"/>
    </row>
    <row r="3896" spans="1:3" x14ac:dyDescent="0.25">
      <c r="A3896" s="31"/>
      <c r="B3896" s="30"/>
      <c r="C3896" s="30"/>
    </row>
    <row r="3897" spans="1:3" x14ac:dyDescent="0.25">
      <c r="A3897" s="31"/>
      <c r="B3897" s="30"/>
      <c r="C3897" s="30"/>
    </row>
    <row r="3898" spans="1:3" x14ac:dyDescent="0.25">
      <c r="A3898" s="31"/>
      <c r="B3898" s="30"/>
      <c r="C3898" s="30"/>
    </row>
    <row r="3899" spans="1:3" x14ac:dyDescent="0.25">
      <c r="A3899" s="31"/>
      <c r="B3899" s="30"/>
      <c r="C3899" s="30"/>
    </row>
    <row r="3900" spans="1:3" x14ac:dyDescent="0.25">
      <c r="A3900" s="31"/>
      <c r="B3900" s="30"/>
      <c r="C3900" s="30"/>
    </row>
    <row r="3901" spans="1:3" x14ac:dyDescent="0.25">
      <c r="A3901" s="31"/>
      <c r="B3901" s="30"/>
      <c r="C3901" s="30"/>
    </row>
    <row r="3902" spans="1:3" x14ac:dyDescent="0.25">
      <c r="A3902" s="31"/>
      <c r="B3902" s="30"/>
      <c r="C3902" s="30"/>
    </row>
    <row r="3903" spans="1:3" x14ac:dyDescent="0.25">
      <c r="A3903" s="31"/>
      <c r="B3903" s="30"/>
      <c r="C3903" s="30"/>
    </row>
    <row r="3904" spans="1:3" x14ac:dyDescent="0.25">
      <c r="A3904" s="31"/>
      <c r="B3904" s="30"/>
      <c r="C3904" s="30"/>
    </row>
    <row r="3905" spans="1:3" x14ac:dyDescent="0.25">
      <c r="A3905" s="31"/>
      <c r="B3905" s="30"/>
      <c r="C3905" s="30"/>
    </row>
    <row r="3906" spans="1:3" x14ac:dyDescent="0.25">
      <c r="A3906" s="31"/>
      <c r="B3906" s="30"/>
      <c r="C3906" s="30"/>
    </row>
    <row r="3907" spans="1:3" x14ac:dyDescent="0.25">
      <c r="A3907" s="31"/>
      <c r="B3907" s="30"/>
      <c r="C3907" s="30"/>
    </row>
    <row r="3908" spans="1:3" x14ac:dyDescent="0.25">
      <c r="A3908" s="31"/>
      <c r="B3908" s="30"/>
      <c r="C3908" s="30"/>
    </row>
    <row r="3909" spans="1:3" x14ac:dyDescent="0.25">
      <c r="A3909" s="31"/>
      <c r="B3909" s="30"/>
      <c r="C3909" s="30"/>
    </row>
    <row r="3910" spans="1:3" x14ac:dyDescent="0.25">
      <c r="A3910" s="31"/>
      <c r="B3910" s="30"/>
      <c r="C3910" s="30"/>
    </row>
    <row r="3911" spans="1:3" x14ac:dyDescent="0.25">
      <c r="A3911" s="31"/>
      <c r="B3911" s="30"/>
      <c r="C3911" s="30"/>
    </row>
    <row r="3912" spans="1:3" x14ac:dyDescent="0.25">
      <c r="A3912" s="31"/>
      <c r="B3912" s="30"/>
      <c r="C3912" s="30"/>
    </row>
    <row r="3913" spans="1:3" x14ac:dyDescent="0.25">
      <c r="A3913" s="31"/>
      <c r="B3913" s="30"/>
      <c r="C3913" s="30"/>
    </row>
    <row r="3914" spans="1:3" x14ac:dyDescent="0.25">
      <c r="A3914" s="31"/>
      <c r="B3914" s="30"/>
      <c r="C3914" s="30"/>
    </row>
    <row r="3915" spans="1:3" x14ac:dyDescent="0.25">
      <c r="A3915" s="31"/>
      <c r="B3915" s="30"/>
      <c r="C3915" s="30"/>
    </row>
    <row r="3916" spans="1:3" x14ac:dyDescent="0.25">
      <c r="A3916" s="31"/>
      <c r="B3916" s="30"/>
      <c r="C3916" s="30"/>
    </row>
    <row r="3917" spans="1:3" x14ac:dyDescent="0.25">
      <c r="A3917" s="31"/>
      <c r="B3917" s="30"/>
      <c r="C3917" s="30"/>
    </row>
    <row r="3918" spans="1:3" x14ac:dyDescent="0.25">
      <c r="A3918" s="31"/>
      <c r="B3918" s="30"/>
      <c r="C3918" s="30"/>
    </row>
    <row r="3919" spans="1:3" x14ac:dyDescent="0.25">
      <c r="A3919" s="31"/>
      <c r="B3919" s="30"/>
      <c r="C3919" s="30"/>
    </row>
    <row r="3920" spans="1:3" x14ac:dyDescent="0.25">
      <c r="A3920" s="31"/>
      <c r="B3920" s="30"/>
      <c r="C3920" s="30"/>
    </row>
    <row r="3921" spans="1:3" x14ac:dyDescent="0.25">
      <c r="A3921" s="31"/>
      <c r="B3921" s="30"/>
      <c r="C3921" s="30"/>
    </row>
    <row r="3922" spans="1:3" x14ac:dyDescent="0.25">
      <c r="A3922" s="31"/>
      <c r="B3922" s="30"/>
      <c r="C3922" s="30"/>
    </row>
    <row r="3923" spans="1:3" x14ac:dyDescent="0.25">
      <c r="A3923" s="31"/>
      <c r="B3923" s="30"/>
      <c r="C3923" s="30"/>
    </row>
    <row r="3924" spans="1:3" x14ac:dyDescent="0.25">
      <c r="A3924" s="31"/>
      <c r="B3924" s="30"/>
      <c r="C3924" s="30"/>
    </row>
    <row r="3925" spans="1:3" x14ac:dyDescent="0.25">
      <c r="A3925" s="31"/>
      <c r="B3925" s="30"/>
      <c r="C3925" s="30"/>
    </row>
    <row r="3926" spans="1:3" x14ac:dyDescent="0.25">
      <c r="A3926" s="31"/>
      <c r="B3926" s="30"/>
      <c r="C3926" s="30"/>
    </row>
    <row r="3927" spans="1:3" x14ac:dyDescent="0.25">
      <c r="A3927" s="31"/>
      <c r="B3927" s="30"/>
      <c r="C3927" s="30"/>
    </row>
    <row r="3928" spans="1:3" x14ac:dyDescent="0.25">
      <c r="A3928" s="31"/>
      <c r="B3928" s="30"/>
      <c r="C3928" s="30"/>
    </row>
    <row r="3929" spans="1:3" x14ac:dyDescent="0.25">
      <c r="A3929" s="31"/>
      <c r="B3929" s="30"/>
      <c r="C3929" s="30"/>
    </row>
    <row r="3930" spans="1:3" x14ac:dyDescent="0.25">
      <c r="A3930" s="31"/>
      <c r="B3930" s="30"/>
      <c r="C3930" s="30"/>
    </row>
    <row r="3931" spans="1:3" x14ac:dyDescent="0.25">
      <c r="A3931" s="31"/>
      <c r="B3931" s="30"/>
      <c r="C3931" s="30"/>
    </row>
    <row r="3932" spans="1:3" x14ac:dyDescent="0.25">
      <c r="A3932" s="31"/>
      <c r="B3932" s="30"/>
      <c r="C3932" s="30"/>
    </row>
    <row r="3933" spans="1:3" x14ac:dyDescent="0.25">
      <c r="A3933" s="31"/>
      <c r="B3933" s="30"/>
      <c r="C3933" s="30"/>
    </row>
    <row r="3934" spans="1:3" x14ac:dyDescent="0.25">
      <c r="A3934" s="31"/>
      <c r="B3934" s="30"/>
      <c r="C3934" s="30"/>
    </row>
    <row r="3935" spans="1:3" x14ac:dyDescent="0.25">
      <c r="A3935" s="31"/>
      <c r="B3935" s="30"/>
      <c r="C3935" s="30"/>
    </row>
    <row r="3936" spans="1:3" x14ac:dyDescent="0.25">
      <c r="A3936" s="31"/>
      <c r="B3936" s="30"/>
      <c r="C3936" s="30"/>
    </row>
    <row r="3937" spans="1:3" x14ac:dyDescent="0.25">
      <c r="A3937" s="31"/>
      <c r="B3937" s="30"/>
      <c r="C3937" s="30"/>
    </row>
    <row r="3938" spans="1:3" x14ac:dyDescent="0.25">
      <c r="A3938" s="31"/>
      <c r="B3938" s="30"/>
      <c r="C3938" s="30"/>
    </row>
    <row r="3939" spans="1:3" x14ac:dyDescent="0.25">
      <c r="A3939" s="31"/>
      <c r="B3939" s="30"/>
      <c r="C3939" s="30"/>
    </row>
    <row r="3940" spans="1:3" x14ac:dyDescent="0.25">
      <c r="A3940" s="31"/>
      <c r="B3940" s="30"/>
      <c r="C3940" s="30"/>
    </row>
    <row r="3941" spans="1:3" x14ac:dyDescent="0.25">
      <c r="A3941" s="31"/>
      <c r="B3941" s="30"/>
      <c r="C3941" s="30"/>
    </row>
    <row r="3942" spans="1:3" x14ac:dyDescent="0.25">
      <c r="A3942" s="31"/>
      <c r="B3942" s="30"/>
      <c r="C3942" s="30"/>
    </row>
    <row r="3943" spans="1:3" x14ac:dyDescent="0.25">
      <c r="A3943" s="31"/>
      <c r="B3943" s="30"/>
      <c r="C3943" s="30"/>
    </row>
    <row r="3944" spans="1:3" x14ac:dyDescent="0.25">
      <c r="A3944" s="31"/>
      <c r="B3944" s="30"/>
      <c r="C3944" s="30"/>
    </row>
    <row r="3945" spans="1:3" x14ac:dyDescent="0.25">
      <c r="A3945" s="31"/>
      <c r="B3945" s="30"/>
      <c r="C3945" s="30"/>
    </row>
    <row r="3946" spans="1:3" x14ac:dyDescent="0.25">
      <c r="A3946" s="31"/>
      <c r="B3946" s="30"/>
      <c r="C3946" s="30"/>
    </row>
    <row r="3947" spans="1:3" x14ac:dyDescent="0.25">
      <c r="A3947" s="31"/>
      <c r="B3947" s="30"/>
      <c r="C3947" s="30"/>
    </row>
    <row r="3948" spans="1:3" x14ac:dyDescent="0.25">
      <c r="A3948" s="31"/>
      <c r="B3948" s="30"/>
      <c r="C3948" s="30"/>
    </row>
    <row r="3949" spans="1:3" x14ac:dyDescent="0.25">
      <c r="A3949" s="31"/>
      <c r="B3949" s="30"/>
      <c r="C3949" s="30"/>
    </row>
    <row r="3950" spans="1:3" x14ac:dyDescent="0.25">
      <c r="A3950" s="31"/>
      <c r="B3950" s="30"/>
      <c r="C3950" s="30"/>
    </row>
    <row r="3951" spans="1:3" x14ac:dyDescent="0.25">
      <c r="A3951" s="31"/>
      <c r="B3951" s="30"/>
      <c r="C3951" s="30"/>
    </row>
    <row r="3952" spans="1:3" x14ac:dyDescent="0.25">
      <c r="A3952" s="31"/>
      <c r="B3952" s="30"/>
      <c r="C3952" s="30"/>
    </row>
    <row r="3953" spans="1:3" x14ac:dyDescent="0.25">
      <c r="A3953" s="31"/>
      <c r="B3953" s="30"/>
      <c r="C3953" s="30"/>
    </row>
    <row r="3954" spans="1:3" x14ac:dyDescent="0.25">
      <c r="A3954" s="31"/>
      <c r="B3954" s="30"/>
      <c r="C3954" s="30"/>
    </row>
    <row r="3955" spans="1:3" x14ac:dyDescent="0.25">
      <c r="A3955" s="31"/>
      <c r="B3955" s="30"/>
      <c r="C3955" s="30"/>
    </row>
    <row r="3956" spans="1:3" x14ac:dyDescent="0.25">
      <c r="A3956" s="31"/>
      <c r="B3956" s="30"/>
      <c r="C3956" s="30"/>
    </row>
    <row r="3957" spans="1:3" x14ac:dyDescent="0.25">
      <c r="A3957" s="31"/>
      <c r="B3957" s="30"/>
      <c r="C3957" s="30"/>
    </row>
    <row r="3958" spans="1:3" x14ac:dyDescent="0.25">
      <c r="A3958" s="31"/>
      <c r="B3958" s="30"/>
      <c r="C3958" s="30"/>
    </row>
    <row r="3959" spans="1:3" x14ac:dyDescent="0.25">
      <c r="A3959" s="31"/>
      <c r="B3959" s="30"/>
      <c r="C3959" s="30"/>
    </row>
    <row r="3960" spans="1:3" x14ac:dyDescent="0.25">
      <c r="A3960" s="31"/>
      <c r="B3960" s="30"/>
      <c r="C3960" s="30"/>
    </row>
    <row r="3961" spans="1:3" x14ac:dyDescent="0.25">
      <c r="A3961" s="31"/>
      <c r="B3961" s="30"/>
      <c r="C3961" s="30"/>
    </row>
    <row r="3962" spans="1:3" x14ac:dyDescent="0.25">
      <c r="A3962" s="31"/>
      <c r="B3962" s="30"/>
      <c r="C3962" s="30"/>
    </row>
    <row r="3963" spans="1:3" x14ac:dyDescent="0.25">
      <c r="A3963" s="31"/>
      <c r="B3963" s="30"/>
      <c r="C3963" s="30"/>
    </row>
    <row r="3964" spans="1:3" x14ac:dyDescent="0.25">
      <c r="A3964" s="31"/>
      <c r="B3964" s="30"/>
      <c r="C3964" s="30"/>
    </row>
    <row r="3965" spans="1:3" x14ac:dyDescent="0.25">
      <c r="A3965" s="31"/>
      <c r="B3965" s="30"/>
      <c r="C3965" s="30"/>
    </row>
    <row r="3966" spans="1:3" x14ac:dyDescent="0.25">
      <c r="A3966" s="31"/>
      <c r="B3966" s="30"/>
      <c r="C3966" s="30"/>
    </row>
    <row r="3967" spans="1:3" x14ac:dyDescent="0.25">
      <c r="A3967" s="31"/>
      <c r="B3967" s="30"/>
      <c r="C3967" s="30"/>
    </row>
    <row r="3968" spans="1:3" x14ac:dyDescent="0.25">
      <c r="A3968" s="31"/>
      <c r="B3968" s="30"/>
      <c r="C3968" s="30"/>
    </row>
    <row r="3969" spans="1:3" x14ac:dyDescent="0.25">
      <c r="A3969" s="31"/>
      <c r="B3969" s="30"/>
      <c r="C3969" s="30"/>
    </row>
    <row r="3970" spans="1:3" x14ac:dyDescent="0.25">
      <c r="A3970" s="31"/>
      <c r="B3970" s="30"/>
      <c r="C3970" s="30"/>
    </row>
    <row r="3971" spans="1:3" x14ac:dyDescent="0.25">
      <c r="A3971" s="31"/>
      <c r="B3971" s="30"/>
      <c r="C3971" s="30"/>
    </row>
    <row r="3972" spans="1:3" x14ac:dyDescent="0.25">
      <c r="A3972" s="31"/>
      <c r="B3972" s="30"/>
      <c r="C3972" s="30"/>
    </row>
    <row r="3973" spans="1:3" x14ac:dyDescent="0.25">
      <c r="A3973" s="31"/>
      <c r="B3973" s="30"/>
      <c r="C3973" s="30"/>
    </row>
    <row r="3974" spans="1:3" x14ac:dyDescent="0.25">
      <c r="A3974" s="31"/>
      <c r="B3974" s="30"/>
      <c r="C3974" s="30"/>
    </row>
    <row r="3975" spans="1:3" x14ac:dyDescent="0.25">
      <c r="A3975" s="31"/>
      <c r="B3975" s="30"/>
      <c r="C3975" s="30"/>
    </row>
    <row r="3976" spans="1:3" x14ac:dyDescent="0.25">
      <c r="A3976" s="31"/>
      <c r="B3976" s="30"/>
      <c r="C3976" s="30"/>
    </row>
    <row r="3977" spans="1:3" x14ac:dyDescent="0.25">
      <c r="A3977" s="31"/>
      <c r="B3977" s="30"/>
      <c r="C3977" s="30"/>
    </row>
    <row r="3978" spans="1:3" x14ac:dyDescent="0.25">
      <c r="A3978" s="31"/>
      <c r="B3978" s="30"/>
      <c r="C3978" s="30"/>
    </row>
    <row r="3979" spans="1:3" x14ac:dyDescent="0.25">
      <c r="A3979" s="31"/>
      <c r="B3979" s="30"/>
      <c r="C3979" s="30"/>
    </row>
    <row r="3980" spans="1:3" x14ac:dyDescent="0.25">
      <c r="A3980" s="31"/>
      <c r="B3980" s="30"/>
      <c r="C3980" s="30"/>
    </row>
    <row r="3981" spans="1:3" x14ac:dyDescent="0.25">
      <c r="A3981" s="31"/>
      <c r="B3981" s="30"/>
      <c r="C3981" s="30"/>
    </row>
    <row r="3982" spans="1:3" x14ac:dyDescent="0.25">
      <c r="A3982" s="31"/>
      <c r="B3982" s="30"/>
      <c r="C3982" s="30"/>
    </row>
    <row r="3983" spans="1:3" x14ac:dyDescent="0.25">
      <c r="A3983" s="31"/>
      <c r="B3983" s="30"/>
      <c r="C3983" s="30"/>
    </row>
    <row r="3984" spans="1:3" x14ac:dyDescent="0.25">
      <c r="A3984" s="31"/>
      <c r="B3984" s="30"/>
      <c r="C3984" s="30"/>
    </row>
    <row r="3985" spans="1:3" x14ac:dyDescent="0.25">
      <c r="A3985" s="31"/>
      <c r="B3985" s="30"/>
      <c r="C3985" s="30"/>
    </row>
    <row r="3986" spans="1:3" x14ac:dyDescent="0.25">
      <c r="A3986" s="31"/>
      <c r="B3986" s="30"/>
      <c r="C3986" s="30"/>
    </row>
    <row r="3987" spans="1:3" x14ac:dyDescent="0.25">
      <c r="A3987" s="31"/>
      <c r="B3987" s="30"/>
      <c r="C3987" s="30"/>
    </row>
    <row r="3988" spans="1:3" x14ac:dyDescent="0.25">
      <c r="A3988" s="31"/>
      <c r="B3988" s="30"/>
      <c r="C3988" s="30"/>
    </row>
    <row r="3989" spans="1:3" x14ac:dyDescent="0.25">
      <c r="A3989" s="31"/>
      <c r="B3989" s="30"/>
      <c r="C3989" s="30"/>
    </row>
    <row r="3990" spans="1:3" x14ac:dyDescent="0.25">
      <c r="A3990" s="31"/>
      <c r="B3990" s="30"/>
      <c r="C3990" s="30"/>
    </row>
    <row r="3991" spans="1:3" x14ac:dyDescent="0.25">
      <c r="A3991" s="31"/>
      <c r="B3991" s="30"/>
      <c r="C3991" s="30"/>
    </row>
    <row r="3992" spans="1:3" x14ac:dyDescent="0.25">
      <c r="A3992" s="31"/>
      <c r="B3992" s="30"/>
      <c r="C3992" s="30"/>
    </row>
    <row r="3993" spans="1:3" x14ac:dyDescent="0.25">
      <c r="A3993" s="31"/>
      <c r="B3993" s="30"/>
      <c r="C3993" s="30"/>
    </row>
    <row r="3994" spans="1:3" x14ac:dyDescent="0.25">
      <c r="A3994" s="31"/>
      <c r="B3994" s="30"/>
      <c r="C3994" s="30"/>
    </row>
    <row r="3995" spans="1:3" x14ac:dyDescent="0.25">
      <c r="A3995" s="31"/>
      <c r="B3995" s="30"/>
      <c r="C3995" s="30"/>
    </row>
    <row r="3996" spans="1:3" x14ac:dyDescent="0.25">
      <c r="A3996" s="31"/>
      <c r="B3996" s="30"/>
      <c r="C3996" s="30"/>
    </row>
    <row r="3997" spans="1:3" x14ac:dyDescent="0.25">
      <c r="A3997" s="31"/>
      <c r="B3997" s="30"/>
      <c r="C3997" s="30"/>
    </row>
    <row r="3998" spans="1:3" x14ac:dyDescent="0.25">
      <c r="A3998" s="31"/>
      <c r="B3998" s="30"/>
      <c r="C3998" s="30"/>
    </row>
    <row r="3999" spans="1:3" x14ac:dyDescent="0.25">
      <c r="A3999" s="31"/>
      <c r="B3999" s="30"/>
      <c r="C3999" s="30"/>
    </row>
    <row r="4000" spans="1:3" x14ac:dyDescent="0.25">
      <c r="A4000" s="31"/>
      <c r="B4000" s="30"/>
      <c r="C4000" s="30"/>
    </row>
    <row r="4001" spans="1:3" x14ac:dyDescent="0.25">
      <c r="A4001" s="31"/>
      <c r="B4001" s="30"/>
      <c r="C4001" s="30"/>
    </row>
    <row r="4002" spans="1:3" x14ac:dyDescent="0.25">
      <c r="A4002" s="31"/>
      <c r="B4002" s="30"/>
      <c r="C4002" s="30"/>
    </row>
    <row r="4003" spans="1:3" x14ac:dyDescent="0.25">
      <c r="A4003" s="31"/>
      <c r="B4003" s="30"/>
      <c r="C4003" s="30"/>
    </row>
    <row r="4004" spans="1:3" x14ac:dyDescent="0.25">
      <c r="A4004" s="31"/>
      <c r="B4004" s="30"/>
      <c r="C4004" s="30"/>
    </row>
    <row r="4005" spans="1:3" x14ac:dyDescent="0.25">
      <c r="A4005" s="31"/>
      <c r="B4005" s="30"/>
      <c r="C4005" s="30"/>
    </row>
    <row r="4006" spans="1:3" x14ac:dyDescent="0.25">
      <c r="A4006" s="31"/>
      <c r="B4006" s="30"/>
      <c r="C4006" s="30"/>
    </row>
    <row r="4007" spans="1:3" x14ac:dyDescent="0.25">
      <c r="A4007" s="31"/>
      <c r="B4007" s="30"/>
      <c r="C4007" s="30"/>
    </row>
    <row r="4008" spans="1:3" x14ac:dyDescent="0.25">
      <c r="A4008" s="31"/>
      <c r="B4008" s="30"/>
      <c r="C4008" s="30"/>
    </row>
    <row r="4009" spans="1:3" x14ac:dyDescent="0.25">
      <c r="A4009" s="31"/>
      <c r="B4009" s="30"/>
      <c r="C4009" s="30"/>
    </row>
    <row r="4010" spans="1:3" x14ac:dyDescent="0.25">
      <c r="A4010" s="31"/>
      <c r="B4010" s="30"/>
      <c r="C4010" s="30"/>
    </row>
    <row r="4011" spans="1:3" x14ac:dyDescent="0.25">
      <c r="A4011" s="31"/>
      <c r="B4011" s="30"/>
      <c r="C4011" s="30"/>
    </row>
    <row r="4012" spans="1:3" x14ac:dyDescent="0.25">
      <c r="A4012" s="31"/>
      <c r="B4012" s="30"/>
      <c r="C4012" s="30"/>
    </row>
    <row r="4013" spans="1:3" x14ac:dyDescent="0.25">
      <c r="A4013" s="31"/>
      <c r="B4013" s="30"/>
      <c r="C4013" s="30"/>
    </row>
    <row r="4014" spans="1:3" x14ac:dyDescent="0.25">
      <c r="A4014" s="31"/>
      <c r="B4014" s="30"/>
      <c r="C4014" s="30"/>
    </row>
    <row r="4015" spans="1:3" x14ac:dyDescent="0.25">
      <c r="A4015" s="31"/>
      <c r="B4015" s="30"/>
      <c r="C4015" s="30"/>
    </row>
    <row r="4016" spans="1:3" x14ac:dyDescent="0.25">
      <c r="A4016" s="31"/>
      <c r="B4016" s="30"/>
      <c r="C4016" s="30"/>
    </row>
    <row r="4017" spans="1:3" x14ac:dyDescent="0.25">
      <c r="A4017" s="31"/>
      <c r="B4017" s="30"/>
      <c r="C4017" s="30"/>
    </row>
    <row r="4018" spans="1:3" x14ac:dyDescent="0.25">
      <c r="A4018" s="31"/>
      <c r="B4018" s="30"/>
      <c r="C4018" s="30"/>
    </row>
    <row r="4019" spans="1:3" x14ac:dyDescent="0.25">
      <c r="A4019" s="31"/>
      <c r="B4019" s="30"/>
      <c r="C4019" s="30"/>
    </row>
    <row r="4020" spans="1:3" x14ac:dyDescent="0.25">
      <c r="A4020" s="31"/>
      <c r="B4020" s="30"/>
      <c r="C4020" s="30"/>
    </row>
    <row r="4021" spans="1:3" x14ac:dyDescent="0.25">
      <c r="A4021" s="31"/>
      <c r="B4021" s="30"/>
      <c r="C4021" s="30"/>
    </row>
    <row r="4022" spans="1:3" x14ac:dyDescent="0.25">
      <c r="A4022" s="31"/>
      <c r="B4022" s="30"/>
      <c r="C4022" s="30"/>
    </row>
    <row r="4023" spans="1:3" x14ac:dyDescent="0.25">
      <c r="A4023" s="31"/>
      <c r="B4023" s="30"/>
      <c r="C4023" s="30"/>
    </row>
    <row r="4024" spans="1:3" x14ac:dyDescent="0.25">
      <c r="A4024" s="31"/>
      <c r="B4024" s="30"/>
      <c r="C4024" s="30"/>
    </row>
    <row r="4025" spans="1:3" x14ac:dyDescent="0.25">
      <c r="A4025" s="31"/>
      <c r="B4025" s="30"/>
      <c r="C4025" s="30"/>
    </row>
    <row r="4026" spans="1:3" x14ac:dyDescent="0.25">
      <c r="A4026" s="31"/>
      <c r="B4026" s="30"/>
      <c r="C4026" s="30"/>
    </row>
    <row r="4027" spans="1:3" x14ac:dyDescent="0.25">
      <c r="A4027" s="31"/>
      <c r="B4027" s="30"/>
      <c r="C4027" s="30"/>
    </row>
    <row r="4028" spans="1:3" x14ac:dyDescent="0.25">
      <c r="A4028" s="31"/>
      <c r="B4028" s="30"/>
      <c r="C4028" s="30"/>
    </row>
    <row r="4029" spans="1:3" x14ac:dyDescent="0.25">
      <c r="A4029" s="31"/>
      <c r="B4029" s="30"/>
      <c r="C4029" s="30"/>
    </row>
    <row r="4030" spans="1:3" x14ac:dyDescent="0.25">
      <c r="A4030" s="31"/>
      <c r="B4030" s="30"/>
      <c r="C4030" s="30"/>
    </row>
    <row r="4031" spans="1:3" x14ac:dyDescent="0.25">
      <c r="A4031" s="31"/>
      <c r="B4031" s="30"/>
      <c r="C4031" s="30"/>
    </row>
    <row r="4032" spans="1:3" x14ac:dyDescent="0.25">
      <c r="A4032" s="31"/>
      <c r="B4032" s="30"/>
      <c r="C4032" s="30"/>
    </row>
    <row r="4033" spans="1:3" x14ac:dyDescent="0.25">
      <c r="A4033" s="31"/>
      <c r="B4033" s="30"/>
      <c r="C4033" s="30"/>
    </row>
    <row r="4034" spans="1:3" x14ac:dyDescent="0.25">
      <c r="A4034" s="31"/>
      <c r="B4034" s="30"/>
      <c r="C4034" s="30"/>
    </row>
    <row r="4035" spans="1:3" x14ac:dyDescent="0.25">
      <c r="A4035" s="31"/>
      <c r="B4035" s="30"/>
      <c r="C4035" s="30"/>
    </row>
    <row r="4036" spans="1:3" x14ac:dyDescent="0.25">
      <c r="A4036" s="31"/>
      <c r="B4036" s="30"/>
      <c r="C4036" s="30"/>
    </row>
    <row r="4037" spans="1:3" x14ac:dyDescent="0.25">
      <c r="A4037" s="31"/>
      <c r="B4037" s="30"/>
      <c r="C4037" s="30"/>
    </row>
    <row r="4038" spans="1:3" x14ac:dyDescent="0.25">
      <c r="A4038" s="31"/>
      <c r="B4038" s="30"/>
      <c r="C4038" s="30"/>
    </row>
    <row r="4039" spans="1:3" x14ac:dyDescent="0.25">
      <c r="A4039" s="31"/>
      <c r="B4039" s="30"/>
      <c r="C4039" s="30"/>
    </row>
    <row r="4040" spans="1:3" x14ac:dyDescent="0.25">
      <c r="A4040" s="31"/>
      <c r="B4040" s="30"/>
      <c r="C4040" s="30"/>
    </row>
    <row r="4041" spans="1:3" x14ac:dyDescent="0.25">
      <c r="A4041" s="31"/>
      <c r="B4041" s="30"/>
      <c r="C4041" s="30"/>
    </row>
    <row r="4042" spans="1:3" x14ac:dyDescent="0.25">
      <c r="A4042" s="31"/>
      <c r="B4042" s="30"/>
      <c r="C4042" s="30"/>
    </row>
    <row r="4043" spans="1:3" x14ac:dyDescent="0.25">
      <c r="A4043" s="31"/>
      <c r="B4043" s="30"/>
      <c r="C4043" s="30"/>
    </row>
    <row r="4044" spans="1:3" x14ac:dyDescent="0.25">
      <c r="A4044" s="31"/>
      <c r="B4044" s="30"/>
      <c r="C4044" s="30"/>
    </row>
    <row r="4045" spans="1:3" x14ac:dyDescent="0.25">
      <c r="A4045" s="31"/>
      <c r="B4045" s="30"/>
      <c r="C4045" s="30"/>
    </row>
    <row r="4046" spans="1:3" x14ac:dyDescent="0.25">
      <c r="A4046" s="31"/>
      <c r="B4046" s="30"/>
      <c r="C4046" s="30"/>
    </row>
    <row r="4047" spans="1:3" x14ac:dyDescent="0.25">
      <c r="A4047" s="31"/>
      <c r="B4047" s="30"/>
      <c r="C4047" s="30"/>
    </row>
    <row r="4048" spans="1:3" x14ac:dyDescent="0.25">
      <c r="A4048" s="31"/>
      <c r="B4048" s="30"/>
      <c r="C4048" s="30"/>
    </row>
    <row r="4049" spans="1:3" x14ac:dyDescent="0.25">
      <c r="A4049" s="31"/>
      <c r="B4049" s="30"/>
      <c r="C4049" s="30"/>
    </row>
    <row r="4050" spans="1:3" x14ac:dyDescent="0.25">
      <c r="A4050" s="31"/>
      <c r="B4050" s="30"/>
      <c r="C4050" s="30"/>
    </row>
    <row r="4051" spans="1:3" x14ac:dyDescent="0.25">
      <c r="A4051" s="31"/>
      <c r="B4051" s="30"/>
      <c r="C4051" s="30"/>
    </row>
    <row r="4052" spans="1:3" x14ac:dyDescent="0.25">
      <c r="A4052" s="31"/>
      <c r="B4052" s="30"/>
      <c r="C4052" s="30"/>
    </row>
    <row r="4053" spans="1:3" x14ac:dyDescent="0.25">
      <c r="A4053" s="31"/>
      <c r="B4053" s="30"/>
      <c r="C4053" s="30"/>
    </row>
    <row r="4054" spans="1:3" x14ac:dyDescent="0.25">
      <c r="A4054" s="31"/>
      <c r="B4054" s="30"/>
      <c r="C4054" s="30"/>
    </row>
    <row r="4055" spans="1:3" x14ac:dyDescent="0.25">
      <c r="A4055" s="31"/>
      <c r="B4055" s="30"/>
      <c r="C4055" s="30"/>
    </row>
    <row r="4056" spans="1:3" x14ac:dyDescent="0.25">
      <c r="A4056" s="31"/>
      <c r="B4056" s="30"/>
      <c r="C4056" s="30"/>
    </row>
    <row r="4057" spans="1:3" x14ac:dyDescent="0.25">
      <c r="A4057" s="31"/>
      <c r="B4057" s="30"/>
      <c r="C4057" s="30"/>
    </row>
    <row r="4058" spans="1:3" x14ac:dyDescent="0.25">
      <c r="A4058" s="31"/>
      <c r="B4058" s="30"/>
      <c r="C4058" s="30"/>
    </row>
    <row r="4059" spans="1:3" x14ac:dyDescent="0.25">
      <c r="A4059" s="31"/>
      <c r="B4059" s="30"/>
      <c r="C4059" s="30"/>
    </row>
    <row r="4060" spans="1:3" x14ac:dyDescent="0.25">
      <c r="A4060" s="31"/>
      <c r="B4060" s="30"/>
      <c r="C4060" s="30"/>
    </row>
    <row r="4061" spans="1:3" x14ac:dyDescent="0.25">
      <c r="A4061" s="31"/>
      <c r="B4061" s="30"/>
      <c r="C4061" s="30"/>
    </row>
    <row r="4062" spans="1:3" x14ac:dyDescent="0.25">
      <c r="A4062" s="31"/>
      <c r="B4062" s="30"/>
      <c r="C4062" s="30"/>
    </row>
    <row r="4063" spans="1:3" x14ac:dyDescent="0.25">
      <c r="A4063" s="31"/>
      <c r="B4063" s="30"/>
      <c r="C4063" s="30"/>
    </row>
    <row r="4064" spans="1:3" x14ac:dyDescent="0.25">
      <c r="A4064" s="31"/>
      <c r="B4064" s="30"/>
      <c r="C4064" s="30"/>
    </row>
    <row r="4065" spans="1:3" x14ac:dyDescent="0.25">
      <c r="A4065" s="31"/>
      <c r="B4065" s="30"/>
      <c r="C4065" s="30"/>
    </row>
    <row r="4066" spans="1:3" x14ac:dyDescent="0.25">
      <c r="A4066" s="31"/>
      <c r="B4066" s="30"/>
      <c r="C4066" s="30"/>
    </row>
    <row r="4067" spans="1:3" x14ac:dyDescent="0.25">
      <c r="A4067" s="31"/>
      <c r="B4067" s="30"/>
      <c r="C4067" s="30"/>
    </row>
    <row r="4068" spans="1:3" x14ac:dyDescent="0.25">
      <c r="A4068" s="31"/>
      <c r="B4068" s="30"/>
      <c r="C4068" s="30"/>
    </row>
    <row r="4069" spans="1:3" x14ac:dyDescent="0.25">
      <c r="A4069" s="31"/>
      <c r="B4069" s="30"/>
      <c r="C4069" s="30"/>
    </row>
    <row r="4070" spans="1:3" x14ac:dyDescent="0.25">
      <c r="A4070" s="31"/>
      <c r="B4070" s="30"/>
      <c r="C4070" s="30"/>
    </row>
    <row r="4071" spans="1:3" x14ac:dyDescent="0.25">
      <c r="A4071" s="31"/>
      <c r="B4071" s="30"/>
      <c r="C4071" s="30"/>
    </row>
    <row r="4072" spans="1:3" x14ac:dyDescent="0.25">
      <c r="A4072" s="31"/>
      <c r="B4072" s="30"/>
      <c r="C4072" s="30"/>
    </row>
    <row r="4073" spans="1:3" x14ac:dyDescent="0.25">
      <c r="A4073" s="31"/>
      <c r="B4073" s="30"/>
      <c r="C4073" s="30"/>
    </row>
    <row r="4074" spans="1:3" x14ac:dyDescent="0.25">
      <c r="A4074" s="31"/>
      <c r="B4074" s="30"/>
      <c r="C4074" s="30"/>
    </row>
    <row r="4075" spans="1:3" x14ac:dyDescent="0.25">
      <c r="A4075" s="31"/>
      <c r="B4075" s="30"/>
      <c r="C4075" s="30"/>
    </row>
    <row r="4076" spans="1:3" x14ac:dyDescent="0.25">
      <c r="A4076" s="31"/>
      <c r="B4076" s="30"/>
      <c r="C4076" s="30"/>
    </row>
    <row r="4077" spans="1:3" x14ac:dyDescent="0.25">
      <c r="A4077" s="31"/>
      <c r="B4077" s="30"/>
      <c r="C4077" s="30"/>
    </row>
    <row r="4078" spans="1:3" x14ac:dyDescent="0.25">
      <c r="A4078" s="31"/>
      <c r="B4078" s="30"/>
      <c r="C4078" s="30"/>
    </row>
    <row r="4079" spans="1:3" x14ac:dyDescent="0.25">
      <c r="A4079" s="31"/>
      <c r="B4079" s="30"/>
      <c r="C4079" s="30"/>
    </row>
    <row r="4080" spans="1:3" x14ac:dyDescent="0.25">
      <c r="A4080" s="31"/>
      <c r="B4080" s="30"/>
      <c r="C4080" s="30"/>
    </row>
    <row r="4081" spans="1:3" x14ac:dyDescent="0.25">
      <c r="A4081" s="31"/>
      <c r="B4081" s="30"/>
      <c r="C4081" s="30"/>
    </row>
    <row r="4082" spans="1:3" x14ac:dyDescent="0.25">
      <c r="A4082" s="31"/>
      <c r="B4082" s="30"/>
      <c r="C4082" s="30"/>
    </row>
    <row r="4083" spans="1:3" x14ac:dyDescent="0.25">
      <c r="A4083" s="31"/>
      <c r="B4083" s="30"/>
      <c r="C4083" s="30"/>
    </row>
    <row r="4084" spans="1:3" x14ac:dyDescent="0.25">
      <c r="A4084" s="31"/>
      <c r="B4084" s="30"/>
      <c r="C4084" s="30"/>
    </row>
    <row r="4085" spans="1:3" x14ac:dyDescent="0.25">
      <c r="A4085" s="31"/>
      <c r="B4085" s="30"/>
      <c r="C4085" s="30"/>
    </row>
    <row r="4086" spans="1:3" x14ac:dyDescent="0.25">
      <c r="A4086" s="31"/>
      <c r="B4086" s="30"/>
      <c r="C4086" s="30"/>
    </row>
    <row r="4087" spans="1:3" x14ac:dyDescent="0.25">
      <c r="A4087" s="31"/>
      <c r="B4087" s="30"/>
      <c r="C4087" s="30"/>
    </row>
    <row r="4088" spans="1:3" x14ac:dyDescent="0.25">
      <c r="A4088" s="31"/>
      <c r="B4088" s="30"/>
      <c r="C4088" s="30"/>
    </row>
    <row r="4089" spans="1:3" x14ac:dyDescent="0.25">
      <c r="A4089" s="31"/>
      <c r="B4089" s="30"/>
      <c r="C4089" s="30"/>
    </row>
    <row r="4090" spans="1:3" x14ac:dyDescent="0.25">
      <c r="A4090" s="31"/>
      <c r="B4090" s="30"/>
      <c r="C4090" s="30"/>
    </row>
    <row r="4091" spans="1:3" x14ac:dyDescent="0.25">
      <c r="A4091" s="31"/>
      <c r="B4091" s="30"/>
      <c r="C4091" s="30"/>
    </row>
    <row r="4092" spans="1:3" x14ac:dyDescent="0.25">
      <c r="A4092" s="31"/>
      <c r="B4092" s="30"/>
      <c r="C4092" s="30"/>
    </row>
    <row r="4093" spans="1:3" x14ac:dyDescent="0.25">
      <c r="A4093" s="31"/>
      <c r="B4093" s="30"/>
      <c r="C4093" s="30"/>
    </row>
    <row r="4094" spans="1:3" x14ac:dyDescent="0.25">
      <c r="A4094" s="31"/>
      <c r="B4094" s="30"/>
      <c r="C4094" s="30"/>
    </row>
    <row r="4095" spans="1:3" x14ac:dyDescent="0.25">
      <c r="A4095" s="31"/>
      <c r="B4095" s="30"/>
      <c r="C4095" s="30"/>
    </row>
    <row r="4096" spans="1:3" x14ac:dyDescent="0.25">
      <c r="A4096" s="31"/>
      <c r="B4096" s="30"/>
      <c r="C4096" s="30"/>
    </row>
    <row r="4097" spans="1:3" x14ac:dyDescent="0.25">
      <c r="A4097" s="31"/>
      <c r="B4097" s="30"/>
      <c r="C4097" s="30"/>
    </row>
    <row r="4098" spans="1:3" x14ac:dyDescent="0.25">
      <c r="A4098" s="31"/>
      <c r="B4098" s="30"/>
      <c r="C4098" s="30"/>
    </row>
    <row r="4099" spans="1:3" x14ac:dyDescent="0.25">
      <c r="A4099" s="31"/>
      <c r="B4099" s="30"/>
      <c r="C4099" s="30"/>
    </row>
    <row r="4100" spans="1:3" x14ac:dyDescent="0.25">
      <c r="A4100" s="31"/>
      <c r="B4100" s="30"/>
      <c r="C4100" s="30"/>
    </row>
    <row r="4101" spans="1:3" x14ac:dyDescent="0.25">
      <c r="A4101" s="31"/>
      <c r="B4101" s="30"/>
      <c r="C4101" s="30"/>
    </row>
    <row r="4102" spans="1:3" x14ac:dyDescent="0.25">
      <c r="A4102" s="31"/>
      <c r="B4102" s="30"/>
      <c r="C4102" s="30"/>
    </row>
    <row r="4103" spans="1:3" x14ac:dyDescent="0.25">
      <c r="A4103" s="31"/>
      <c r="B4103" s="30"/>
      <c r="C4103" s="30"/>
    </row>
    <row r="4104" spans="1:3" x14ac:dyDescent="0.25">
      <c r="A4104" s="31"/>
      <c r="B4104" s="30"/>
      <c r="C4104" s="30"/>
    </row>
    <row r="4105" spans="1:3" x14ac:dyDescent="0.25">
      <c r="A4105" s="31"/>
      <c r="B4105" s="30"/>
      <c r="C4105" s="30"/>
    </row>
    <row r="4106" spans="1:3" x14ac:dyDescent="0.25">
      <c r="A4106" s="31"/>
      <c r="B4106" s="30"/>
      <c r="C4106" s="30"/>
    </row>
    <row r="4107" spans="1:3" x14ac:dyDescent="0.25">
      <c r="A4107" s="31"/>
      <c r="B4107" s="30"/>
      <c r="C4107" s="30"/>
    </row>
    <row r="4108" spans="1:3" x14ac:dyDescent="0.25">
      <c r="A4108" s="31"/>
      <c r="B4108" s="30"/>
      <c r="C4108" s="30"/>
    </row>
    <row r="4109" spans="1:3" x14ac:dyDescent="0.25">
      <c r="A4109" s="31"/>
      <c r="B4109" s="30"/>
      <c r="C4109" s="30"/>
    </row>
    <row r="4110" spans="1:3" x14ac:dyDescent="0.25">
      <c r="A4110" s="31"/>
      <c r="B4110" s="30"/>
      <c r="C4110" s="30"/>
    </row>
    <row r="4111" spans="1:3" x14ac:dyDescent="0.25">
      <c r="A4111" s="31"/>
      <c r="B4111" s="30"/>
      <c r="C4111" s="30"/>
    </row>
    <row r="4112" spans="1:3" x14ac:dyDescent="0.25">
      <c r="A4112" s="31"/>
      <c r="B4112" s="30"/>
      <c r="C4112" s="30"/>
    </row>
    <row r="4113" spans="1:3" x14ac:dyDescent="0.25">
      <c r="A4113" s="31"/>
      <c r="B4113" s="30"/>
      <c r="C4113" s="30"/>
    </row>
    <row r="4114" spans="1:3" x14ac:dyDescent="0.25">
      <c r="A4114" s="31"/>
      <c r="B4114" s="30"/>
      <c r="C4114" s="30"/>
    </row>
    <row r="4115" spans="1:3" x14ac:dyDescent="0.25">
      <c r="A4115" s="31"/>
      <c r="B4115" s="30"/>
      <c r="C4115" s="30"/>
    </row>
    <row r="4116" spans="1:3" x14ac:dyDescent="0.25">
      <c r="A4116" s="31"/>
      <c r="B4116" s="30"/>
      <c r="C4116" s="30"/>
    </row>
    <row r="4117" spans="1:3" x14ac:dyDescent="0.25">
      <c r="A4117" s="31"/>
      <c r="B4117" s="30"/>
      <c r="C4117" s="30"/>
    </row>
    <row r="4118" spans="1:3" x14ac:dyDescent="0.25">
      <c r="A4118" s="31"/>
      <c r="B4118" s="30"/>
      <c r="C4118" s="30"/>
    </row>
    <row r="4119" spans="1:3" x14ac:dyDescent="0.25">
      <c r="A4119" s="31"/>
      <c r="B4119" s="30"/>
      <c r="C4119" s="30"/>
    </row>
    <row r="4120" spans="1:3" x14ac:dyDescent="0.25">
      <c r="A4120" s="31"/>
      <c r="B4120" s="30"/>
      <c r="C4120" s="30"/>
    </row>
    <row r="4121" spans="1:3" x14ac:dyDescent="0.25">
      <c r="A4121" s="31"/>
      <c r="B4121" s="30"/>
      <c r="C4121" s="30"/>
    </row>
    <row r="4122" spans="1:3" x14ac:dyDescent="0.25">
      <c r="A4122" s="31"/>
      <c r="B4122" s="30"/>
      <c r="C4122" s="30"/>
    </row>
    <row r="4123" spans="1:3" x14ac:dyDescent="0.25">
      <c r="A4123" s="31"/>
      <c r="B4123" s="30"/>
      <c r="C4123" s="30"/>
    </row>
    <row r="4124" spans="1:3" x14ac:dyDescent="0.25">
      <c r="A4124" s="31"/>
      <c r="B4124" s="30"/>
      <c r="C4124" s="30"/>
    </row>
    <row r="4125" spans="1:3" x14ac:dyDescent="0.25">
      <c r="A4125" s="31"/>
      <c r="B4125" s="30"/>
      <c r="C4125" s="30"/>
    </row>
    <row r="4126" spans="1:3" x14ac:dyDescent="0.25">
      <c r="A4126" s="31"/>
      <c r="B4126" s="30"/>
      <c r="C4126" s="30"/>
    </row>
    <row r="4127" spans="1:3" x14ac:dyDescent="0.25">
      <c r="A4127" s="31"/>
      <c r="B4127" s="30"/>
      <c r="C4127" s="30"/>
    </row>
    <row r="4128" spans="1:3" x14ac:dyDescent="0.25">
      <c r="A4128" s="31"/>
      <c r="B4128" s="30"/>
      <c r="C4128" s="30"/>
    </row>
    <row r="4129" spans="1:3" x14ac:dyDescent="0.25">
      <c r="A4129" s="31"/>
      <c r="B4129" s="30"/>
      <c r="C4129" s="30"/>
    </row>
    <row r="4130" spans="1:3" x14ac:dyDescent="0.25">
      <c r="A4130" s="31"/>
      <c r="B4130" s="30"/>
      <c r="C4130" s="30"/>
    </row>
    <row r="4131" spans="1:3" x14ac:dyDescent="0.25">
      <c r="A4131" s="31"/>
      <c r="B4131" s="30"/>
      <c r="C4131" s="30"/>
    </row>
    <row r="4132" spans="1:3" x14ac:dyDescent="0.25">
      <c r="A4132" s="31"/>
      <c r="B4132" s="30"/>
      <c r="C4132" s="30"/>
    </row>
    <row r="4133" spans="1:3" x14ac:dyDescent="0.25">
      <c r="A4133" s="31"/>
      <c r="B4133" s="30"/>
      <c r="C4133" s="30"/>
    </row>
    <row r="4134" spans="1:3" x14ac:dyDescent="0.25">
      <c r="A4134" s="31"/>
      <c r="B4134" s="30"/>
      <c r="C4134" s="30"/>
    </row>
    <row r="4135" spans="1:3" x14ac:dyDescent="0.25">
      <c r="A4135" s="31"/>
      <c r="B4135" s="30"/>
      <c r="C4135" s="30"/>
    </row>
    <row r="4136" spans="1:3" x14ac:dyDescent="0.25">
      <c r="A4136" s="31"/>
      <c r="B4136" s="30"/>
      <c r="C4136" s="30"/>
    </row>
    <row r="4137" spans="1:3" x14ac:dyDescent="0.25">
      <c r="A4137" s="31"/>
      <c r="B4137" s="30"/>
      <c r="C4137" s="30"/>
    </row>
    <row r="4138" spans="1:3" x14ac:dyDescent="0.25">
      <c r="A4138" s="31"/>
      <c r="B4138" s="30"/>
      <c r="C4138" s="30"/>
    </row>
    <row r="4139" spans="1:3" x14ac:dyDescent="0.25">
      <c r="A4139" s="31"/>
      <c r="B4139" s="30"/>
      <c r="C4139" s="30"/>
    </row>
    <row r="4140" spans="1:3" x14ac:dyDescent="0.25">
      <c r="A4140" s="31"/>
      <c r="B4140" s="30"/>
      <c r="C4140" s="30"/>
    </row>
    <row r="4141" spans="1:3" x14ac:dyDescent="0.25">
      <c r="A4141" s="31"/>
      <c r="B4141" s="30"/>
      <c r="C4141" s="30"/>
    </row>
    <row r="4142" spans="1:3" x14ac:dyDescent="0.25">
      <c r="A4142" s="31"/>
      <c r="B4142" s="30"/>
      <c r="C4142" s="30"/>
    </row>
    <row r="4143" spans="1:3" x14ac:dyDescent="0.25">
      <c r="A4143" s="31"/>
      <c r="B4143" s="30"/>
      <c r="C4143" s="30"/>
    </row>
    <row r="4144" spans="1:3" x14ac:dyDescent="0.25">
      <c r="A4144" s="31"/>
      <c r="B4144" s="30"/>
      <c r="C4144" s="30"/>
    </row>
    <row r="4145" spans="1:3" x14ac:dyDescent="0.25">
      <c r="A4145" s="31"/>
      <c r="B4145" s="30"/>
      <c r="C4145" s="30"/>
    </row>
    <row r="4146" spans="1:3" x14ac:dyDescent="0.25">
      <c r="A4146" s="31"/>
      <c r="B4146" s="30"/>
      <c r="C4146" s="30"/>
    </row>
    <row r="4147" spans="1:3" x14ac:dyDescent="0.25">
      <c r="A4147" s="31"/>
      <c r="B4147" s="30"/>
      <c r="C4147" s="30"/>
    </row>
    <row r="4148" spans="1:3" x14ac:dyDescent="0.25">
      <c r="A4148" s="31"/>
      <c r="B4148" s="30"/>
      <c r="C4148" s="30"/>
    </row>
    <row r="4149" spans="1:3" x14ac:dyDescent="0.25">
      <c r="A4149" s="31"/>
      <c r="B4149" s="30"/>
      <c r="C4149" s="30"/>
    </row>
    <row r="4150" spans="1:3" x14ac:dyDescent="0.25">
      <c r="A4150" s="31"/>
      <c r="B4150" s="30"/>
      <c r="C4150" s="30"/>
    </row>
    <row r="4151" spans="1:3" x14ac:dyDescent="0.25">
      <c r="A4151" s="31"/>
      <c r="B4151" s="30"/>
      <c r="C4151" s="30"/>
    </row>
    <row r="4152" spans="1:3" x14ac:dyDescent="0.25">
      <c r="A4152" s="31"/>
      <c r="B4152" s="30"/>
      <c r="C4152" s="30"/>
    </row>
    <row r="4153" spans="1:3" x14ac:dyDescent="0.25">
      <c r="A4153" s="31"/>
      <c r="B4153" s="30"/>
      <c r="C4153" s="30"/>
    </row>
    <row r="4154" spans="1:3" x14ac:dyDescent="0.25">
      <c r="A4154" s="31"/>
      <c r="B4154" s="30"/>
      <c r="C4154" s="30"/>
    </row>
    <row r="4155" spans="1:3" x14ac:dyDescent="0.25">
      <c r="A4155" s="31"/>
      <c r="B4155" s="30"/>
      <c r="C4155" s="30"/>
    </row>
    <row r="4156" spans="1:3" x14ac:dyDescent="0.25">
      <c r="A4156" s="31"/>
      <c r="B4156" s="30"/>
      <c r="C4156" s="30"/>
    </row>
    <row r="4157" spans="1:3" x14ac:dyDescent="0.25">
      <c r="A4157" s="31"/>
      <c r="B4157" s="30"/>
      <c r="C4157" s="30"/>
    </row>
    <row r="4158" spans="1:3" x14ac:dyDescent="0.25">
      <c r="A4158" s="31"/>
      <c r="B4158" s="30"/>
      <c r="C4158" s="30"/>
    </row>
    <row r="4159" spans="1:3" x14ac:dyDescent="0.25">
      <c r="A4159" s="31"/>
      <c r="B4159" s="30"/>
      <c r="C4159" s="30"/>
    </row>
    <row r="4160" spans="1:3" x14ac:dyDescent="0.25">
      <c r="A4160" s="31"/>
      <c r="B4160" s="30"/>
      <c r="C4160" s="30"/>
    </row>
    <row r="4161" spans="1:3" x14ac:dyDescent="0.25">
      <c r="A4161" s="31"/>
      <c r="B4161" s="30"/>
      <c r="C4161" s="30"/>
    </row>
    <row r="4162" spans="1:3" x14ac:dyDescent="0.25">
      <c r="A4162" s="31"/>
      <c r="B4162" s="30"/>
      <c r="C4162" s="30"/>
    </row>
    <row r="4163" spans="1:3" x14ac:dyDescent="0.25">
      <c r="A4163" s="31"/>
      <c r="B4163" s="30"/>
      <c r="C4163" s="30"/>
    </row>
    <row r="4164" spans="1:3" x14ac:dyDescent="0.25">
      <c r="A4164" s="31"/>
      <c r="B4164" s="30"/>
      <c r="C4164" s="30"/>
    </row>
    <row r="4165" spans="1:3" x14ac:dyDescent="0.25">
      <c r="A4165" s="31"/>
      <c r="B4165" s="30"/>
      <c r="C4165" s="30"/>
    </row>
    <row r="4166" spans="1:3" x14ac:dyDescent="0.25">
      <c r="A4166" s="31"/>
      <c r="B4166" s="30"/>
      <c r="C4166" s="30"/>
    </row>
    <row r="4167" spans="1:3" x14ac:dyDescent="0.25">
      <c r="A4167" s="31"/>
      <c r="B4167" s="30"/>
      <c r="C4167" s="30"/>
    </row>
    <row r="4168" spans="1:3" x14ac:dyDescent="0.25">
      <c r="A4168" s="31"/>
      <c r="B4168" s="30"/>
      <c r="C4168" s="30"/>
    </row>
    <row r="4169" spans="1:3" x14ac:dyDescent="0.25">
      <c r="A4169" s="31"/>
      <c r="B4169" s="30"/>
      <c r="C4169" s="30"/>
    </row>
    <row r="4170" spans="1:3" x14ac:dyDescent="0.25">
      <c r="A4170" s="31"/>
      <c r="B4170" s="30"/>
      <c r="C4170" s="30"/>
    </row>
    <row r="4171" spans="1:3" x14ac:dyDescent="0.25">
      <c r="A4171" s="31"/>
      <c r="B4171" s="30"/>
      <c r="C4171" s="30"/>
    </row>
    <row r="4172" spans="1:3" x14ac:dyDescent="0.25">
      <c r="A4172" s="31"/>
      <c r="B4172" s="30"/>
      <c r="C4172" s="30"/>
    </row>
    <row r="4173" spans="1:3" x14ac:dyDescent="0.25">
      <c r="A4173" s="31"/>
      <c r="B4173" s="30"/>
      <c r="C4173" s="30"/>
    </row>
    <row r="4174" spans="1:3" x14ac:dyDescent="0.25">
      <c r="A4174" s="31"/>
      <c r="B4174" s="30"/>
      <c r="C4174" s="30"/>
    </row>
    <row r="4175" spans="1:3" x14ac:dyDescent="0.25">
      <c r="A4175" s="31"/>
      <c r="B4175" s="30"/>
      <c r="C4175" s="30"/>
    </row>
    <row r="4176" spans="1:3" x14ac:dyDescent="0.25">
      <c r="A4176" s="31"/>
      <c r="B4176" s="30"/>
      <c r="C4176" s="30"/>
    </row>
    <row r="4177" spans="1:3" x14ac:dyDescent="0.25">
      <c r="A4177" s="31"/>
      <c r="B4177" s="30"/>
      <c r="C4177" s="30"/>
    </row>
    <row r="4178" spans="1:3" x14ac:dyDescent="0.25">
      <c r="A4178" s="31"/>
      <c r="B4178" s="30"/>
      <c r="C4178" s="30"/>
    </row>
    <row r="4179" spans="1:3" x14ac:dyDescent="0.25">
      <c r="A4179" s="31"/>
      <c r="B4179" s="30"/>
      <c r="C4179" s="30"/>
    </row>
    <row r="4180" spans="1:3" x14ac:dyDescent="0.25">
      <c r="A4180" s="31"/>
      <c r="B4180" s="30"/>
      <c r="C4180" s="30"/>
    </row>
    <row r="4181" spans="1:3" x14ac:dyDescent="0.25">
      <c r="A4181" s="31"/>
      <c r="B4181" s="30"/>
      <c r="C4181" s="30"/>
    </row>
    <row r="4182" spans="1:3" x14ac:dyDescent="0.25">
      <c r="A4182" s="31"/>
      <c r="B4182" s="30"/>
      <c r="C4182" s="30"/>
    </row>
    <row r="4183" spans="1:3" x14ac:dyDescent="0.25">
      <c r="A4183" s="31"/>
      <c r="B4183" s="30"/>
      <c r="C4183" s="30"/>
    </row>
    <row r="4184" spans="1:3" x14ac:dyDescent="0.25">
      <c r="A4184" s="31"/>
      <c r="B4184" s="30"/>
      <c r="C4184" s="30"/>
    </row>
    <row r="4185" spans="1:3" x14ac:dyDescent="0.25">
      <c r="A4185" s="31"/>
      <c r="B4185" s="30"/>
      <c r="C4185" s="30"/>
    </row>
    <row r="4186" spans="1:3" x14ac:dyDescent="0.25">
      <c r="A4186" s="31"/>
      <c r="B4186" s="30"/>
      <c r="C4186" s="30"/>
    </row>
    <row r="4187" spans="1:3" x14ac:dyDescent="0.25">
      <c r="A4187" s="31"/>
      <c r="B4187" s="30"/>
      <c r="C4187" s="30"/>
    </row>
    <row r="4188" spans="1:3" x14ac:dyDescent="0.25">
      <c r="A4188" s="31"/>
      <c r="B4188" s="30"/>
      <c r="C4188" s="30"/>
    </row>
    <row r="4189" spans="1:3" x14ac:dyDescent="0.25">
      <c r="A4189" s="31"/>
      <c r="B4189" s="30"/>
      <c r="C4189" s="30"/>
    </row>
    <row r="4190" spans="1:3" x14ac:dyDescent="0.25">
      <c r="A4190" s="31"/>
      <c r="B4190" s="30"/>
      <c r="C4190" s="30"/>
    </row>
    <row r="4191" spans="1:3" x14ac:dyDescent="0.25">
      <c r="A4191" s="31"/>
      <c r="B4191" s="30"/>
      <c r="C4191" s="30"/>
    </row>
    <row r="4192" spans="1:3" x14ac:dyDescent="0.25">
      <c r="A4192" s="31"/>
      <c r="B4192" s="30"/>
      <c r="C4192" s="30"/>
    </row>
    <row r="4193" spans="1:3" x14ac:dyDescent="0.25">
      <c r="A4193" s="31"/>
      <c r="B4193" s="30"/>
      <c r="C4193" s="30"/>
    </row>
    <row r="4194" spans="1:3" x14ac:dyDescent="0.25">
      <c r="A4194" s="31"/>
      <c r="B4194" s="30"/>
      <c r="C4194" s="30"/>
    </row>
    <row r="4195" spans="1:3" x14ac:dyDescent="0.25">
      <c r="A4195" s="31"/>
      <c r="B4195" s="30"/>
      <c r="C4195" s="30"/>
    </row>
    <row r="4196" spans="1:3" x14ac:dyDescent="0.25">
      <c r="A4196" s="31"/>
      <c r="B4196" s="30"/>
      <c r="C4196" s="30"/>
    </row>
    <row r="4197" spans="1:3" x14ac:dyDescent="0.25">
      <c r="A4197" s="31"/>
      <c r="B4197" s="30"/>
      <c r="C4197" s="30"/>
    </row>
    <row r="4198" spans="1:3" x14ac:dyDescent="0.25">
      <c r="A4198" s="31"/>
      <c r="B4198" s="30"/>
      <c r="C4198" s="30"/>
    </row>
    <row r="4199" spans="1:3" x14ac:dyDescent="0.25">
      <c r="A4199" s="31"/>
      <c r="B4199" s="30"/>
      <c r="C4199" s="30"/>
    </row>
    <row r="4200" spans="1:3" x14ac:dyDescent="0.25">
      <c r="A4200" s="31"/>
      <c r="B4200" s="30"/>
      <c r="C4200" s="30"/>
    </row>
    <row r="4201" spans="1:3" x14ac:dyDescent="0.25">
      <c r="A4201" s="31"/>
      <c r="B4201" s="30"/>
      <c r="C4201" s="30"/>
    </row>
    <row r="4202" spans="1:3" x14ac:dyDescent="0.25">
      <c r="A4202" s="31"/>
      <c r="B4202" s="30"/>
      <c r="C4202" s="30"/>
    </row>
    <row r="4203" spans="1:3" x14ac:dyDescent="0.25">
      <c r="A4203" s="31"/>
      <c r="B4203" s="30"/>
      <c r="C4203" s="30"/>
    </row>
    <row r="4204" spans="1:3" x14ac:dyDescent="0.25">
      <c r="A4204" s="31"/>
      <c r="B4204" s="30"/>
      <c r="C4204" s="30"/>
    </row>
    <row r="4205" spans="1:3" x14ac:dyDescent="0.25">
      <c r="A4205" s="31"/>
      <c r="B4205" s="30"/>
      <c r="C4205" s="30"/>
    </row>
    <row r="4206" spans="1:3" x14ac:dyDescent="0.25">
      <c r="A4206" s="31"/>
      <c r="B4206" s="30"/>
      <c r="C4206" s="30"/>
    </row>
    <row r="4207" spans="1:3" x14ac:dyDescent="0.25">
      <c r="A4207" s="31"/>
      <c r="B4207" s="30"/>
      <c r="C4207" s="30"/>
    </row>
    <row r="4208" spans="1:3" x14ac:dyDescent="0.25">
      <c r="A4208" s="31"/>
      <c r="B4208" s="30"/>
      <c r="C4208" s="30"/>
    </row>
    <row r="4209" spans="1:3" x14ac:dyDescent="0.25">
      <c r="A4209" s="31"/>
      <c r="B4209" s="30"/>
      <c r="C4209" s="30"/>
    </row>
    <row r="4210" spans="1:3" x14ac:dyDescent="0.25">
      <c r="A4210" s="31"/>
      <c r="B4210" s="30"/>
      <c r="C4210" s="30"/>
    </row>
    <row r="4211" spans="1:3" x14ac:dyDescent="0.25">
      <c r="A4211" s="31"/>
      <c r="B4211" s="30"/>
      <c r="C4211" s="30"/>
    </row>
    <row r="4212" spans="1:3" x14ac:dyDescent="0.25">
      <c r="A4212" s="31"/>
      <c r="B4212" s="30"/>
      <c r="C4212" s="30"/>
    </row>
    <row r="4213" spans="1:3" x14ac:dyDescent="0.25">
      <c r="A4213" s="31"/>
      <c r="B4213" s="30"/>
      <c r="C4213" s="30"/>
    </row>
    <row r="4214" spans="1:3" x14ac:dyDescent="0.25">
      <c r="A4214" s="31"/>
      <c r="B4214" s="30"/>
      <c r="C4214" s="30"/>
    </row>
    <row r="4215" spans="1:3" x14ac:dyDescent="0.25">
      <c r="A4215" s="31"/>
      <c r="B4215" s="30"/>
      <c r="C4215" s="30"/>
    </row>
    <row r="4216" spans="1:3" x14ac:dyDescent="0.25">
      <c r="A4216" s="31"/>
      <c r="B4216" s="30"/>
      <c r="C4216" s="30"/>
    </row>
    <row r="4217" spans="1:3" x14ac:dyDescent="0.25">
      <c r="A4217" s="31"/>
      <c r="B4217" s="30"/>
      <c r="C4217" s="30"/>
    </row>
    <row r="4218" spans="1:3" x14ac:dyDescent="0.25">
      <c r="A4218" s="31"/>
      <c r="B4218" s="30"/>
      <c r="C4218" s="30"/>
    </row>
    <row r="4219" spans="1:3" x14ac:dyDescent="0.25">
      <c r="A4219" s="31"/>
      <c r="B4219" s="30"/>
      <c r="C4219" s="30"/>
    </row>
    <row r="4220" spans="1:3" x14ac:dyDescent="0.25">
      <c r="A4220" s="31"/>
      <c r="B4220" s="30"/>
      <c r="C4220" s="30"/>
    </row>
    <row r="4221" spans="1:3" x14ac:dyDescent="0.25">
      <c r="A4221" s="31"/>
      <c r="B4221" s="30"/>
      <c r="C4221" s="30"/>
    </row>
    <row r="4222" spans="1:3" x14ac:dyDescent="0.25">
      <c r="A4222" s="31"/>
      <c r="B4222" s="30"/>
      <c r="C4222" s="30"/>
    </row>
    <row r="4223" spans="1:3" x14ac:dyDescent="0.25">
      <c r="A4223" s="31"/>
      <c r="B4223" s="30"/>
      <c r="C4223" s="30"/>
    </row>
    <row r="4224" spans="1:3" x14ac:dyDescent="0.25">
      <c r="A4224" s="31"/>
      <c r="B4224" s="30"/>
      <c r="C4224" s="30"/>
    </row>
    <row r="4225" spans="1:3" x14ac:dyDescent="0.25">
      <c r="A4225" s="31"/>
      <c r="B4225" s="30"/>
      <c r="C4225" s="30"/>
    </row>
    <row r="4226" spans="1:3" x14ac:dyDescent="0.25">
      <c r="A4226" s="31"/>
      <c r="B4226" s="30"/>
      <c r="C4226" s="30"/>
    </row>
    <row r="4227" spans="1:3" x14ac:dyDescent="0.25">
      <c r="A4227" s="31"/>
      <c r="B4227" s="30"/>
      <c r="C4227" s="30"/>
    </row>
    <row r="4228" spans="1:3" x14ac:dyDescent="0.25">
      <c r="A4228" s="31"/>
      <c r="B4228" s="30"/>
      <c r="C4228" s="30"/>
    </row>
    <row r="4229" spans="1:3" x14ac:dyDescent="0.25">
      <c r="A4229" s="31"/>
      <c r="B4229" s="30"/>
      <c r="C4229" s="30"/>
    </row>
    <row r="4230" spans="1:3" x14ac:dyDescent="0.25">
      <c r="A4230" s="31"/>
      <c r="B4230" s="30"/>
      <c r="C4230" s="30"/>
    </row>
    <row r="4231" spans="1:3" x14ac:dyDescent="0.25">
      <c r="A4231" s="31"/>
      <c r="B4231" s="30"/>
      <c r="C4231" s="30"/>
    </row>
    <row r="4232" spans="1:3" x14ac:dyDescent="0.25">
      <c r="A4232" s="31"/>
      <c r="B4232" s="30"/>
      <c r="C4232" s="30"/>
    </row>
    <row r="4233" spans="1:3" x14ac:dyDescent="0.25">
      <c r="A4233" s="31"/>
      <c r="B4233" s="30"/>
      <c r="C4233" s="30"/>
    </row>
    <row r="4234" spans="1:3" x14ac:dyDescent="0.25">
      <c r="A4234" s="31"/>
      <c r="B4234" s="30"/>
      <c r="C4234" s="30"/>
    </row>
    <row r="4235" spans="1:3" x14ac:dyDescent="0.25">
      <c r="A4235" s="31"/>
      <c r="B4235" s="30"/>
      <c r="C4235" s="30"/>
    </row>
    <row r="4236" spans="1:3" x14ac:dyDescent="0.25">
      <c r="A4236" s="31"/>
      <c r="B4236" s="30"/>
      <c r="C4236" s="30"/>
    </row>
    <row r="4237" spans="1:3" x14ac:dyDescent="0.25">
      <c r="A4237" s="31"/>
      <c r="B4237" s="30"/>
      <c r="C4237" s="30"/>
    </row>
    <row r="4238" spans="1:3" x14ac:dyDescent="0.25">
      <c r="A4238" s="31"/>
      <c r="B4238" s="30"/>
      <c r="C4238" s="30"/>
    </row>
    <row r="4239" spans="1:3" x14ac:dyDescent="0.25">
      <c r="A4239" s="31"/>
      <c r="B4239" s="30"/>
      <c r="C4239" s="30"/>
    </row>
    <row r="4240" spans="1:3" x14ac:dyDescent="0.25">
      <c r="A4240" s="31"/>
      <c r="B4240" s="30"/>
      <c r="C4240" s="30"/>
    </row>
    <row r="4241" spans="1:3" x14ac:dyDescent="0.25">
      <c r="A4241" s="31"/>
      <c r="B4241" s="30"/>
      <c r="C4241" s="30"/>
    </row>
    <row r="4242" spans="1:3" x14ac:dyDescent="0.25">
      <c r="A4242" s="31"/>
      <c r="B4242" s="30"/>
      <c r="C4242" s="30"/>
    </row>
    <row r="4243" spans="1:3" x14ac:dyDescent="0.25">
      <c r="A4243" s="31"/>
      <c r="B4243" s="30"/>
      <c r="C4243" s="30"/>
    </row>
    <row r="4244" spans="1:3" x14ac:dyDescent="0.25">
      <c r="A4244" s="31"/>
      <c r="B4244" s="30"/>
      <c r="C4244" s="30"/>
    </row>
    <row r="4245" spans="1:3" x14ac:dyDescent="0.25">
      <c r="A4245" s="31"/>
      <c r="B4245" s="30"/>
      <c r="C4245" s="30"/>
    </row>
    <row r="4246" spans="1:3" x14ac:dyDescent="0.25">
      <c r="A4246" s="31"/>
      <c r="B4246" s="30"/>
      <c r="C4246" s="30"/>
    </row>
    <row r="4247" spans="1:3" x14ac:dyDescent="0.25">
      <c r="A4247" s="31"/>
      <c r="B4247" s="30"/>
      <c r="C4247" s="30"/>
    </row>
    <row r="4248" spans="1:3" x14ac:dyDescent="0.25">
      <c r="A4248" s="31"/>
      <c r="B4248" s="30"/>
      <c r="C4248" s="30"/>
    </row>
    <row r="4249" spans="1:3" x14ac:dyDescent="0.25">
      <c r="A4249" s="31"/>
      <c r="B4249" s="30"/>
      <c r="C4249" s="30"/>
    </row>
    <row r="4250" spans="1:3" x14ac:dyDescent="0.25">
      <c r="A4250" s="31"/>
      <c r="B4250" s="30"/>
      <c r="C4250" s="30"/>
    </row>
    <row r="4251" spans="1:3" x14ac:dyDescent="0.25">
      <c r="A4251" s="31"/>
      <c r="B4251" s="30"/>
      <c r="C4251" s="30"/>
    </row>
    <row r="4252" spans="1:3" x14ac:dyDescent="0.25">
      <c r="A4252" s="31"/>
      <c r="B4252" s="30"/>
      <c r="C4252" s="30"/>
    </row>
    <row r="4253" spans="1:3" x14ac:dyDescent="0.25">
      <c r="A4253" s="31"/>
      <c r="B4253" s="30"/>
      <c r="C4253" s="30"/>
    </row>
    <row r="4254" spans="1:3" x14ac:dyDescent="0.25">
      <c r="A4254" s="31"/>
      <c r="B4254" s="30"/>
      <c r="C4254" s="30"/>
    </row>
    <row r="4255" spans="1:3" x14ac:dyDescent="0.25">
      <c r="A4255" s="31"/>
      <c r="B4255" s="30"/>
      <c r="C4255" s="30"/>
    </row>
    <row r="4256" spans="1:3" x14ac:dyDescent="0.25">
      <c r="A4256" s="31"/>
      <c r="B4256" s="30"/>
      <c r="C4256" s="30"/>
    </row>
    <row r="4257" spans="1:3" x14ac:dyDescent="0.25">
      <c r="A4257" s="31"/>
      <c r="B4257" s="30"/>
      <c r="C4257" s="30"/>
    </row>
    <row r="4258" spans="1:3" x14ac:dyDescent="0.25">
      <c r="A4258" s="31"/>
      <c r="B4258" s="30"/>
      <c r="C4258" s="30"/>
    </row>
    <row r="4259" spans="1:3" x14ac:dyDescent="0.25">
      <c r="A4259" s="31"/>
      <c r="B4259" s="30"/>
      <c r="C4259" s="30"/>
    </row>
    <row r="4260" spans="1:3" x14ac:dyDescent="0.25">
      <c r="A4260" s="31"/>
      <c r="B4260" s="30"/>
      <c r="C4260" s="30"/>
    </row>
    <row r="4261" spans="1:3" x14ac:dyDescent="0.25">
      <c r="A4261" s="31"/>
      <c r="B4261" s="30"/>
      <c r="C4261" s="30"/>
    </row>
    <row r="4262" spans="1:3" x14ac:dyDescent="0.25">
      <c r="A4262" s="31"/>
      <c r="B4262" s="30"/>
      <c r="C4262" s="30"/>
    </row>
    <row r="4263" spans="1:3" x14ac:dyDescent="0.25">
      <c r="A4263" s="31"/>
      <c r="B4263" s="30"/>
      <c r="C4263" s="30"/>
    </row>
    <row r="4264" spans="1:3" x14ac:dyDescent="0.25">
      <c r="A4264" s="31"/>
      <c r="B4264" s="30"/>
      <c r="C4264" s="30"/>
    </row>
    <row r="4265" spans="1:3" x14ac:dyDescent="0.25">
      <c r="A4265" s="31"/>
      <c r="B4265" s="30"/>
      <c r="C4265" s="30"/>
    </row>
    <row r="4266" spans="1:3" x14ac:dyDescent="0.25">
      <c r="A4266" s="31"/>
      <c r="B4266" s="30"/>
      <c r="C4266" s="30"/>
    </row>
    <row r="4267" spans="1:3" x14ac:dyDescent="0.25">
      <c r="A4267" s="31"/>
      <c r="B4267" s="30"/>
      <c r="C4267" s="30"/>
    </row>
    <row r="4268" spans="1:3" x14ac:dyDescent="0.25">
      <c r="A4268" s="31"/>
      <c r="B4268" s="30"/>
      <c r="C4268" s="30"/>
    </row>
    <row r="4269" spans="1:3" x14ac:dyDescent="0.25">
      <c r="A4269" s="31"/>
      <c r="B4269" s="30"/>
      <c r="C4269" s="30"/>
    </row>
    <row r="4270" spans="1:3" x14ac:dyDescent="0.25">
      <c r="A4270" s="31"/>
      <c r="B4270" s="30"/>
      <c r="C4270" s="30"/>
    </row>
    <row r="4271" spans="1:3" x14ac:dyDescent="0.25">
      <c r="A4271" s="31"/>
      <c r="B4271" s="30"/>
      <c r="C4271" s="30"/>
    </row>
    <row r="4272" spans="1:3" x14ac:dyDescent="0.25">
      <c r="A4272" s="31"/>
      <c r="B4272" s="30"/>
      <c r="C4272" s="30"/>
    </row>
    <row r="4273" spans="1:3" x14ac:dyDescent="0.25">
      <c r="A4273" s="31"/>
      <c r="B4273" s="30"/>
      <c r="C4273" s="30"/>
    </row>
    <row r="4274" spans="1:3" x14ac:dyDescent="0.25">
      <c r="A4274" s="31"/>
      <c r="B4274" s="30"/>
      <c r="C4274" s="30"/>
    </row>
    <row r="4275" spans="1:3" x14ac:dyDescent="0.25">
      <c r="A4275" s="31"/>
      <c r="B4275" s="30"/>
      <c r="C4275" s="30"/>
    </row>
    <row r="4276" spans="1:3" x14ac:dyDescent="0.25">
      <c r="A4276" s="31"/>
      <c r="B4276" s="30"/>
      <c r="C4276" s="30"/>
    </row>
    <row r="4277" spans="1:3" x14ac:dyDescent="0.25">
      <c r="A4277" s="31"/>
      <c r="B4277" s="30"/>
      <c r="C4277" s="30"/>
    </row>
    <row r="4278" spans="1:3" x14ac:dyDescent="0.25">
      <c r="A4278" s="31"/>
      <c r="B4278" s="30"/>
      <c r="C4278" s="30"/>
    </row>
    <row r="4279" spans="1:3" x14ac:dyDescent="0.25">
      <c r="A4279" s="31"/>
      <c r="B4279" s="30"/>
      <c r="C4279" s="30"/>
    </row>
    <row r="4280" spans="1:3" x14ac:dyDescent="0.25">
      <c r="A4280" s="31"/>
      <c r="B4280" s="30"/>
      <c r="C4280" s="30"/>
    </row>
    <row r="4281" spans="1:3" x14ac:dyDescent="0.25">
      <c r="A4281" s="31"/>
      <c r="B4281" s="30"/>
      <c r="C4281" s="30"/>
    </row>
    <row r="4282" spans="1:3" x14ac:dyDescent="0.25">
      <c r="A4282" s="31"/>
      <c r="B4282" s="30"/>
      <c r="C4282" s="30"/>
    </row>
    <row r="4283" spans="1:3" x14ac:dyDescent="0.25">
      <c r="A4283" s="31"/>
      <c r="B4283" s="30"/>
      <c r="C4283" s="30"/>
    </row>
    <row r="4284" spans="1:3" x14ac:dyDescent="0.25">
      <c r="A4284" s="31"/>
      <c r="B4284" s="30"/>
      <c r="C4284" s="30"/>
    </row>
    <row r="4285" spans="1:3" x14ac:dyDescent="0.25">
      <c r="A4285" s="31"/>
      <c r="B4285" s="30"/>
      <c r="C4285" s="30"/>
    </row>
    <row r="4286" spans="1:3" x14ac:dyDescent="0.25">
      <c r="A4286" s="31"/>
      <c r="B4286" s="30"/>
      <c r="C4286" s="30"/>
    </row>
    <row r="4287" spans="1:3" x14ac:dyDescent="0.25">
      <c r="A4287" s="31"/>
      <c r="B4287" s="30"/>
      <c r="C4287" s="30"/>
    </row>
    <row r="4288" spans="1:3" x14ac:dyDescent="0.25">
      <c r="A4288" s="31"/>
      <c r="B4288" s="30"/>
      <c r="C4288" s="30"/>
    </row>
    <row r="4289" spans="1:3" x14ac:dyDescent="0.25">
      <c r="A4289" s="31"/>
      <c r="B4289" s="30"/>
      <c r="C4289" s="30"/>
    </row>
    <row r="4290" spans="1:3" x14ac:dyDescent="0.25">
      <c r="A4290" s="31"/>
      <c r="B4290" s="30"/>
      <c r="C4290" s="30"/>
    </row>
    <row r="4291" spans="1:3" x14ac:dyDescent="0.25">
      <c r="A4291" s="31"/>
      <c r="B4291" s="30"/>
      <c r="C4291" s="30"/>
    </row>
    <row r="4292" spans="1:3" x14ac:dyDescent="0.25">
      <c r="A4292" s="31"/>
      <c r="B4292" s="30"/>
      <c r="C4292" s="30"/>
    </row>
    <row r="4293" spans="1:3" x14ac:dyDescent="0.25">
      <c r="A4293" s="31"/>
      <c r="B4293" s="30"/>
      <c r="C4293" s="30"/>
    </row>
    <row r="4294" spans="1:3" x14ac:dyDescent="0.25">
      <c r="A4294" s="31"/>
      <c r="B4294" s="30"/>
      <c r="C4294" s="30"/>
    </row>
    <row r="4295" spans="1:3" x14ac:dyDescent="0.25">
      <c r="A4295" s="31"/>
      <c r="B4295" s="30"/>
      <c r="C4295" s="30"/>
    </row>
    <row r="4296" spans="1:3" x14ac:dyDescent="0.25">
      <c r="A4296" s="31"/>
      <c r="B4296" s="30"/>
      <c r="C4296" s="30"/>
    </row>
    <row r="4297" spans="1:3" x14ac:dyDescent="0.25">
      <c r="A4297" s="31"/>
      <c r="B4297" s="30"/>
      <c r="C4297" s="30"/>
    </row>
    <row r="4298" spans="1:3" x14ac:dyDescent="0.25">
      <c r="A4298" s="31"/>
      <c r="B4298" s="30"/>
      <c r="C4298" s="30"/>
    </row>
    <row r="4299" spans="1:3" x14ac:dyDescent="0.25">
      <c r="A4299" s="31"/>
      <c r="B4299" s="30"/>
      <c r="C4299" s="30"/>
    </row>
    <row r="4300" spans="1:3" x14ac:dyDescent="0.25">
      <c r="A4300" s="31"/>
      <c r="B4300" s="30"/>
      <c r="C4300" s="30"/>
    </row>
    <row r="4301" spans="1:3" x14ac:dyDescent="0.25">
      <c r="A4301" s="31"/>
      <c r="B4301" s="30"/>
      <c r="C4301" s="30"/>
    </row>
    <row r="4302" spans="1:3" x14ac:dyDescent="0.25">
      <c r="A4302" s="31"/>
      <c r="B4302" s="30"/>
      <c r="C4302" s="30"/>
    </row>
    <row r="4303" spans="1:3" x14ac:dyDescent="0.25">
      <c r="A4303" s="31"/>
      <c r="B4303" s="30"/>
      <c r="C4303" s="30"/>
    </row>
    <row r="4304" spans="1:3" x14ac:dyDescent="0.25">
      <c r="A4304" s="31"/>
      <c r="B4304" s="30"/>
      <c r="C4304" s="30"/>
    </row>
    <row r="4305" spans="1:3" x14ac:dyDescent="0.25">
      <c r="A4305" s="31"/>
      <c r="B4305" s="30"/>
      <c r="C4305" s="30"/>
    </row>
    <row r="4306" spans="1:3" x14ac:dyDescent="0.25">
      <c r="A4306" s="31"/>
      <c r="B4306" s="30"/>
      <c r="C4306" s="30"/>
    </row>
    <row r="4307" spans="1:3" x14ac:dyDescent="0.25">
      <c r="A4307" s="31"/>
      <c r="B4307" s="30"/>
      <c r="C4307" s="30"/>
    </row>
    <row r="4308" spans="1:3" x14ac:dyDescent="0.25">
      <c r="A4308" s="31"/>
      <c r="B4308" s="30"/>
      <c r="C4308" s="30"/>
    </row>
    <row r="4309" spans="1:3" x14ac:dyDescent="0.25">
      <c r="A4309" s="31"/>
      <c r="B4309" s="30"/>
      <c r="C4309" s="30"/>
    </row>
    <row r="4310" spans="1:3" x14ac:dyDescent="0.25">
      <c r="A4310" s="31"/>
      <c r="B4310" s="30"/>
      <c r="C4310" s="30"/>
    </row>
    <row r="4311" spans="1:3" x14ac:dyDescent="0.25">
      <c r="A4311" s="31"/>
      <c r="B4311" s="30"/>
      <c r="C4311" s="30"/>
    </row>
    <row r="4312" spans="1:3" x14ac:dyDescent="0.25">
      <c r="A4312" s="31"/>
      <c r="B4312" s="30"/>
      <c r="C4312" s="30"/>
    </row>
    <row r="4313" spans="1:3" x14ac:dyDescent="0.25">
      <c r="A4313" s="31"/>
      <c r="B4313" s="30"/>
      <c r="C4313" s="30"/>
    </row>
    <row r="4314" spans="1:3" x14ac:dyDescent="0.25">
      <c r="A4314" s="31"/>
      <c r="B4314" s="30"/>
      <c r="C4314" s="30"/>
    </row>
    <row r="4315" spans="1:3" x14ac:dyDescent="0.25">
      <c r="A4315" s="31"/>
      <c r="B4315" s="30"/>
      <c r="C4315" s="30"/>
    </row>
    <row r="4316" spans="1:3" x14ac:dyDescent="0.25">
      <c r="A4316" s="31"/>
      <c r="B4316" s="30"/>
      <c r="C4316" s="30"/>
    </row>
    <row r="4317" spans="1:3" x14ac:dyDescent="0.25">
      <c r="A4317" s="31"/>
      <c r="B4317" s="30"/>
      <c r="C4317" s="30"/>
    </row>
    <row r="4318" spans="1:3" x14ac:dyDescent="0.25">
      <c r="A4318" s="31"/>
      <c r="B4318" s="30"/>
      <c r="C4318" s="30"/>
    </row>
    <row r="4319" spans="1:3" x14ac:dyDescent="0.25">
      <c r="A4319" s="31"/>
      <c r="B4319" s="30"/>
      <c r="C4319" s="30"/>
    </row>
    <row r="4320" spans="1:3" x14ac:dyDescent="0.25">
      <c r="A4320" s="31"/>
      <c r="B4320" s="30"/>
      <c r="C4320" s="30"/>
    </row>
    <row r="4321" spans="1:3" x14ac:dyDescent="0.25">
      <c r="A4321" s="31"/>
      <c r="B4321" s="30"/>
      <c r="C4321" s="30"/>
    </row>
    <row r="4322" spans="1:3" x14ac:dyDescent="0.25">
      <c r="A4322" s="31"/>
      <c r="B4322" s="30"/>
      <c r="C4322" s="30"/>
    </row>
    <row r="4323" spans="1:3" x14ac:dyDescent="0.25">
      <c r="A4323" s="31"/>
      <c r="B4323" s="30"/>
      <c r="C4323" s="30"/>
    </row>
    <row r="4324" spans="1:3" x14ac:dyDescent="0.25">
      <c r="A4324" s="31"/>
      <c r="B4324" s="30"/>
      <c r="C4324" s="30"/>
    </row>
    <row r="4325" spans="1:3" x14ac:dyDescent="0.25">
      <c r="A4325" s="31"/>
      <c r="B4325" s="30"/>
      <c r="C4325" s="30"/>
    </row>
    <row r="4326" spans="1:3" x14ac:dyDescent="0.25">
      <c r="A4326" s="31"/>
      <c r="B4326" s="30"/>
      <c r="C4326" s="30"/>
    </row>
    <row r="4327" spans="1:3" x14ac:dyDescent="0.25">
      <c r="A4327" s="31"/>
      <c r="B4327" s="30"/>
      <c r="C4327" s="30"/>
    </row>
    <row r="4328" spans="1:3" x14ac:dyDescent="0.25">
      <c r="A4328" s="31"/>
      <c r="B4328" s="30"/>
      <c r="C4328" s="30"/>
    </row>
    <row r="4329" spans="1:3" x14ac:dyDescent="0.25">
      <c r="A4329" s="31"/>
      <c r="B4329" s="30"/>
      <c r="C4329" s="30"/>
    </row>
    <row r="4330" spans="1:3" x14ac:dyDescent="0.25">
      <c r="A4330" s="31"/>
      <c r="B4330" s="30"/>
      <c r="C4330" s="30"/>
    </row>
    <row r="4331" spans="1:3" x14ac:dyDescent="0.25">
      <c r="A4331" s="31"/>
      <c r="B4331" s="30"/>
      <c r="C4331" s="30"/>
    </row>
    <row r="4332" spans="1:3" x14ac:dyDescent="0.25">
      <c r="A4332" s="31"/>
      <c r="B4332" s="30"/>
      <c r="C4332" s="30"/>
    </row>
    <row r="4333" spans="1:3" x14ac:dyDescent="0.25">
      <c r="A4333" s="31"/>
      <c r="B4333" s="30"/>
      <c r="C4333" s="30"/>
    </row>
    <row r="4334" spans="1:3" x14ac:dyDescent="0.25">
      <c r="A4334" s="31"/>
      <c r="B4334" s="30"/>
      <c r="C4334" s="30"/>
    </row>
    <row r="4335" spans="1:3" x14ac:dyDescent="0.25">
      <c r="A4335" s="31"/>
      <c r="B4335" s="30"/>
      <c r="C4335" s="30"/>
    </row>
    <row r="4336" spans="1:3" x14ac:dyDescent="0.25">
      <c r="A4336" s="31"/>
      <c r="B4336" s="30"/>
      <c r="C4336" s="30"/>
    </row>
    <row r="4337" spans="1:3" x14ac:dyDescent="0.25">
      <c r="A4337" s="31"/>
      <c r="B4337" s="30"/>
      <c r="C4337" s="30"/>
    </row>
    <row r="4338" spans="1:3" x14ac:dyDescent="0.25">
      <c r="A4338" s="31"/>
      <c r="B4338" s="30"/>
      <c r="C4338" s="30"/>
    </row>
    <row r="4339" spans="1:3" x14ac:dyDescent="0.25">
      <c r="A4339" s="31"/>
      <c r="B4339" s="30"/>
      <c r="C4339" s="30"/>
    </row>
    <row r="4340" spans="1:3" x14ac:dyDescent="0.25">
      <c r="A4340" s="31"/>
      <c r="B4340" s="30"/>
      <c r="C4340" s="30"/>
    </row>
    <row r="4341" spans="1:3" x14ac:dyDescent="0.25">
      <c r="A4341" s="31"/>
      <c r="B4341" s="30"/>
      <c r="C4341" s="30"/>
    </row>
    <row r="4342" spans="1:3" x14ac:dyDescent="0.25">
      <c r="A4342" s="31"/>
      <c r="B4342" s="30"/>
      <c r="C4342" s="30"/>
    </row>
    <row r="4343" spans="1:3" x14ac:dyDescent="0.25">
      <c r="A4343" s="31"/>
      <c r="B4343" s="30"/>
      <c r="C4343" s="30"/>
    </row>
    <row r="4344" spans="1:3" x14ac:dyDescent="0.25">
      <c r="A4344" s="31"/>
      <c r="B4344" s="30"/>
      <c r="C4344" s="30"/>
    </row>
    <row r="4345" spans="1:3" x14ac:dyDescent="0.25">
      <c r="A4345" s="31"/>
      <c r="B4345" s="30"/>
      <c r="C4345" s="30"/>
    </row>
    <row r="4346" spans="1:3" x14ac:dyDescent="0.25">
      <c r="A4346" s="31"/>
      <c r="B4346" s="30"/>
      <c r="C4346" s="30"/>
    </row>
    <row r="4347" spans="1:3" x14ac:dyDescent="0.25">
      <c r="A4347" s="31"/>
      <c r="B4347" s="30"/>
      <c r="C4347" s="30"/>
    </row>
    <row r="4348" spans="1:3" x14ac:dyDescent="0.25">
      <c r="A4348" s="31"/>
      <c r="B4348" s="30"/>
      <c r="C4348" s="30"/>
    </row>
    <row r="4349" spans="1:3" x14ac:dyDescent="0.25">
      <c r="A4349" s="31"/>
      <c r="B4349" s="30"/>
      <c r="C4349" s="30"/>
    </row>
    <row r="4350" spans="1:3" x14ac:dyDescent="0.25">
      <c r="A4350" s="31"/>
      <c r="B4350" s="30"/>
      <c r="C4350" s="30"/>
    </row>
    <row r="4351" spans="1:3" x14ac:dyDescent="0.25">
      <c r="A4351" s="31"/>
      <c r="B4351" s="30"/>
      <c r="C4351" s="30"/>
    </row>
    <row r="4352" spans="1:3" x14ac:dyDescent="0.25">
      <c r="A4352" s="31"/>
      <c r="B4352" s="30"/>
      <c r="C4352" s="30"/>
    </row>
    <row r="4353" spans="1:3" x14ac:dyDescent="0.25">
      <c r="A4353" s="31"/>
      <c r="B4353" s="30"/>
      <c r="C4353" s="30"/>
    </row>
    <row r="4354" spans="1:3" x14ac:dyDescent="0.25">
      <c r="A4354" s="31"/>
      <c r="B4354" s="30"/>
      <c r="C4354" s="30"/>
    </row>
    <row r="4355" spans="1:3" x14ac:dyDescent="0.25">
      <c r="A4355" s="31"/>
      <c r="B4355" s="30"/>
      <c r="C4355" s="30"/>
    </row>
    <row r="4356" spans="1:3" x14ac:dyDescent="0.25">
      <c r="A4356" s="31"/>
      <c r="B4356" s="30"/>
      <c r="C4356" s="30"/>
    </row>
    <row r="4357" spans="1:3" x14ac:dyDescent="0.25">
      <c r="A4357" s="31"/>
      <c r="B4357" s="30"/>
      <c r="C4357" s="30"/>
    </row>
    <row r="4358" spans="1:3" x14ac:dyDescent="0.25">
      <c r="A4358" s="31"/>
      <c r="B4358" s="30"/>
      <c r="C4358" s="30"/>
    </row>
    <row r="4359" spans="1:3" x14ac:dyDescent="0.25">
      <c r="A4359" s="31"/>
      <c r="B4359" s="30"/>
      <c r="C4359" s="30"/>
    </row>
    <row r="4360" spans="1:3" x14ac:dyDescent="0.25">
      <c r="A4360" s="31"/>
      <c r="B4360" s="30"/>
      <c r="C4360" s="30"/>
    </row>
    <row r="4361" spans="1:3" x14ac:dyDescent="0.25">
      <c r="A4361" s="31"/>
      <c r="B4361" s="30"/>
      <c r="C4361" s="30"/>
    </row>
    <row r="4362" spans="1:3" x14ac:dyDescent="0.25">
      <c r="A4362" s="31"/>
      <c r="B4362" s="30"/>
      <c r="C4362" s="30"/>
    </row>
    <row r="4363" spans="1:3" x14ac:dyDescent="0.25">
      <c r="A4363" s="31"/>
      <c r="B4363" s="30"/>
      <c r="C4363" s="30"/>
    </row>
    <row r="4364" spans="1:3" x14ac:dyDescent="0.25">
      <c r="A4364" s="31"/>
      <c r="B4364" s="30"/>
      <c r="C4364" s="30"/>
    </row>
    <row r="4365" spans="1:3" x14ac:dyDescent="0.25">
      <c r="A4365" s="31"/>
      <c r="B4365" s="30"/>
      <c r="C4365" s="30"/>
    </row>
    <row r="4366" spans="1:3" x14ac:dyDescent="0.25">
      <c r="A4366" s="31"/>
      <c r="B4366" s="30"/>
      <c r="C4366" s="30"/>
    </row>
    <row r="4367" spans="1:3" x14ac:dyDescent="0.25">
      <c r="A4367" s="31"/>
      <c r="B4367" s="30"/>
      <c r="C4367" s="30"/>
    </row>
    <row r="4368" spans="1:3" x14ac:dyDescent="0.25">
      <c r="A4368" s="31"/>
      <c r="B4368" s="30"/>
      <c r="C4368" s="30"/>
    </row>
    <row r="4369" spans="1:3" x14ac:dyDescent="0.25">
      <c r="A4369" s="31"/>
      <c r="B4369" s="30"/>
      <c r="C4369" s="30"/>
    </row>
    <row r="4370" spans="1:3" x14ac:dyDescent="0.25">
      <c r="A4370" s="31"/>
      <c r="B4370" s="30"/>
      <c r="C4370" s="30"/>
    </row>
    <row r="4371" spans="1:3" x14ac:dyDescent="0.25">
      <c r="A4371" s="31"/>
      <c r="B4371" s="30"/>
      <c r="C4371" s="30"/>
    </row>
    <row r="4372" spans="1:3" x14ac:dyDescent="0.25">
      <c r="A4372" s="31"/>
      <c r="B4372" s="30"/>
      <c r="C4372" s="30"/>
    </row>
    <row r="4373" spans="1:3" x14ac:dyDescent="0.25">
      <c r="A4373" s="31"/>
      <c r="B4373" s="30"/>
      <c r="C4373" s="30"/>
    </row>
    <row r="4374" spans="1:3" x14ac:dyDescent="0.25">
      <c r="A4374" s="31"/>
      <c r="B4374" s="30"/>
      <c r="C4374" s="30"/>
    </row>
    <row r="4375" spans="1:3" x14ac:dyDescent="0.25">
      <c r="A4375" s="31"/>
      <c r="B4375" s="30"/>
      <c r="C4375" s="30"/>
    </row>
    <row r="4376" spans="1:3" x14ac:dyDescent="0.25">
      <c r="A4376" s="31"/>
      <c r="B4376" s="30"/>
      <c r="C4376" s="30"/>
    </row>
    <row r="4377" spans="1:3" x14ac:dyDescent="0.25">
      <c r="A4377" s="31"/>
      <c r="B4377" s="30"/>
      <c r="C4377" s="30"/>
    </row>
    <row r="4378" spans="1:3" x14ac:dyDescent="0.25">
      <c r="A4378" s="31"/>
      <c r="B4378" s="30"/>
      <c r="C4378" s="30"/>
    </row>
    <row r="4379" spans="1:3" x14ac:dyDescent="0.25">
      <c r="A4379" s="31"/>
      <c r="B4379" s="30"/>
      <c r="C4379" s="30"/>
    </row>
    <row r="4380" spans="1:3" x14ac:dyDescent="0.25">
      <c r="A4380" s="31"/>
      <c r="B4380" s="30"/>
      <c r="C4380" s="30"/>
    </row>
    <row r="4381" spans="1:3" x14ac:dyDescent="0.25">
      <c r="A4381" s="31"/>
      <c r="B4381" s="30"/>
      <c r="C4381" s="30"/>
    </row>
    <row r="4382" spans="1:3" x14ac:dyDescent="0.25">
      <c r="A4382" s="31"/>
      <c r="B4382" s="30"/>
      <c r="C4382" s="30"/>
    </row>
    <row r="4383" spans="1:3" x14ac:dyDescent="0.25">
      <c r="A4383" s="31"/>
      <c r="B4383" s="30"/>
      <c r="C4383" s="30"/>
    </row>
    <row r="4384" spans="1:3" x14ac:dyDescent="0.25">
      <c r="A4384" s="31"/>
      <c r="B4384" s="30"/>
      <c r="C4384" s="30"/>
    </row>
    <row r="4385" spans="1:3" x14ac:dyDescent="0.25">
      <c r="A4385" s="31"/>
      <c r="B4385" s="30"/>
      <c r="C4385" s="30"/>
    </row>
    <row r="4386" spans="1:3" x14ac:dyDescent="0.25">
      <c r="A4386" s="31"/>
      <c r="B4386" s="30"/>
      <c r="C4386" s="30"/>
    </row>
    <row r="4387" spans="1:3" x14ac:dyDescent="0.25">
      <c r="A4387" s="31"/>
      <c r="B4387" s="30"/>
      <c r="C4387" s="30"/>
    </row>
    <row r="4388" spans="1:3" x14ac:dyDescent="0.25">
      <c r="A4388" s="31"/>
      <c r="B4388" s="30"/>
      <c r="C4388" s="30"/>
    </row>
    <row r="4389" spans="1:3" x14ac:dyDescent="0.25">
      <c r="A4389" s="31"/>
      <c r="B4389" s="30"/>
      <c r="C4389" s="30"/>
    </row>
    <row r="4390" spans="1:3" x14ac:dyDescent="0.25">
      <c r="A4390" s="31"/>
      <c r="B4390" s="30"/>
      <c r="C4390" s="30"/>
    </row>
    <row r="4391" spans="1:3" x14ac:dyDescent="0.25">
      <c r="A4391" s="31"/>
      <c r="B4391" s="30"/>
      <c r="C4391" s="30"/>
    </row>
    <row r="4392" spans="1:3" x14ac:dyDescent="0.25">
      <c r="A4392" s="31"/>
      <c r="B4392" s="30"/>
      <c r="C4392" s="30"/>
    </row>
    <row r="4393" spans="1:3" x14ac:dyDescent="0.25">
      <c r="A4393" s="31"/>
      <c r="B4393" s="30"/>
      <c r="C4393" s="30"/>
    </row>
    <row r="4394" spans="1:3" x14ac:dyDescent="0.25">
      <c r="A4394" s="31"/>
      <c r="B4394" s="30"/>
      <c r="C4394" s="30"/>
    </row>
    <row r="4395" spans="1:3" x14ac:dyDescent="0.25">
      <c r="A4395" s="31"/>
      <c r="B4395" s="30"/>
      <c r="C4395" s="30"/>
    </row>
    <row r="4396" spans="1:3" x14ac:dyDescent="0.25">
      <c r="A4396" s="31"/>
      <c r="B4396" s="30"/>
      <c r="C4396" s="30"/>
    </row>
    <row r="4397" spans="1:3" x14ac:dyDescent="0.25">
      <c r="A4397" s="31"/>
      <c r="B4397" s="30"/>
      <c r="C4397" s="30"/>
    </row>
    <row r="4398" spans="1:3" x14ac:dyDescent="0.25">
      <c r="A4398" s="31"/>
      <c r="B4398" s="30"/>
      <c r="C4398" s="30"/>
    </row>
    <row r="4399" spans="1:3" x14ac:dyDescent="0.25">
      <c r="A4399" s="31"/>
      <c r="B4399" s="30"/>
      <c r="C4399" s="30"/>
    </row>
    <row r="4400" spans="1:3" x14ac:dyDescent="0.25">
      <c r="A4400" s="31"/>
      <c r="B4400" s="30"/>
      <c r="C4400" s="30"/>
    </row>
    <row r="4401" spans="1:3" x14ac:dyDescent="0.25">
      <c r="A4401" s="31"/>
      <c r="B4401" s="30"/>
      <c r="C4401" s="30"/>
    </row>
    <row r="4402" spans="1:3" x14ac:dyDescent="0.25">
      <c r="A4402" s="31"/>
      <c r="B4402" s="30"/>
      <c r="C4402" s="30"/>
    </row>
    <row r="4403" spans="1:3" x14ac:dyDescent="0.25">
      <c r="A4403" s="31"/>
      <c r="B4403" s="30"/>
      <c r="C4403" s="30"/>
    </row>
    <row r="4404" spans="1:3" x14ac:dyDescent="0.25">
      <c r="A4404" s="31"/>
      <c r="B4404" s="30"/>
      <c r="C4404" s="30"/>
    </row>
    <row r="4405" spans="1:3" x14ac:dyDescent="0.25">
      <c r="A4405" s="31"/>
      <c r="B4405" s="30"/>
      <c r="C4405" s="30"/>
    </row>
    <row r="4406" spans="1:3" x14ac:dyDescent="0.25">
      <c r="A4406" s="31"/>
      <c r="B4406" s="30"/>
      <c r="C4406" s="30"/>
    </row>
    <row r="4407" spans="1:3" x14ac:dyDescent="0.25">
      <c r="A4407" s="31"/>
      <c r="B4407" s="30"/>
      <c r="C4407" s="30"/>
    </row>
    <row r="4408" spans="1:3" x14ac:dyDescent="0.25">
      <c r="A4408" s="31"/>
      <c r="B4408" s="30"/>
      <c r="C4408" s="30"/>
    </row>
    <row r="4409" spans="1:3" x14ac:dyDescent="0.25">
      <c r="A4409" s="31"/>
      <c r="B4409" s="30"/>
      <c r="C4409" s="30"/>
    </row>
    <row r="4410" spans="1:3" x14ac:dyDescent="0.25">
      <c r="A4410" s="31"/>
      <c r="B4410" s="30"/>
      <c r="C4410" s="30"/>
    </row>
    <row r="4411" spans="1:3" x14ac:dyDescent="0.25">
      <c r="A4411" s="31"/>
      <c r="B4411" s="30"/>
      <c r="C4411" s="30"/>
    </row>
    <row r="4412" spans="1:3" x14ac:dyDescent="0.25">
      <c r="A4412" s="31"/>
      <c r="B4412" s="30"/>
      <c r="C4412" s="30"/>
    </row>
    <row r="4413" spans="1:3" x14ac:dyDescent="0.25">
      <c r="A4413" s="31"/>
      <c r="B4413" s="30"/>
      <c r="C4413" s="30"/>
    </row>
    <row r="4414" spans="1:3" x14ac:dyDescent="0.25">
      <c r="A4414" s="31"/>
      <c r="B4414" s="30"/>
      <c r="C4414" s="30"/>
    </row>
    <row r="4415" spans="1:3" x14ac:dyDescent="0.25">
      <c r="A4415" s="31"/>
      <c r="B4415" s="30"/>
      <c r="C4415" s="30"/>
    </row>
    <row r="4416" spans="1:3" x14ac:dyDescent="0.25">
      <c r="A4416" s="31"/>
      <c r="B4416" s="30"/>
      <c r="C4416" s="30"/>
    </row>
    <row r="4417" spans="1:3" x14ac:dyDescent="0.25">
      <c r="A4417" s="31"/>
      <c r="B4417" s="30"/>
      <c r="C4417" s="30"/>
    </row>
    <row r="4418" spans="1:3" x14ac:dyDescent="0.25">
      <c r="A4418" s="31"/>
      <c r="B4418" s="30"/>
      <c r="C4418" s="30"/>
    </row>
    <row r="4419" spans="1:3" x14ac:dyDescent="0.25">
      <c r="A4419" s="31"/>
      <c r="B4419" s="30"/>
      <c r="C4419" s="30"/>
    </row>
    <row r="4420" spans="1:3" x14ac:dyDescent="0.25">
      <c r="A4420" s="31"/>
      <c r="B4420" s="30"/>
      <c r="C4420" s="30"/>
    </row>
    <row r="4421" spans="1:3" x14ac:dyDescent="0.25">
      <c r="A4421" s="31"/>
      <c r="B4421" s="30"/>
      <c r="C4421" s="30"/>
    </row>
    <row r="4422" spans="1:3" x14ac:dyDescent="0.25">
      <c r="A4422" s="31"/>
      <c r="B4422" s="30"/>
      <c r="C4422" s="30"/>
    </row>
    <row r="4423" spans="1:3" x14ac:dyDescent="0.25">
      <c r="A4423" s="31"/>
      <c r="B4423" s="30"/>
      <c r="C4423" s="30"/>
    </row>
    <row r="4424" spans="1:3" x14ac:dyDescent="0.25">
      <c r="A4424" s="31"/>
      <c r="B4424" s="30"/>
      <c r="C4424" s="30"/>
    </row>
    <row r="4425" spans="1:3" x14ac:dyDescent="0.25">
      <c r="A4425" s="31"/>
      <c r="B4425" s="30"/>
      <c r="C4425" s="30"/>
    </row>
    <row r="4426" spans="1:3" x14ac:dyDescent="0.25">
      <c r="A4426" s="31"/>
      <c r="B4426" s="30"/>
      <c r="C4426" s="30"/>
    </row>
    <row r="4427" spans="1:3" x14ac:dyDescent="0.25">
      <c r="A4427" s="31"/>
      <c r="B4427" s="30"/>
      <c r="C4427" s="30"/>
    </row>
    <row r="4428" spans="1:3" x14ac:dyDescent="0.25">
      <c r="A4428" s="31"/>
      <c r="B4428" s="30"/>
      <c r="C4428" s="30"/>
    </row>
    <row r="4429" spans="1:3" x14ac:dyDescent="0.25">
      <c r="A4429" s="31"/>
      <c r="B4429" s="30"/>
      <c r="C4429" s="30"/>
    </row>
    <row r="4430" spans="1:3" x14ac:dyDescent="0.25">
      <c r="A4430" s="31"/>
      <c r="B4430" s="30"/>
      <c r="C4430" s="30"/>
    </row>
    <row r="4431" spans="1:3" x14ac:dyDescent="0.25">
      <c r="A4431" s="31"/>
      <c r="B4431" s="30"/>
      <c r="C4431" s="30"/>
    </row>
    <row r="4432" spans="1:3" x14ac:dyDescent="0.25">
      <c r="A4432" s="31"/>
      <c r="B4432" s="30"/>
      <c r="C4432" s="30"/>
    </row>
    <row r="4433" spans="1:3" x14ac:dyDescent="0.25">
      <c r="A4433" s="31"/>
      <c r="B4433" s="30"/>
      <c r="C4433" s="30"/>
    </row>
    <row r="4434" spans="1:3" x14ac:dyDescent="0.25">
      <c r="A4434" s="31"/>
      <c r="B4434" s="30"/>
      <c r="C4434" s="30"/>
    </row>
    <row r="4435" spans="1:3" x14ac:dyDescent="0.25">
      <c r="A4435" s="31"/>
      <c r="B4435" s="30"/>
      <c r="C4435" s="30"/>
    </row>
    <row r="4436" spans="1:3" x14ac:dyDescent="0.25">
      <c r="A4436" s="31"/>
      <c r="B4436" s="30"/>
      <c r="C4436" s="30"/>
    </row>
    <row r="4437" spans="1:3" x14ac:dyDescent="0.25">
      <c r="A4437" s="31"/>
      <c r="B4437" s="30"/>
      <c r="C4437" s="30"/>
    </row>
    <row r="4438" spans="1:3" x14ac:dyDescent="0.25">
      <c r="A4438" s="31"/>
      <c r="B4438" s="30"/>
      <c r="C4438" s="30"/>
    </row>
    <row r="4439" spans="1:3" x14ac:dyDescent="0.25">
      <c r="A4439" s="31"/>
      <c r="B4439" s="30"/>
      <c r="C4439" s="30"/>
    </row>
    <row r="4440" spans="1:3" x14ac:dyDescent="0.25">
      <c r="A4440" s="31"/>
      <c r="B4440" s="30"/>
      <c r="C4440" s="30"/>
    </row>
    <row r="4441" spans="1:3" x14ac:dyDescent="0.25">
      <c r="A4441" s="31"/>
      <c r="B4441" s="30"/>
      <c r="C4441" s="30"/>
    </row>
    <row r="4442" spans="1:3" x14ac:dyDescent="0.25">
      <c r="A4442" s="31"/>
      <c r="B4442" s="30"/>
      <c r="C4442" s="30"/>
    </row>
    <row r="4443" spans="1:3" x14ac:dyDescent="0.25">
      <c r="A4443" s="31"/>
      <c r="B4443" s="30"/>
      <c r="C4443" s="30"/>
    </row>
    <row r="4444" spans="1:3" x14ac:dyDescent="0.25">
      <c r="A4444" s="31"/>
      <c r="B4444" s="30"/>
      <c r="C4444" s="30"/>
    </row>
    <row r="4445" spans="1:3" x14ac:dyDescent="0.25">
      <c r="A4445" s="31"/>
      <c r="B4445" s="30"/>
      <c r="C4445" s="30"/>
    </row>
    <row r="4446" spans="1:3" x14ac:dyDescent="0.25">
      <c r="A4446" s="31"/>
      <c r="B4446" s="30"/>
      <c r="C4446" s="30"/>
    </row>
    <row r="4447" spans="1:3" x14ac:dyDescent="0.25">
      <c r="A4447" s="31"/>
      <c r="B4447" s="30"/>
      <c r="C4447" s="30"/>
    </row>
    <row r="4448" spans="1:3" x14ac:dyDescent="0.25">
      <c r="A4448" s="31"/>
      <c r="B4448" s="30"/>
      <c r="C4448" s="30"/>
    </row>
    <row r="4449" spans="1:3" x14ac:dyDescent="0.25">
      <c r="A4449" s="31"/>
      <c r="B4449" s="30"/>
      <c r="C4449" s="30"/>
    </row>
    <row r="4450" spans="1:3" x14ac:dyDescent="0.25">
      <c r="A4450" s="31"/>
      <c r="B4450" s="30"/>
      <c r="C4450" s="30"/>
    </row>
    <row r="4451" spans="1:3" x14ac:dyDescent="0.25">
      <c r="A4451" s="31"/>
      <c r="B4451" s="30"/>
      <c r="C4451" s="30"/>
    </row>
    <row r="4452" spans="1:3" x14ac:dyDescent="0.25">
      <c r="A4452" s="31"/>
      <c r="B4452" s="30"/>
      <c r="C4452" s="30"/>
    </row>
    <row r="4453" spans="1:3" x14ac:dyDescent="0.25">
      <c r="A4453" s="31"/>
      <c r="B4453" s="30"/>
      <c r="C4453" s="30"/>
    </row>
    <row r="4454" spans="1:3" x14ac:dyDescent="0.25">
      <c r="A4454" s="31"/>
      <c r="B4454" s="30"/>
      <c r="C4454" s="30"/>
    </row>
    <row r="4455" spans="1:3" x14ac:dyDescent="0.25">
      <c r="A4455" s="31"/>
      <c r="B4455" s="30"/>
      <c r="C4455" s="30"/>
    </row>
    <row r="4456" spans="1:3" x14ac:dyDescent="0.25">
      <c r="A4456" s="31"/>
      <c r="B4456" s="30"/>
      <c r="C4456" s="30"/>
    </row>
    <row r="4457" spans="1:3" x14ac:dyDescent="0.25">
      <c r="A4457" s="31"/>
      <c r="B4457" s="30"/>
      <c r="C4457" s="30"/>
    </row>
    <row r="4458" spans="1:3" x14ac:dyDescent="0.25">
      <c r="A4458" s="31"/>
      <c r="B4458" s="30"/>
      <c r="C4458" s="30"/>
    </row>
    <row r="4459" spans="1:3" x14ac:dyDescent="0.25">
      <c r="A4459" s="31"/>
      <c r="B4459" s="30"/>
      <c r="C4459" s="30"/>
    </row>
    <row r="4460" spans="1:3" x14ac:dyDescent="0.25">
      <c r="A4460" s="31"/>
      <c r="B4460" s="30"/>
      <c r="C4460" s="30"/>
    </row>
    <row r="4461" spans="1:3" x14ac:dyDescent="0.25">
      <c r="A4461" s="31"/>
      <c r="B4461" s="30"/>
      <c r="C4461" s="30"/>
    </row>
    <row r="4462" spans="1:3" x14ac:dyDescent="0.25">
      <c r="A4462" s="31"/>
      <c r="B4462" s="30"/>
      <c r="C4462" s="30"/>
    </row>
    <row r="4463" spans="1:3" x14ac:dyDescent="0.25">
      <c r="A4463" s="31"/>
      <c r="B4463" s="30"/>
      <c r="C4463" s="30"/>
    </row>
    <row r="4464" spans="1:3" x14ac:dyDescent="0.25">
      <c r="A4464" s="31"/>
      <c r="B4464" s="30"/>
      <c r="C4464" s="30"/>
    </row>
    <row r="4465" spans="1:3" x14ac:dyDescent="0.25">
      <c r="A4465" s="31"/>
      <c r="B4465" s="30"/>
      <c r="C4465" s="30"/>
    </row>
    <row r="4466" spans="1:3" x14ac:dyDescent="0.25">
      <c r="A4466" s="31"/>
      <c r="B4466" s="30"/>
      <c r="C4466" s="30"/>
    </row>
    <row r="4467" spans="1:3" x14ac:dyDescent="0.25">
      <c r="A4467" s="31"/>
      <c r="B4467" s="30"/>
      <c r="C4467" s="30"/>
    </row>
    <row r="4468" spans="1:3" x14ac:dyDescent="0.25">
      <c r="A4468" s="31"/>
      <c r="B4468" s="30"/>
      <c r="C4468" s="30"/>
    </row>
    <row r="4469" spans="1:3" x14ac:dyDescent="0.25">
      <c r="A4469" s="31"/>
      <c r="B4469" s="30"/>
      <c r="C4469" s="30"/>
    </row>
    <row r="4470" spans="1:3" x14ac:dyDescent="0.25">
      <c r="A4470" s="31"/>
      <c r="B4470" s="30"/>
      <c r="C4470" s="30"/>
    </row>
    <row r="4471" spans="1:3" x14ac:dyDescent="0.25">
      <c r="A4471" s="31"/>
      <c r="B4471" s="30"/>
      <c r="C4471" s="30"/>
    </row>
    <row r="4472" spans="1:3" x14ac:dyDescent="0.25">
      <c r="A4472" s="31"/>
      <c r="B4472" s="30"/>
      <c r="C4472" s="30"/>
    </row>
    <row r="4473" spans="1:3" x14ac:dyDescent="0.25">
      <c r="A4473" s="31"/>
      <c r="B4473" s="30"/>
      <c r="C4473" s="30"/>
    </row>
    <row r="4474" spans="1:3" x14ac:dyDescent="0.25">
      <c r="A4474" s="31"/>
      <c r="B4474" s="30"/>
      <c r="C4474" s="30"/>
    </row>
    <row r="4475" spans="1:3" x14ac:dyDescent="0.25">
      <c r="A4475" s="31"/>
      <c r="B4475" s="30"/>
      <c r="C4475" s="30"/>
    </row>
    <row r="4476" spans="1:3" x14ac:dyDescent="0.25">
      <c r="A4476" s="31"/>
      <c r="B4476" s="30"/>
      <c r="C4476" s="30"/>
    </row>
    <row r="4477" spans="1:3" x14ac:dyDescent="0.25">
      <c r="A4477" s="31"/>
      <c r="B4477" s="30"/>
      <c r="C4477" s="30"/>
    </row>
    <row r="4478" spans="1:3" x14ac:dyDescent="0.25">
      <c r="A4478" s="31"/>
      <c r="B4478" s="30"/>
      <c r="C4478" s="30"/>
    </row>
    <row r="4479" spans="1:3" x14ac:dyDescent="0.25">
      <c r="A4479" s="31"/>
      <c r="B4479" s="30"/>
      <c r="C4479" s="30"/>
    </row>
    <row r="4480" spans="1:3" x14ac:dyDescent="0.25">
      <c r="A4480" s="31"/>
      <c r="B4480" s="30"/>
      <c r="C4480" s="30"/>
    </row>
    <row r="4481" spans="1:3" x14ac:dyDescent="0.25">
      <c r="A4481" s="31"/>
      <c r="B4481" s="30"/>
      <c r="C4481" s="30"/>
    </row>
    <row r="4482" spans="1:3" x14ac:dyDescent="0.25">
      <c r="A4482" s="31"/>
      <c r="B4482" s="30"/>
      <c r="C4482" s="30"/>
    </row>
    <row r="4483" spans="1:3" x14ac:dyDescent="0.25">
      <c r="A4483" s="31"/>
      <c r="B4483" s="30"/>
      <c r="C4483" s="30"/>
    </row>
    <row r="4484" spans="1:3" x14ac:dyDescent="0.25">
      <c r="A4484" s="31"/>
      <c r="B4484" s="30"/>
      <c r="C4484" s="30"/>
    </row>
    <row r="4485" spans="1:3" x14ac:dyDescent="0.25">
      <c r="A4485" s="31"/>
      <c r="B4485" s="30"/>
      <c r="C4485" s="30"/>
    </row>
    <row r="4486" spans="1:3" x14ac:dyDescent="0.25">
      <c r="A4486" s="31"/>
      <c r="B4486" s="30"/>
      <c r="C4486" s="30"/>
    </row>
    <row r="4487" spans="1:3" x14ac:dyDescent="0.25">
      <c r="A4487" s="31"/>
      <c r="B4487" s="30"/>
      <c r="C4487" s="30"/>
    </row>
    <row r="4488" spans="1:3" x14ac:dyDescent="0.25">
      <c r="A4488" s="31"/>
      <c r="B4488" s="30"/>
      <c r="C4488" s="30"/>
    </row>
    <row r="4489" spans="1:3" x14ac:dyDescent="0.25">
      <c r="A4489" s="31"/>
      <c r="B4489" s="30"/>
      <c r="C4489" s="30"/>
    </row>
    <row r="4490" spans="1:3" x14ac:dyDescent="0.25">
      <c r="A4490" s="31"/>
      <c r="B4490" s="30"/>
      <c r="C4490" s="30"/>
    </row>
    <row r="4491" spans="1:3" x14ac:dyDescent="0.25">
      <c r="A4491" s="31"/>
      <c r="B4491" s="30"/>
      <c r="C4491" s="30"/>
    </row>
    <row r="4492" spans="1:3" x14ac:dyDescent="0.25">
      <c r="A4492" s="31"/>
      <c r="B4492" s="30"/>
      <c r="C4492" s="30"/>
    </row>
    <row r="4493" spans="1:3" x14ac:dyDescent="0.25">
      <c r="A4493" s="31"/>
      <c r="B4493" s="30"/>
      <c r="C4493" s="30"/>
    </row>
    <row r="4494" spans="1:3" x14ac:dyDescent="0.25">
      <c r="A4494" s="31"/>
      <c r="B4494" s="30"/>
      <c r="C4494" s="30"/>
    </row>
    <row r="4495" spans="1:3" x14ac:dyDescent="0.25">
      <c r="A4495" s="31"/>
      <c r="B4495" s="30"/>
      <c r="C4495" s="30"/>
    </row>
    <row r="4496" spans="1:3" x14ac:dyDescent="0.25">
      <c r="A4496" s="31"/>
      <c r="B4496" s="30"/>
      <c r="C4496" s="30"/>
    </row>
    <row r="4497" spans="1:3" x14ac:dyDescent="0.25">
      <c r="A4497" s="31"/>
      <c r="B4497" s="30"/>
      <c r="C4497" s="30"/>
    </row>
    <row r="4498" spans="1:3" x14ac:dyDescent="0.25">
      <c r="A4498" s="31"/>
      <c r="B4498" s="30"/>
      <c r="C4498" s="30"/>
    </row>
    <row r="4499" spans="1:3" x14ac:dyDescent="0.25">
      <c r="A4499" s="31"/>
      <c r="B4499" s="30"/>
      <c r="C4499" s="30"/>
    </row>
    <row r="4500" spans="1:3" x14ac:dyDescent="0.25">
      <c r="A4500" s="31"/>
      <c r="B4500" s="30"/>
      <c r="C4500" s="30"/>
    </row>
    <row r="4501" spans="1:3" x14ac:dyDescent="0.25">
      <c r="A4501" s="31"/>
      <c r="B4501" s="30"/>
      <c r="C4501" s="30"/>
    </row>
    <row r="4502" spans="1:3" x14ac:dyDescent="0.25">
      <c r="A4502" s="31"/>
      <c r="B4502" s="30"/>
      <c r="C4502" s="30"/>
    </row>
    <row r="4503" spans="1:3" x14ac:dyDescent="0.25">
      <c r="A4503" s="31"/>
      <c r="B4503" s="30"/>
      <c r="C4503" s="30"/>
    </row>
    <row r="4504" spans="1:3" x14ac:dyDescent="0.25">
      <c r="A4504" s="31"/>
      <c r="B4504" s="30"/>
      <c r="C4504" s="30"/>
    </row>
    <row r="4505" spans="1:3" x14ac:dyDescent="0.25">
      <c r="A4505" s="31"/>
      <c r="B4505" s="30"/>
      <c r="C4505" s="30"/>
    </row>
    <row r="4506" spans="1:3" x14ac:dyDescent="0.25">
      <c r="A4506" s="31"/>
      <c r="B4506" s="30"/>
      <c r="C4506" s="30"/>
    </row>
    <row r="4507" spans="1:3" x14ac:dyDescent="0.25">
      <c r="A4507" s="31"/>
      <c r="B4507" s="30"/>
      <c r="C4507" s="30"/>
    </row>
    <row r="4508" spans="1:3" x14ac:dyDescent="0.25">
      <c r="A4508" s="31"/>
      <c r="B4508" s="30"/>
      <c r="C4508" s="30"/>
    </row>
    <row r="4509" spans="1:3" x14ac:dyDescent="0.25">
      <c r="A4509" s="31"/>
      <c r="B4509" s="30"/>
      <c r="C4509" s="30"/>
    </row>
    <row r="4510" spans="1:3" x14ac:dyDescent="0.25">
      <c r="A4510" s="31"/>
      <c r="B4510" s="30"/>
      <c r="C4510" s="30"/>
    </row>
    <row r="4511" spans="1:3" x14ac:dyDescent="0.25">
      <c r="A4511" s="31"/>
      <c r="B4511" s="30"/>
      <c r="C4511" s="30"/>
    </row>
    <row r="4512" spans="1:3" x14ac:dyDescent="0.25">
      <c r="A4512" s="31"/>
      <c r="B4512" s="30"/>
      <c r="C4512" s="30"/>
    </row>
    <row r="4513" spans="1:3" x14ac:dyDescent="0.25">
      <c r="A4513" s="31"/>
      <c r="B4513" s="30"/>
      <c r="C4513" s="30"/>
    </row>
    <row r="4514" spans="1:3" x14ac:dyDescent="0.25">
      <c r="A4514" s="31"/>
      <c r="B4514" s="30"/>
      <c r="C4514" s="30"/>
    </row>
    <row r="4515" spans="1:3" x14ac:dyDescent="0.25">
      <c r="A4515" s="31"/>
      <c r="B4515" s="30"/>
      <c r="C4515" s="30"/>
    </row>
    <row r="4516" spans="1:3" x14ac:dyDescent="0.25">
      <c r="A4516" s="31"/>
      <c r="B4516" s="30"/>
      <c r="C4516" s="30"/>
    </row>
    <row r="4517" spans="1:3" x14ac:dyDescent="0.25">
      <c r="A4517" s="31"/>
      <c r="B4517" s="30"/>
      <c r="C4517" s="30"/>
    </row>
    <row r="4518" spans="1:3" x14ac:dyDescent="0.25">
      <c r="A4518" s="31"/>
      <c r="B4518" s="30"/>
      <c r="C4518" s="30"/>
    </row>
    <row r="4519" spans="1:3" x14ac:dyDescent="0.25">
      <c r="A4519" s="31"/>
      <c r="B4519" s="30"/>
      <c r="C4519" s="30"/>
    </row>
    <row r="4520" spans="1:3" x14ac:dyDescent="0.25">
      <c r="A4520" s="31"/>
      <c r="B4520" s="30"/>
      <c r="C4520" s="30"/>
    </row>
    <row r="4521" spans="1:3" x14ac:dyDescent="0.25">
      <c r="A4521" s="31"/>
      <c r="B4521" s="30"/>
      <c r="C4521" s="30"/>
    </row>
    <row r="4522" spans="1:3" x14ac:dyDescent="0.25">
      <c r="A4522" s="31"/>
      <c r="B4522" s="30"/>
      <c r="C4522" s="30"/>
    </row>
    <row r="4523" spans="1:3" x14ac:dyDescent="0.25">
      <c r="A4523" s="31"/>
      <c r="B4523" s="30"/>
      <c r="C4523" s="30"/>
    </row>
    <row r="4524" spans="1:3" x14ac:dyDescent="0.25">
      <c r="A4524" s="31"/>
      <c r="B4524" s="30"/>
      <c r="C4524" s="30"/>
    </row>
    <row r="4525" spans="1:3" x14ac:dyDescent="0.25">
      <c r="A4525" s="31"/>
      <c r="B4525" s="30"/>
      <c r="C4525" s="30"/>
    </row>
    <row r="4526" spans="1:3" x14ac:dyDescent="0.25">
      <c r="A4526" s="31"/>
      <c r="B4526" s="30"/>
      <c r="C4526" s="30"/>
    </row>
    <row r="4527" spans="1:3" x14ac:dyDescent="0.25">
      <c r="A4527" s="31"/>
      <c r="B4527" s="30"/>
      <c r="C4527" s="30"/>
    </row>
    <row r="4528" spans="1:3" x14ac:dyDescent="0.25">
      <c r="A4528" s="31"/>
      <c r="B4528" s="30"/>
      <c r="C4528" s="30"/>
    </row>
    <row r="4529" spans="1:3" x14ac:dyDescent="0.25">
      <c r="A4529" s="31"/>
      <c r="B4529" s="30"/>
      <c r="C4529" s="30"/>
    </row>
    <row r="4530" spans="1:3" x14ac:dyDescent="0.25">
      <c r="A4530" s="31"/>
      <c r="B4530" s="30"/>
      <c r="C4530" s="30"/>
    </row>
    <row r="4531" spans="1:3" x14ac:dyDescent="0.25">
      <c r="A4531" s="31"/>
      <c r="B4531" s="30"/>
      <c r="C4531" s="30"/>
    </row>
    <row r="4532" spans="1:3" x14ac:dyDescent="0.25">
      <c r="A4532" s="31"/>
      <c r="B4532" s="30"/>
      <c r="C4532" s="30"/>
    </row>
    <row r="4533" spans="1:3" x14ac:dyDescent="0.25">
      <c r="A4533" s="31"/>
      <c r="B4533" s="30"/>
      <c r="C4533" s="30"/>
    </row>
    <row r="4534" spans="1:3" x14ac:dyDescent="0.25">
      <c r="A4534" s="31"/>
      <c r="B4534" s="30"/>
      <c r="C4534" s="30"/>
    </row>
    <row r="4535" spans="1:3" x14ac:dyDescent="0.25">
      <c r="A4535" s="31"/>
      <c r="B4535" s="30"/>
      <c r="C4535" s="30"/>
    </row>
    <row r="4536" spans="1:3" x14ac:dyDescent="0.25">
      <c r="A4536" s="31"/>
      <c r="B4536" s="30"/>
      <c r="C4536" s="30"/>
    </row>
    <row r="4537" spans="1:3" x14ac:dyDescent="0.25">
      <c r="A4537" s="31"/>
      <c r="B4537" s="30"/>
      <c r="C4537" s="30"/>
    </row>
    <row r="4538" spans="1:3" x14ac:dyDescent="0.25">
      <c r="A4538" s="31"/>
      <c r="B4538" s="30"/>
      <c r="C4538" s="30"/>
    </row>
    <row r="4539" spans="1:3" x14ac:dyDescent="0.25">
      <c r="A4539" s="31"/>
      <c r="B4539" s="30"/>
      <c r="C4539" s="30"/>
    </row>
    <row r="4540" spans="1:3" x14ac:dyDescent="0.25">
      <c r="A4540" s="31"/>
      <c r="B4540" s="30"/>
      <c r="C4540" s="30"/>
    </row>
    <row r="4541" spans="1:3" x14ac:dyDescent="0.25">
      <c r="A4541" s="31"/>
      <c r="B4541" s="30"/>
      <c r="C4541" s="30"/>
    </row>
    <row r="4542" spans="1:3" x14ac:dyDescent="0.25">
      <c r="A4542" s="31"/>
      <c r="B4542" s="30"/>
      <c r="C4542" s="30"/>
    </row>
    <row r="4543" spans="1:3" x14ac:dyDescent="0.25">
      <c r="A4543" s="31"/>
      <c r="B4543" s="30"/>
      <c r="C4543" s="30"/>
    </row>
    <row r="4544" spans="1:3" x14ac:dyDescent="0.25">
      <c r="A4544" s="31"/>
      <c r="B4544" s="30"/>
      <c r="C4544" s="30"/>
    </row>
    <row r="4545" spans="1:3" x14ac:dyDescent="0.25">
      <c r="A4545" s="31"/>
      <c r="B4545" s="30"/>
      <c r="C4545" s="30"/>
    </row>
    <row r="4546" spans="1:3" x14ac:dyDescent="0.25">
      <c r="A4546" s="31"/>
      <c r="B4546" s="30"/>
      <c r="C4546" s="30"/>
    </row>
    <row r="4547" spans="1:3" x14ac:dyDescent="0.25">
      <c r="A4547" s="31"/>
      <c r="B4547" s="30"/>
      <c r="C4547" s="30"/>
    </row>
    <row r="4548" spans="1:3" x14ac:dyDescent="0.25">
      <c r="A4548" s="31"/>
      <c r="B4548" s="30"/>
      <c r="C4548" s="30"/>
    </row>
    <row r="4549" spans="1:3" x14ac:dyDescent="0.25">
      <c r="A4549" s="31"/>
      <c r="B4549" s="30"/>
      <c r="C4549" s="30"/>
    </row>
    <row r="4550" spans="1:3" x14ac:dyDescent="0.25">
      <c r="A4550" s="31"/>
      <c r="B4550" s="30"/>
      <c r="C4550" s="30"/>
    </row>
    <row r="4551" spans="1:3" x14ac:dyDescent="0.25">
      <c r="A4551" s="31"/>
      <c r="B4551" s="30"/>
      <c r="C4551" s="30"/>
    </row>
    <row r="4552" spans="1:3" x14ac:dyDescent="0.25">
      <c r="A4552" s="31"/>
      <c r="B4552" s="30"/>
      <c r="C4552" s="30"/>
    </row>
    <row r="4553" spans="1:3" x14ac:dyDescent="0.25">
      <c r="A4553" s="31"/>
      <c r="B4553" s="30"/>
      <c r="C4553" s="30"/>
    </row>
    <row r="4554" spans="1:3" x14ac:dyDescent="0.25">
      <c r="A4554" s="31"/>
      <c r="B4554" s="30"/>
      <c r="C4554" s="30"/>
    </row>
    <row r="4555" spans="1:3" x14ac:dyDescent="0.25">
      <c r="A4555" s="31"/>
      <c r="B4555" s="30"/>
      <c r="C4555" s="30"/>
    </row>
    <row r="4556" spans="1:3" x14ac:dyDescent="0.25">
      <c r="A4556" s="31"/>
      <c r="B4556" s="30"/>
      <c r="C4556" s="30"/>
    </row>
    <row r="4557" spans="1:3" x14ac:dyDescent="0.25">
      <c r="A4557" s="31"/>
      <c r="B4557" s="30"/>
      <c r="C4557" s="30"/>
    </row>
    <row r="4558" spans="1:3" x14ac:dyDescent="0.25">
      <c r="A4558" s="31"/>
      <c r="B4558" s="30"/>
      <c r="C4558" s="30"/>
    </row>
    <row r="4559" spans="1:3" x14ac:dyDescent="0.25">
      <c r="A4559" s="31"/>
      <c r="B4559" s="30"/>
      <c r="C4559" s="30"/>
    </row>
    <row r="4560" spans="1:3" x14ac:dyDescent="0.25">
      <c r="A4560" s="31"/>
      <c r="B4560" s="30"/>
      <c r="C4560" s="30"/>
    </row>
    <row r="4561" spans="1:3" x14ac:dyDescent="0.25">
      <c r="A4561" s="31"/>
      <c r="B4561" s="30"/>
      <c r="C4561" s="30"/>
    </row>
    <row r="4562" spans="1:3" x14ac:dyDescent="0.25">
      <c r="A4562" s="31"/>
      <c r="B4562" s="30"/>
      <c r="C4562" s="30"/>
    </row>
    <row r="4563" spans="1:3" x14ac:dyDescent="0.25">
      <c r="A4563" s="31"/>
      <c r="B4563" s="30"/>
      <c r="C4563" s="30"/>
    </row>
    <row r="4564" spans="1:3" x14ac:dyDescent="0.25">
      <c r="A4564" s="31"/>
      <c r="B4564" s="30"/>
      <c r="C4564" s="30"/>
    </row>
    <row r="4565" spans="1:3" x14ac:dyDescent="0.25">
      <c r="A4565" s="31"/>
      <c r="B4565" s="30"/>
      <c r="C4565" s="30"/>
    </row>
    <row r="4566" spans="1:3" x14ac:dyDescent="0.25">
      <c r="A4566" s="31"/>
      <c r="B4566" s="30"/>
      <c r="C4566" s="30"/>
    </row>
    <row r="4567" spans="1:3" x14ac:dyDescent="0.25">
      <c r="A4567" s="31"/>
      <c r="B4567" s="30"/>
      <c r="C4567" s="30"/>
    </row>
    <row r="4568" spans="1:3" x14ac:dyDescent="0.25">
      <c r="A4568" s="31"/>
      <c r="B4568" s="30"/>
      <c r="C4568" s="30"/>
    </row>
    <row r="4569" spans="1:3" x14ac:dyDescent="0.25">
      <c r="A4569" s="31"/>
      <c r="B4569" s="30"/>
      <c r="C4569" s="30"/>
    </row>
    <row r="4570" spans="1:3" x14ac:dyDescent="0.25">
      <c r="A4570" s="31"/>
      <c r="B4570" s="30"/>
      <c r="C4570" s="30"/>
    </row>
    <row r="4571" spans="1:3" x14ac:dyDescent="0.25">
      <c r="A4571" s="31"/>
      <c r="B4571" s="30"/>
      <c r="C4571" s="30"/>
    </row>
    <row r="4572" spans="1:3" x14ac:dyDescent="0.25">
      <c r="A4572" s="31"/>
      <c r="B4572" s="30"/>
      <c r="C4572" s="30"/>
    </row>
    <row r="4573" spans="1:3" x14ac:dyDescent="0.25">
      <c r="A4573" s="31"/>
      <c r="B4573" s="30"/>
      <c r="C4573" s="30"/>
    </row>
    <row r="4574" spans="1:3" x14ac:dyDescent="0.25">
      <c r="A4574" s="31"/>
      <c r="B4574" s="30"/>
      <c r="C4574" s="30"/>
    </row>
    <row r="4575" spans="1:3" x14ac:dyDescent="0.25">
      <c r="A4575" s="31"/>
      <c r="B4575" s="30"/>
      <c r="C4575" s="30"/>
    </row>
    <row r="4576" spans="1:3" x14ac:dyDescent="0.25">
      <c r="A4576" s="31"/>
      <c r="B4576" s="30"/>
      <c r="C4576" s="30"/>
    </row>
    <row r="4577" spans="1:3" x14ac:dyDescent="0.25">
      <c r="A4577" s="31"/>
      <c r="B4577" s="30"/>
      <c r="C4577" s="30"/>
    </row>
    <row r="4578" spans="1:3" x14ac:dyDescent="0.25">
      <c r="A4578" s="31"/>
      <c r="B4578" s="30"/>
      <c r="C4578" s="30"/>
    </row>
    <row r="4579" spans="1:3" x14ac:dyDescent="0.25">
      <c r="A4579" s="31"/>
      <c r="B4579" s="30"/>
      <c r="C4579" s="30"/>
    </row>
    <row r="4580" spans="1:3" x14ac:dyDescent="0.25">
      <c r="A4580" s="31"/>
      <c r="B4580" s="30"/>
      <c r="C4580" s="30"/>
    </row>
    <row r="4581" spans="1:3" x14ac:dyDescent="0.25">
      <c r="A4581" s="31"/>
      <c r="B4581" s="30"/>
      <c r="C4581" s="30"/>
    </row>
    <row r="4582" spans="1:3" x14ac:dyDescent="0.25">
      <c r="A4582" s="31"/>
      <c r="B4582" s="30"/>
      <c r="C4582" s="30"/>
    </row>
    <row r="4583" spans="1:3" x14ac:dyDescent="0.25">
      <c r="A4583" s="31"/>
      <c r="B4583" s="30"/>
      <c r="C4583" s="30"/>
    </row>
    <row r="4584" spans="1:3" x14ac:dyDescent="0.25">
      <c r="A4584" s="31"/>
      <c r="B4584" s="30"/>
      <c r="C4584" s="30"/>
    </row>
    <row r="4585" spans="1:3" x14ac:dyDescent="0.25">
      <c r="A4585" s="31"/>
      <c r="B4585" s="30"/>
      <c r="C4585" s="30"/>
    </row>
    <row r="4586" spans="1:3" x14ac:dyDescent="0.25">
      <c r="A4586" s="31"/>
      <c r="B4586" s="30"/>
      <c r="C4586" s="30"/>
    </row>
    <row r="4587" spans="1:3" x14ac:dyDescent="0.25">
      <c r="A4587" s="31"/>
      <c r="B4587" s="30"/>
      <c r="C4587" s="30"/>
    </row>
    <row r="4588" spans="1:3" x14ac:dyDescent="0.25">
      <c r="A4588" s="31"/>
      <c r="B4588" s="30"/>
      <c r="C4588" s="30"/>
    </row>
    <row r="4589" spans="1:3" x14ac:dyDescent="0.25">
      <c r="A4589" s="31"/>
      <c r="B4589" s="30"/>
      <c r="C4589" s="30"/>
    </row>
    <row r="4590" spans="1:3" x14ac:dyDescent="0.25">
      <c r="A4590" s="31"/>
      <c r="B4590" s="30"/>
      <c r="C4590" s="30"/>
    </row>
    <row r="4591" spans="1:3" x14ac:dyDescent="0.25">
      <c r="A4591" s="31"/>
      <c r="B4591" s="30"/>
      <c r="C4591" s="30"/>
    </row>
    <row r="4592" spans="1:3" x14ac:dyDescent="0.25">
      <c r="A4592" s="31"/>
      <c r="B4592" s="30"/>
      <c r="C4592" s="30"/>
    </row>
    <row r="4593" spans="1:3" x14ac:dyDescent="0.25">
      <c r="A4593" s="31"/>
      <c r="B4593" s="30"/>
      <c r="C4593" s="30"/>
    </row>
    <row r="4594" spans="1:3" x14ac:dyDescent="0.25">
      <c r="A4594" s="31"/>
      <c r="B4594" s="30"/>
      <c r="C4594" s="30"/>
    </row>
    <row r="4595" spans="1:3" x14ac:dyDescent="0.25">
      <c r="A4595" s="31"/>
      <c r="B4595" s="30"/>
      <c r="C4595" s="30"/>
    </row>
    <row r="4596" spans="1:3" x14ac:dyDescent="0.25">
      <c r="A4596" s="31"/>
      <c r="B4596" s="30"/>
      <c r="C4596" s="30"/>
    </row>
    <row r="4597" spans="1:3" x14ac:dyDescent="0.25">
      <c r="A4597" s="31"/>
      <c r="B4597" s="30"/>
      <c r="C4597" s="30"/>
    </row>
    <row r="4598" spans="1:3" x14ac:dyDescent="0.25">
      <c r="A4598" s="31"/>
      <c r="B4598" s="30"/>
      <c r="C4598" s="30"/>
    </row>
    <row r="4599" spans="1:3" x14ac:dyDescent="0.25">
      <c r="A4599" s="31"/>
      <c r="B4599" s="30"/>
      <c r="C4599" s="30"/>
    </row>
    <row r="4600" spans="1:3" x14ac:dyDescent="0.25">
      <c r="A4600" s="31"/>
      <c r="B4600" s="30"/>
      <c r="C4600" s="30"/>
    </row>
    <row r="4601" spans="1:3" x14ac:dyDescent="0.25">
      <c r="A4601" s="31"/>
      <c r="B4601" s="30"/>
      <c r="C4601" s="30"/>
    </row>
    <row r="4602" spans="1:3" x14ac:dyDescent="0.25">
      <c r="A4602" s="31"/>
      <c r="B4602" s="30"/>
      <c r="C4602" s="30"/>
    </row>
    <row r="4603" spans="1:3" x14ac:dyDescent="0.25">
      <c r="A4603" s="31"/>
      <c r="B4603" s="30"/>
      <c r="C4603" s="30"/>
    </row>
    <row r="4604" spans="1:3" x14ac:dyDescent="0.25">
      <c r="A4604" s="31"/>
      <c r="B4604" s="30"/>
      <c r="C4604" s="30"/>
    </row>
    <row r="4605" spans="1:3" x14ac:dyDescent="0.25">
      <c r="A4605" s="31"/>
      <c r="B4605" s="30"/>
      <c r="C4605" s="30"/>
    </row>
    <row r="4606" spans="1:3" x14ac:dyDescent="0.25">
      <c r="A4606" s="31"/>
      <c r="B4606" s="30"/>
      <c r="C4606" s="30"/>
    </row>
    <row r="4607" spans="1:3" x14ac:dyDescent="0.25">
      <c r="A4607" s="31"/>
      <c r="B4607" s="30"/>
      <c r="C4607" s="30"/>
    </row>
    <row r="4608" spans="1:3" x14ac:dyDescent="0.25">
      <c r="A4608" s="31"/>
      <c r="B4608" s="30"/>
      <c r="C4608" s="30"/>
    </row>
    <row r="4609" spans="1:3" x14ac:dyDescent="0.25">
      <c r="A4609" s="31"/>
      <c r="B4609" s="30"/>
      <c r="C4609" s="30"/>
    </row>
    <row r="4610" spans="1:3" x14ac:dyDescent="0.25">
      <c r="A4610" s="31"/>
      <c r="B4610" s="30"/>
      <c r="C4610" s="30"/>
    </row>
    <row r="4611" spans="1:3" x14ac:dyDescent="0.25">
      <c r="A4611" s="31"/>
      <c r="B4611" s="30"/>
      <c r="C4611" s="30"/>
    </row>
    <row r="4612" spans="1:3" x14ac:dyDescent="0.25">
      <c r="A4612" s="31"/>
      <c r="B4612" s="30"/>
      <c r="C4612" s="30"/>
    </row>
    <row r="4613" spans="1:3" x14ac:dyDescent="0.25">
      <c r="A4613" s="31"/>
      <c r="B4613" s="30"/>
      <c r="C4613" s="30"/>
    </row>
    <row r="4614" spans="1:3" x14ac:dyDescent="0.25">
      <c r="A4614" s="31"/>
      <c r="B4614" s="30"/>
      <c r="C4614" s="30"/>
    </row>
    <row r="4615" spans="1:3" x14ac:dyDescent="0.25">
      <c r="A4615" s="31"/>
      <c r="B4615" s="30"/>
      <c r="C4615" s="30"/>
    </row>
    <row r="4616" spans="1:3" x14ac:dyDescent="0.25">
      <c r="A4616" s="31"/>
      <c r="B4616" s="30"/>
      <c r="C4616" s="30"/>
    </row>
    <row r="4617" spans="1:3" x14ac:dyDescent="0.25">
      <c r="A4617" s="31"/>
      <c r="B4617" s="30"/>
      <c r="C4617" s="30"/>
    </row>
    <row r="4618" spans="1:3" x14ac:dyDescent="0.25">
      <c r="A4618" s="31"/>
      <c r="B4618" s="30"/>
      <c r="C4618" s="30"/>
    </row>
    <row r="4619" spans="1:3" x14ac:dyDescent="0.25">
      <c r="A4619" s="31"/>
      <c r="B4619" s="30"/>
      <c r="C4619" s="30"/>
    </row>
    <row r="4620" spans="1:3" x14ac:dyDescent="0.25">
      <c r="A4620" s="31"/>
      <c r="B4620" s="30"/>
      <c r="C4620" s="30"/>
    </row>
    <row r="4621" spans="1:3" x14ac:dyDescent="0.25">
      <c r="A4621" s="31"/>
      <c r="B4621" s="30"/>
      <c r="C4621" s="30"/>
    </row>
    <row r="4622" spans="1:3" x14ac:dyDescent="0.25">
      <c r="A4622" s="31"/>
      <c r="B4622" s="30"/>
      <c r="C4622" s="30"/>
    </row>
    <row r="4623" spans="1:3" x14ac:dyDescent="0.25">
      <c r="A4623" s="31"/>
      <c r="B4623" s="30"/>
      <c r="C4623" s="30"/>
    </row>
    <row r="4624" spans="1:3" x14ac:dyDescent="0.25">
      <c r="A4624" s="31"/>
      <c r="B4624" s="30"/>
      <c r="C4624" s="30"/>
    </row>
    <row r="4625" spans="1:3" x14ac:dyDescent="0.25">
      <c r="A4625" s="31"/>
      <c r="B4625" s="30"/>
      <c r="C4625" s="30"/>
    </row>
    <row r="4626" spans="1:3" x14ac:dyDescent="0.25">
      <c r="A4626" s="31"/>
      <c r="B4626" s="30"/>
      <c r="C4626" s="30"/>
    </row>
    <row r="4627" spans="1:3" x14ac:dyDescent="0.25">
      <c r="A4627" s="31"/>
      <c r="B4627" s="30"/>
      <c r="C4627" s="30"/>
    </row>
    <row r="4628" spans="1:3" x14ac:dyDescent="0.25">
      <c r="A4628" s="31"/>
      <c r="B4628" s="30"/>
      <c r="C4628" s="30"/>
    </row>
    <row r="4629" spans="1:3" x14ac:dyDescent="0.25">
      <c r="A4629" s="31"/>
      <c r="B4629" s="30"/>
      <c r="C4629" s="30"/>
    </row>
    <row r="4630" spans="1:3" x14ac:dyDescent="0.25">
      <c r="A4630" s="31"/>
      <c r="B4630" s="30"/>
      <c r="C4630" s="30"/>
    </row>
    <row r="4631" spans="1:3" x14ac:dyDescent="0.25">
      <c r="A4631" s="31"/>
      <c r="B4631" s="30"/>
      <c r="C4631" s="30"/>
    </row>
    <row r="4632" spans="1:3" x14ac:dyDescent="0.25">
      <c r="A4632" s="31"/>
      <c r="B4632" s="30"/>
      <c r="C4632" s="30"/>
    </row>
    <row r="4633" spans="1:3" x14ac:dyDescent="0.25">
      <c r="A4633" s="31"/>
      <c r="B4633" s="30"/>
      <c r="C4633" s="30"/>
    </row>
    <row r="4634" spans="1:3" x14ac:dyDescent="0.25">
      <c r="A4634" s="31"/>
      <c r="B4634" s="30"/>
      <c r="C4634" s="30"/>
    </row>
    <row r="4635" spans="1:3" x14ac:dyDescent="0.25">
      <c r="A4635" s="31"/>
      <c r="B4635" s="30"/>
      <c r="C4635" s="30"/>
    </row>
    <row r="4636" spans="1:3" x14ac:dyDescent="0.25">
      <c r="A4636" s="31"/>
      <c r="B4636" s="30"/>
      <c r="C4636" s="30"/>
    </row>
    <row r="4637" spans="1:3" x14ac:dyDescent="0.25">
      <c r="A4637" s="31"/>
      <c r="B4637" s="30"/>
      <c r="C4637" s="30"/>
    </row>
    <row r="4638" spans="1:3" x14ac:dyDescent="0.25">
      <c r="A4638" s="31"/>
      <c r="B4638" s="30"/>
      <c r="C4638" s="30"/>
    </row>
    <row r="4639" spans="1:3" x14ac:dyDescent="0.25">
      <c r="A4639" s="31"/>
      <c r="B4639" s="30"/>
      <c r="C4639" s="30"/>
    </row>
    <row r="4640" spans="1:3" x14ac:dyDescent="0.25">
      <c r="A4640" s="31"/>
      <c r="B4640" s="30"/>
      <c r="C4640" s="30"/>
    </row>
    <row r="4641" spans="1:3" x14ac:dyDescent="0.25">
      <c r="A4641" s="31"/>
      <c r="B4641" s="30"/>
      <c r="C4641" s="30"/>
    </row>
    <row r="4642" spans="1:3" x14ac:dyDescent="0.25">
      <c r="A4642" s="31"/>
      <c r="B4642" s="30"/>
      <c r="C4642" s="30"/>
    </row>
    <row r="4643" spans="1:3" x14ac:dyDescent="0.25">
      <c r="A4643" s="31"/>
      <c r="B4643" s="30"/>
      <c r="C4643" s="30"/>
    </row>
    <row r="4644" spans="1:3" x14ac:dyDescent="0.25">
      <c r="A4644" s="31"/>
      <c r="B4644" s="30"/>
      <c r="C4644" s="30"/>
    </row>
    <row r="4645" spans="1:3" x14ac:dyDescent="0.25">
      <c r="A4645" s="31"/>
      <c r="B4645" s="30"/>
      <c r="C4645" s="30"/>
    </row>
    <row r="4646" spans="1:3" x14ac:dyDescent="0.25">
      <c r="A4646" s="31"/>
      <c r="B4646" s="30"/>
      <c r="C4646" s="30"/>
    </row>
    <row r="4647" spans="1:3" x14ac:dyDescent="0.25">
      <c r="A4647" s="31"/>
      <c r="B4647" s="30"/>
      <c r="C4647" s="30"/>
    </row>
    <row r="4648" spans="1:3" x14ac:dyDescent="0.25">
      <c r="A4648" s="31"/>
      <c r="B4648" s="30"/>
      <c r="C4648" s="30"/>
    </row>
    <row r="4649" spans="1:3" x14ac:dyDescent="0.25">
      <c r="A4649" s="31"/>
      <c r="B4649" s="30"/>
      <c r="C4649" s="30"/>
    </row>
    <row r="4650" spans="1:3" x14ac:dyDescent="0.25">
      <c r="A4650" s="31"/>
      <c r="B4650" s="30"/>
      <c r="C4650" s="30"/>
    </row>
    <row r="4651" spans="1:3" x14ac:dyDescent="0.25">
      <c r="A4651" s="31"/>
      <c r="B4651" s="30"/>
      <c r="C4651" s="30"/>
    </row>
    <row r="4652" spans="1:3" x14ac:dyDescent="0.25">
      <c r="A4652" s="31"/>
      <c r="B4652" s="30"/>
      <c r="C4652" s="30"/>
    </row>
    <row r="4653" spans="1:3" x14ac:dyDescent="0.25">
      <c r="A4653" s="31"/>
      <c r="B4653" s="30"/>
      <c r="C4653" s="30"/>
    </row>
    <row r="4654" spans="1:3" x14ac:dyDescent="0.25">
      <c r="A4654" s="31"/>
      <c r="B4654" s="30"/>
      <c r="C4654" s="30"/>
    </row>
    <row r="4655" spans="1:3" x14ac:dyDescent="0.25">
      <c r="A4655" s="31"/>
      <c r="B4655" s="30"/>
      <c r="C4655" s="30"/>
    </row>
    <row r="4656" spans="1:3" x14ac:dyDescent="0.25">
      <c r="A4656" s="31"/>
      <c r="B4656" s="30"/>
      <c r="C4656" s="30"/>
    </row>
    <row r="4657" spans="1:3" x14ac:dyDescent="0.25">
      <c r="A4657" s="31"/>
      <c r="B4657" s="30"/>
      <c r="C4657" s="30"/>
    </row>
    <row r="4658" spans="1:3" x14ac:dyDescent="0.25">
      <c r="A4658" s="31"/>
      <c r="B4658" s="30"/>
      <c r="C4658" s="30"/>
    </row>
    <row r="4659" spans="1:3" x14ac:dyDescent="0.25">
      <c r="A4659" s="31"/>
      <c r="B4659" s="30"/>
      <c r="C4659" s="30"/>
    </row>
    <row r="4660" spans="1:3" x14ac:dyDescent="0.25">
      <c r="A4660" s="31"/>
      <c r="B4660" s="30"/>
      <c r="C4660" s="30"/>
    </row>
    <row r="4661" spans="1:3" x14ac:dyDescent="0.25">
      <c r="A4661" s="31"/>
      <c r="B4661" s="30"/>
      <c r="C4661" s="30"/>
    </row>
    <row r="4662" spans="1:3" x14ac:dyDescent="0.25">
      <c r="A4662" s="31"/>
      <c r="B4662" s="30"/>
      <c r="C4662" s="30"/>
    </row>
    <row r="4663" spans="1:3" x14ac:dyDescent="0.25">
      <c r="A4663" s="31"/>
      <c r="B4663" s="30"/>
      <c r="C4663" s="30"/>
    </row>
    <row r="4664" spans="1:3" x14ac:dyDescent="0.25">
      <c r="A4664" s="31"/>
      <c r="B4664" s="30"/>
      <c r="C4664" s="30"/>
    </row>
    <row r="4665" spans="1:3" x14ac:dyDescent="0.25">
      <c r="A4665" s="31"/>
      <c r="B4665" s="30"/>
      <c r="C4665" s="30"/>
    </row>
    <row r="4666" spans="1:3" x14ac:dyDescent="0.25">
      <c r="A4666" s="31"/>
      <c r="B4666" s="30"/>
      <c r="C4666" s="30"/>
    </row>
    <row r="4667" spans="1:3" x14ac:dyDescent="0.25">
      <c r="A4667" s="31"/>
      <c r="B4667" s="30"/>
      <c r="C4667" s="30"/>
    </row>
    <row r="4668" spans="1:3" x14ac:dyDescent="0.25">
      <c r="A4668" s="31"/>
      <c r="B4668" s="30"/>
      <c r="C4668" s="30"/>
    </row>
    <row r="4669" spans="1:3" x14ac:dyDescent="0.25">
      <c r="A4669" s="31"/>
      <c r="B4669" s="30"/>
      <c r="C4669" s="30"/>
    </row>
    <row r="4670" spans="1:3" x14ac:dyDescent="0.25">
      <c r="A4670" s="31"/>
      <c r="B4670" s="30"/>
      <c r="C4670" s="30"/>
    </row>
    <row r="4671" spans="1:3" x14ac:dyDescent="0.25">
      <c r="A4671" s="31"/>
      <c r="B4671" s="30"/>
      <c r="C4671" s="30"/>
    </row>
    <row r="4672" spans="1:3" x14ac:dyDescent="0.25">
      <c r="A4672" s="31"/>
      <c r="B4672" s="30"/>
      <c r="C4672" s="30"/>
    </row>
    <row r="4673" spans="1:3" x14ac:dyDescent="0.25">
      <c r="A4673" s="31"/>
      <c r="B4673" s="30"/>
      <c r="C4673" s="30"/>
    </row>
    <row r="4674" spans="1:3" x14ac:dyDescent="0.25">
      <c r="A4674" s="31"/>
      <c r="B4674" s="30"/>
      <c r="C4674" s="30"/>
    </row>
    <row r="4675" spans="1:3" x14ac:dyDescent="0.25">
      <c r="A4675" s="31"/>
      <c r="B4675" s="30"/>
      <c r="C4675" s="30"/>
    </row>
    <row r="4676" spans="1:3" x14ac:dyDescent="0.25">
      <c r="A4676" s="31"/>
      <c r="B4676" s="30"/>
      <c r="C4676" s="30"/>
    </row>
    <row r="4677" spans="1:3" x14ac:dyDescent="0.25">
      <c r="A4677" s="31"/>
      <c r="B4677" s="30"/>
      <c r="C4677" s="30"/>
    </row>
    <row r="4678" spans="1:3" x14ac:dyDescent="0.25">
      <c r="A4678" s="31"/>
      <c r="B4678" s="30"/>
      <c r="C4678" s="30"/>
    </row>
    <row r="4679" spans="1:3" x14ac:dyDescent="0.25">
      <c r="A4679" s="31"/>
      <c r="B4679" s="30"/>
      <c r="C4679" s="30"/>
    </row>
    <row r="4680" spans="1:3" x14ac:dyDescent="0.25">
      <c r="A4680" s="31"/>
      <c r="B4680" s="30"/>
      <c r="C4680" s="30"/>
    </row>
    <row r="4681" spans="1:3" x14ac:dyDescent="0.25">
      <c r="A4681" s="31"/>
      <c r="B4681" s="30"/>
      <c r="C4681" s="30"/>
    </row>
    <row r="4682" spans="1:3" x14ac:dyDescent="0.25">
      <c r="A4682" s="31"/>
      <c r="B4682" s="30"/>
      <c r="C4682" s="30"/>
    </row>
    <row r="4683" spans="1:3" x14ac:dyDescent="0.25">
      <c r="A4683" s="31"/>
      <c r="B4683" s="30"/>
      <c r="C4683" s="30"/>
    </row>
    <row r="4684" spans="1:3" x14ac:dyDescent="0.25">
      <c r="A4684" s="31"/>
      <c r="B4684" s="30"/>
      <c r="C4684" s="30"/>
    </row>
    <row r="4685" spans="1:3" x14ac:dyDescent="0.25">
      <c r="A4685" s="31"/>
      <c r="B4685" s="30"/>
      <c r="C4685" s="30"/>
    </row>
    <row r="4686" spans="1:3" x14ac:dyDescent="0.25">
      <c r="A4686" s="31"/>
      <c r="B4686" s="30"/>
      <c r="C4686" s="30"/>
    </row>
    <row r="4687" spans="1:3" x14ac:dyDescent="0.25">
      <c r="A4687" s="31"/>
      <c r="B4687" s="30"/>
      <c r="C4687" s="30"/>
    </row>
    <row r="4688" spans="1:3" x14ac:dyDescent="0.25">
      <c r="A4688" s="31"/>
      <c r="B4688" s="30"/>
      <c r="C4688" s="30"/>
    </row>
    <row r="4689" spans="1:3" x14ac:dyDescent="0.25">
      <c r="A4689" s="31"/>
      <c r="B4689" s="30"/>
      <c r="C4689" s="30"/>
    </row>
    <row r="4690" spans="1:3" x14ac:dyDescent="0.25">
      <c r="A4690" s="31"/>
      <c r="B4690" s="30"/>
      <c r="C4690" s="30"/>
    </row>
    <row r="4691" spans="1:3" x14ac:dyDescent="0.25">
      <c r="A4691" s="31"/>
      <c r="B4691" s="30"/>
      <c r="C4691" s="30"/>
    </row>
    <row r="4692" spans="1:3" x14ac:dyDescent="0.25">
      <c r="A4692" s="31"/>
      <c r="B4692" s="30"/>
      <c r="C4692" s="30"/>
    </row>
    <row r="4693" spans="1:3" x14ac:dyDescent="0.25">
      <c r="A4693" s="31"/>
      <c r="B4693" s="30"/>
      <c r="C4693" s="30"/>
    </row>
    <row r="4694" spans="1:3" x14ac:dyDescent="0.25">
      <c r="A4694" s="31"/>
      <c r="B4694" s="30"/>
      <c r="C4694" s="30"/>
    </row>
    <row r="4695" spans="1:3" x14ac:dyDescent="0.25">
      <c r="A4695" s="31"/>
      <c r="B4695" s="30"/>
      <c r="C4695" s="30"/>
    </row>
    <row r="4696" spans="1:3" x14ac:dyDescent="0.25">
      <c r="A4696" s="31"/>
      <c r="B4696" s="30"/>
      <c r="C4696" s="30"/>
    </row>
    <row r="4697" spans="1:3" x14ac:dyDescent="0.25">
      <c r="A4697" s="31"/>
      <c r="B4697" s="30"/>
      <c r="C4697" s="30"/>
    </row>
    <row r="4698" spans="1:3" x14ac:dyDescent="0.25">
      <c r="A4698" s="31"/>
      <c r="B4698" s="30"/>
      <c r="C4698" s="30"/>
    </row>
    <row r="4699" spans="1:3" x14ac:dyDescent="0.25">
      <c r="A4699" s="31"/>
      <c r="B4699" s="30"/>
      <c r="C4699" s="30"/>
    </row>
    <row r="4700" spans="1:3" x14ac:dyDescent="0.25">
      <c r="A4700" s="31"/>
      <c r="B4700" s="30"/>
      <c r="C4700" s="30"/>
    </row>
    <row r="4701" spans="1:3" x14ac:dyDescent="0.25">
      <c r="A4701" s="31"/>
      <c r="B4701" s="30"/>
      <c r="C4701" s="30"/>
    </row>
    <row r="4702" spans="1:3" x14ac:dyDescent="0.25">
      <c r="A4702" s="31"/>
      <c r="B4702" s="30"/>
      <c r="C4702" s="30"/>
    </row>
    <row r="4703" spans="1:3" x14ac:dyDescent="0.25">
      <c r="A4703" s="31"/>
      <c r="B4703" s="30"/>
      <c r="C4703" s="30"/>
    </row>
    <row r="4704" spans="1:3" x14ac:dyDescent="0.25">
      <c r="A4704" s="31"/>
      <c r="B4704" s="30"/>
      <c r="C4704" s="30"/>
    </row>
    <row r="4705" spans="1:3" x14ac:dyDescent="0.25">
      <c r="A4705" s="31"/>
      <c r="B4705" s="30"/>
      <c r="C4705" s="30"/>
    </row>
    <row r="4706" spans="1:3" x14ac:dyDescent="0.25">
      <c r="A4706" s="31"/>
      <c r="B4706" s="30"/>
      <c r="C4706" s="30"/>
    </row>
    <row r="4707" spans="1:3" x14ac:dyDescent="0.25">
      <c r="A4707" s="31"/>
      <c r="B4707" s="30"/>
      <c r="C4707" s="30"/>
    </row>
    <row r="4708" spans="1:3" x14ac:dyDescent="0.25">
      <c r="A4708" s="31"/>
      <c r="B4708" s="30"/>
      <c r="C4708" s="30"/>
    </row>
    <row r="4709" spans="1:3" x14ac:dyDescent="0.25">
      <c r="A4709" s="31"/>
      <c r="B4709" s="30"/>
      <c r="C4709" s="30"/>
    </row>
    <row r="4710" spans="1:3" x14ac:dyDescent="0.25">
      <c r="A4710" s="31"/>
      <c r="B4710" s="30"/>
      <c r="C4710" s="30"/>
    </row>
    <row r="4711" spans="1:3" x14ac:dyDescent="0.25">
      <c r="A4711" s="31"/>
      <c r="B4711" s="30"/>
      <c r="C4711" s="30"/>
    </row>
    <row r="4712" spans="1:3" x14ac:dyDescent="0.25">
      <c r="A4712" s="31"/>
      <c r="B4712" s="30"/>
      <c r="C4712" s="30"/>
    </row>
    <row r="4713" spans="1:3" x14ac:dyDescent="0.25">
      <c r="A4713" s="31"/>
      <c r="B4713" s="30"/>
      <c r="C4713" s="30"/>
    </row>
    <row r="4714" spans="1:3" x14ac:dyDescent="0.25">
      <c r="A4714" s="31"/>
      <c r="B4714" s="30"/>
      <c r="C4714" s="30"/>
    </row>
    <row r="4715" spans="1:3" x14ac:dyDescent="0.25">
      <c r="A4715" s="31"/>
      <c r="B4715" s="30"/>
      <c r="C4715" s="30"/>
    </row>
    <row r="4716" spans="1:3" x14ac:dyDescent="0.25">
      <c r="A4716" s="31"/>
      <c r="B4716" s="30"/>
      <c r="C4716" s="30"/>
    </row>
    <row r="4717" spans="1:3" x14ac:dyDescent="0.25">
      <c r="A4717" s="31"/>
      <c r="B4717" s="30"/>
      <c r="C4717" s="30"/>
    </row>
    <row r="4718" spans="1:3" x14ac:dyDescent="0.25">
      <c r="A4718" s="31"/>
      <c r="B4718" s="30"/>
      <c r="C4718" s="30"/>
    </row>
    <row r="4719" spans="1:3" x14ac:dyDescent="0.25">
      <c r="A4719" s="31"/>
      <c r="B4719" s="30"/>
      <c r="C4719" s="30"/>
    </row>
    <row r="4720" spans="1:3" x14ac:dyDescent="0.25">
      <c r="A4720" s="31"/>
      <c r="B4720" s="30"/>
      <c r="C4720" s="30"/>
    </row>
    <row r="4721" spans="1:3" x14ac:dyDescent="0.25">
      <c r="A4721" s="31"/>
      <c r="B4721" s="30"/>
      <c r="C4721" s="30"/>
    </row>
    <row r="4722" spans="1:3" x14ac:dyDescent="0.25">
      <c r="A4722" s="31"/>
      <c r="B4722" s="30"/>
      <c r="C4722" s="30"/>
    </row>
    <row r="4723" spans="1:3" x14ac:dyDescent="0.25">
      <c r="A4723" s="31"/>
      <c r="B4723" s="30"/>
      <c r="C4723" s="30"/>
    </row>
    <row r="4724" spans="1:3" x14ac:dyDescent="0.25">
      <c r="A4724" s="31"/>
      <c r="B4724" s="30"/>
      <c r="C4724" s="30"/>
    </row>
    <row r="4725" spans="1:3" x14ac:dyDescent="0.25">
      <c r="A4725" s="31"/>
      <c r="B4725" s="30"/>
      <c r="C4725" s="30"/>
    </row>
    <row r="4726" spans="1:3" x14ac:dyDescent="0.25">
      <c r="A4726" s="31"/>
      <c r="B4726" s="30"/>
      <c r="C4726" s="30"/>
    </row>
    <row r="4727" spans="1:3" x14ac:dyDescent="0.25">
      <c r="A4727" s="31"/>
      <c r="B4727" s="30"/>
      <c r="C4727" s="30"/>
    </row>
    <row r="4728" spans="1:3" x14ac:dyDescent="0.25">
      <c r="A4728" s="31"/>
      <c r="B4728" s="30"/>
      <c r="C4728" s="30"/>
    </row>
    <row r="4729" spans="1:3" x14ac:dyDescent="0.25">
      <c r="A4729" s="31"/>
      <c r="B4729" s="30"/>
      <c r="C4729" s="30"/>
    </row>
    <row r="4730" spans="1:3" x14ac:dyDescent="0.25">
      <c r="A4730" s="31"/>
      <c r="B4730" s="30"/>
      <c r="C4730" s="30"/>
    </row>
    <row r="4731" spans="1:3" x14ac:dyDescent="0.25">
      <c r="A4731" s="31"/>
      <c r="B4731" s="30"/>
      <c r="C4731" s="30"/>
    </row>
    <row r="4732" spans="1:3" x14ac:dyDescent="0.25">
      <c r="A4732" s="31"/>
      <c r="B4732" s="30"/>
      <c r="C4732" s="30"/>
    </row>
    <row r="4733" spans="1:3" x14ac:dyDescent="0.25">
      <c r="A4733" s="31"/>
      <c r="B4733" s="30"/>
      <c r="C4733" s="30"/>
    </row>
    <row r="4734" spans="1:3" x14ac:dyDescent="0.25">
      <c r="A4734" s="31"/>
      <c r="B4734" s="30"/>
      <c r="C4734" s="30"/>
    </row>
    <row r="4735" spans="1:3" x14ac:dyDescent="0.25">
      <c r="A4735" s="31"/>
      <c r="B4735" s="30"/>
      <c r="C4735" s="30"/>
    </row>
    <row r="4736" spans="1:3" x14ac:dyDescent="0.25">
      <c r="A4736" s="31"/>
      <c r="B4736" s="30"/>
      <c r="C4736" s="30"/>
    </row>
    <row r="4737" spans="1:3" x14ac:dyDescent="0.25">
      <c r="A4737" s="31"/>
      <c r="B4737" s="30"/>
      <c r="C4737" s="30"/>
    </row>
    <row r="4738" spans="1:3" x14ac:dyDescent="0.25">
      <c r="A4738" s="31"/>
      <c r="B4738" s="30"/>
      <c r="C4738" s="30"/>
    </row>
    <row r="4739" spans="1:3" x14ac:dyDescent="0.25">
      <c r="A4739" s="31"/>
      <c r="B4739" s="30"/>
      <c r="C4739" s="30"/>
    </row>
    <row r="4740" spans="1:3" x14ac:dyDescent="0.25">
      <c r="A4740" s="31"/>
      <c r="B4740" s="30"/>
      <c r="C4740" s="30"/>
    </row>
    <row r="4741" spans="1:3" x14ac:dyDescent="0.25">
      <c r="A4741" s="31"/>
      <c r="B4741" s="30"/>
      <c r="C4741" s="30"/>
    </row>
    <row r="4742" spans="1:3" x14ac:dyDescent="0.25">
      <c r="A4742" s="31"/>
      <c r="B4742" s="30"/>
      <c r="C4742" s="30"/>
    </row>
    <row r="4743" spans="1:3" x14ac:dyDescent="0.25">
      <c r="A4743" s="31"/>
      <c r="B4743" s="30"/>
      <c r="C4743" s="30"/>
    </row>
    <row r="4744" spans="1:3" x14ac:dyDescent="0.25">
      <c r="A4744" s="31"/>
      <c r="B4744" s="30"/>
      <c r="C4744" s="30"/>
    </row>
    <row r="4745" spans="1:3" x14ac:dyDescent="0.25">
      <c r="A4745" s="31"/>
      <c r="B4745" s="30"/>
      <c r="C4745" s="30"/>
    </row>
    <row r="4746" spans="1:3" x14ac:dyDescent="0.25">
      <c r="A4746" s="31"/>
      <c r="B4746" s="30"/>
      <c r="C4746" s="30"/>
    </row>
    <row r="4747" spans="1:3" x14ac:dyDescent="0.25">
      <c r="A4747" s="31"/>
      <c r="B4747" s="30"/>
      <c r="C4747" s="30"/>
    </row>
    <row r="4748" spans="1:3" x14ac:dyDescent="0.25">
      <c r="A4748" s="31"/>
      <c r="B4748" s="30"/>
      <c r="C4748" s="30"/>
    </row>
    <row r="4749" spans="1:3" x14ac:dyDescent="0.25">
      <c r="A4749" s="31"/>
      <c r="B4749" s="30"/>
      <c r="C4749" s="30"/>
    </row>
    <row r="4750" spans="1:3" x14ac:dyDescent="0.25">
      <c r="A4750" s="31"/>
      <c r="B4750" s="30"/>
      <c r="C4750" s="30"/>
    </row>
    <row r="4751" spans="1:3" x14ac:dyDescent="0.25">
      <c r="A4751" s="31"/>
      <c r="B4751" s="30"/>
      <c r="C4751" s="30"/>
    </row>
    <row r="4752" spans="1:3" x14ac:dyDescent="0.25">
      <c r="A4752" s="31"/>
      <c r="B4752" s="30"/>
      <c r="C4752" s="30"/>
    </row>
    <row r="4753" spans="1:3" x14ac:dyDescent="0.25">
      <c r="A4753" s="31"/>
      <c r="B4753" s="30"/>
      <c r="C4753" s="30"/>
    </row>
    <row r="4754" spans="1:3" x14ac:dyDescent="0.25">
      <c r="A4754" s="31"/>
      <c r="B4754" s="30"/>
      <c r="C4754" s="30"/>
    </row>
    <row r="4755" spans="1:3" x14ac:dyDescent="0.25">
      <c r="A4755" s="31"/>
      <c r="B4755" s="30"/>
      <c r="C4755" s="30"/>
    </row>
    <row r="4756" spans="1:3" x14ac:dyDescent="0.25">
      <c r="A4756" s="31"/>
      <c r="B4756" s="30"/>
      <c r="C4756" s="30"/>
    </row>
    <row r="4757" spans="1:3" x14ac:dyDescent="0.25">
      <c r="A4757" s="31"/>
      <c r="B4757" s="30"/>
      <c r="C4757" s="30"/>
    </row>
    <row r="4758" spans="1:3" x14ac:dyDescent="0.25">
      <c r="A4758" s="31"/>
      <c r="B4758" s="30"/>
      <c r="C4758" s="30"/>
    </row>
    <row r="4759" spans="1:3" x14ac:dyDescent="0.25">
      <c r="A4759" s="31"/>
      <c r="B4759" s="30"/>
      <c r="C4759" s="30"/>
    </row>
    <row r="4760" spans="1:3" x14ac:dyDescent="0.25">
      <c r="A4760" s="31"/>
      <c r="B4760" s="30"/>
      <c r="C4760" s="30"/>
    </row>
    <row r="4761" spans="1:3" x14ac:dyDescent="0.25">
      <c r="A4761" s="31"/>
      <c r="B4761" s="30"/>
      <c r="C4761" s="30"/>
    </row>
    <row r="4762" spans="1:3" x14ac:dyDescent="0.25">
      <c r="A4762" s="31"/>
      <c r="B4762" s="30"/>
      <c r="C4762" s="30"/>
    </row>
    <row r="4763" spans="1:3" x14ac:dyDescent="0.25">
      <c r="A4763" s="31"/>
      <c r="B4763" s="30"/>
      <c r="C4763" s="30"/>
    </row>
    <row r="4764" spans="1:3" x14ac:dyDescent="0.25">
      <c r="A4764" s="31"/>
      <c r="B4764" s="30"/>
      <c r="C4764" s="30"/>
    </row>
    <row r="4765" spans="1:3" x14ac:dyDescent="0.25">
      <c r="A4765" s="31"/>
      <c r="B4765" s="30"/>
      <c r="C4765" s="30"/>
    </row>
    <row r="4766" spans="1:3" x14ac:dyDescent="0.25">
      <c r="A4766" s="31"/>
      <c r="B4766" s="30"/>
      <c r="C4766" s="30"/>
    </row>
    <row r="4767" spans="1:3" x14ac:dyDescent="0.25">
      <c r="A4767" s="31"/>
      <c r="B4767" s="30"/>
      <c r="C4767" s="30"/>
    </row>
    <row r="4768" spans="1:3" x14ac:dyDescent="0.25">
      <c r="A4768" s="31"/>
      <c r="B4768" s="30"/>
      <c r="C4768" s="30"/>
    </row>
    <row r="4769" spans="1:3" x14ac:dyDescent="0.25">
      <c r="A4769" s="31"/>
      <c r="B4769" s="30"/>
      <c r="C4769" s="30"/>
    </row>
    <row r="4770" spans="1:3" x14ac:dyDescent="0.25">
      <c r="A4770" s="31"/>
      <c r="B4770" s="30"/>
      <c r="C4770" s="30"/>
    </row>
    <row r="4771" spans="1:3" x14ac:dyDescent="0.25">
      <c r="A4771" s="31"/>
      <c r="B4771" s="30"/>
      <c r="C4771" s="30"/>
    </row>
    <row r="4772" spans="1:3" x14ac:dyDescent="0.25">
      <c r="A4772" s="31"/>
      <c r="B4772" s="30"/>
      <c r="C4772" s="30"/>
    </row>
    <row r="4773" spans="1:3" x14ac:dyDescent="0.25">
      <c r="A4773" s="31"/>
      <c r="B4773" s="30"/>
      <c r="C4773" s="30"/>
    </row>
    <row r="4774" spans="1:3" x14ac:dyDescent="0.25">
      <c r="A4774" s="31"/>
      <c r="B4774" s="30"/>
      <c r="C4774" s="30"/>
    </row>
    <row r="4775" spans="1:3" x14ac:dyDescent="0.25">
      <c r="A4775" s="31"/>
      <c r="B4775" s="30"/>
      <c r="C4775" s="30"/>
    </row>
    <row r="4776" spans="1:3" x14ac:dyDescent="0.25">
      <c r="A4776" s="31"/>
      <c r="B4776" s="30"/>
      <c r="C4776" s="30"/>
    </row>
    <row r="4777" spans="1:3" x14ac:dyDescent="0.25">
      <c r="A4777" s="31"/>
      <c r="B4777" s="30"/>
      <c r="C4777" s="30"/>
    </row>
    <row r="4778" spans="1:3" x14ac:dyDescent="0.25">
      <c r="A4778" s="31"/>
      <c r="B4778" s="30"/>
      <c r="C4778" s="30"/>
    </row>
    <row r="4779" spans="1:3" x14ac:dyDescent="0.25">
      <c r="A4779" s="31"/>
      <c r="B4779" s="30"/>
      <c r="C4779" s="30"/>
    </row>
    <row r="4780" spans="1:3" x14ac:dyDescent="0.25">
      <c r="A4780" s="31"/>
      <c r="B4780" s="30"/>
      <c r="C4780" s="30"/>
    </row>
    <row r="4781" spans="1:3" x14ac:dyDescent="0.25">
      <c r="A4781" s="31"/>
      <c r="B4781" s="30"/>
      <c r="C4781" s="30"/>
    </row>
    <row r="4782" spans="1:3" x14ac:dyDescent="0.25">
      <c r="A4782" s="31"/>
      <c r="B4782" s="30"/>
      <c r="C4782" s="30"/>
    </row>
    <row r="4783" spans="1:3" x14ac:dyDescent="0.25">
      <c r="A4783" s="31"/>
      <c r="B4783" s="30"/>
      <c r="C4783" s="30"/>
    </row>
    <row r="4784" spans="1:3" x14ac:dyDescent="0.25">
      <c r="A4784" s="31"/>
      <c r="B4784" s="30"/>
      <c r="C4784" s="30"/>
    </row>
    <row r="4785" spans="1:3" x14ac:dyDescent="0.25">
      <c r="A4785" s="31"/>
      <c r="B4785" s="30"/>
      <c r="C4785" s="30"/>
    </row>
    <row r="4786" spans="1:3" x14ac:dyDescent="0.25">
      <c r="A4786" s="31"/>
      <c r="B4786" s="30"/>
      <c r="C4786" s="30"/>
    </row>
    <row r="4787" spans="1:3" x14ac:dyDescent="0.25">
      <c r="A4787" s="31"/>
      <c r="B4787" s="30"/>
      <c r="C4787" s="30"/>
    </row>
    <row r="4788" spans="1:3" x14ac:dyDescent="0.25">
      <c r="A4788" s="31"/>
      <c r="B4788" s="30"/>
      <c r="C4788" s="30"/>
    </row>
    <row r="4789" spans="1:3" x14ac:dyDescent="0.25">
      <c r="A4789" s="31"/>
      <c r="B4789" s="30"/>
      <c r="C4789" s="30"/>
    </row>
    <row r="4790" spans="1:3" x14ac:dyDescent="0.25">
      <c r="A4790" s="31"/>
      <c r="B4790" s="30"/>
      <c r="C4790" s="30"/>
    </row>
    <row r="4791" spans="1:3" x14ac:dyDescent="0.25">
      <c r="A4791" s="31"/>
      <c r="B4791" s="30"/>
      <c r="C4791" s="30"/>
    </row>
    <row r="4792" spans="1:3" x14ac:dyDescent="0.25">
      <c r="A4792" s="31"/>
      <c r="B4792" s="30"/>
      <c r="C4792" s="30"/>
    </row>
    <row r="4793" spans="1:3" x14ac:dyDescent="0.25">
      <c r="A4793" s="31"/>
      <c r="B4793" s="30"/>
      <c r="C4793" s="30"/>
    </row>
    <row r="4794" spans="1:3" x14ac:dyDescent="0.25">
      <c r="A4794" s="31"/>
      <c r="B4794" s="30"/>
      <c r="C4794" s="30"/>
    </row>
    <row r="4795" spans="1:3" x14ac:dyDescent="0.25">
      <c r="A4795" s="31"/>
      <c r="B4795" s="30"/>
      <c r="C4795" s="30"/>
    </row>
    <row r="4796" spans="1:3" x14ac:dyDescent="0.25">
      <c r="A4796" s="31"/>
      <c r="B4796" s="30"/>
      <c r="C4796" s="30"/>
    </row>
    <row r="4797" spans="1:3" x14ac:dyDescent="0.25">
      <c r="A4797" s="31"/>
      <c r="B4797" s="30"/>
      <c r="C4797" s="30"/>
    </row>
    <row r="4798" spans="1:3" x14ac:dyDescent="0.25">
      <c r="A4798" s="31"/>
      <c r="B4798" s="30"/>
      <c r="C4798" s="30"/>
    </row>
    <row r="4799" spans="1:3" x14ac:dyDescent="0.25">
      <c r="A4799" s="31"/>
      <c r="B4799" s="30"/>
      <c r="C4799" s="30"/>
    </row>
    <row r="4800" spans="1:3" x14ac:dyDescent="0.25">
      <c r="A4800" s="31"/>
      <c r="B4800" s="30"/>
      <c r="C4800" s="30"/>
    </row>
    <row r="4801" spans="1:3" x14ac:dyDescent="0.25">
      <c r="A4801" s="31"/>
      <c r="B4801" s="30"/>
      <c r="C4801" s="30"/>
    </row>
    <row r="4802" spans="1:3" x14ac:dyDescent="0.25">
      <c r="A4802" s="31"/>
      <c r="B4802" s="30"/>
      <c r="C4802" s="30"/>
    </row>
    <row r="4803" spans="1:3" x14ac:dyDescent="0.25">
      <c r="A4803" s="31"/>
      <c r="B4803" s="30"/>
      <c r="C4803" s="30"/>
    </row>
    <row r="4804" spans="1:3" x14ac:dyDescent="0.25">
      <c r="A4804" s="31"/>
      <c r="B4804" s="30"/>
      <c r="C4804" s="30"/>
    </row>
    <row r="4805" spans="1:3" x14ac:dyDescent="0.25">
      <c r="A4805" s="31"/>
      <c r="B4805" s="30"/>
      <c r="C4805" s="30"/>
    </row>
    <row r="4806" spans="1:3" x14ac:dyDescent="0.25">
      <c r="A4806" s="31"/>
      <c r="B4806" s="30"/>
      <c r="C4806" s="30"/>
    </row>
    <row r="4807" spans="1:3" x14ac:dyDescent="0.25">
      <c r="A4807" s="31"/>
      <c r="B4807" s="30"/>
      <c r="C4807" s="30"/>
    </row>
    <row r="4808" spans="1:3" x14ac:dyDescent="0.25">
      <c r="A4808" s="31"/>
      <c r="B4808" s="30"/>
      <c r="C4808" s="30"/>
    </row>
    <row r="4809" spans="1:3" x14ac:dyDescent="0.25">
      <c r="A4809" s="31"/>
      <c r="B4809" s="30"/>
      <c r="C4809" s="30"/>
    </row>
    <row r="4810" spans="1:3" x14ac:dyDescent="0.25">
      <c r="A4810" s="31"/>
      <c r="B4810" s="30"/>
      <c r="C4810" s="30"/>
    </row>
    <row r="4811" spans="1:3" x14ac:dyDescent="0.25">
      <c r="A4811" s="31"/>
      <c r="B4811" s="30"/>
      <c r="C4811" s="30"/>
    </row>
    <row r="4812" spans="1:3" x14ac:dyDescent="0.25">
      <c r="A4812" s="31"/>
      <c r="B4812" s="30"/>
      <c r="C4812" s="30"/>
    </row>
    <row r="4813" spans="1:3" x14ac:dyDescent="0.25">
      <c r="A4813" s="31"/>
      <c r="B4813" s="30"/>
      <c r="C4813" s="30"/>
    </row>
    <row r="4814" spans="1:3" x14ac:dyDescent="0.25">
      <c r="A4814" s="31"/>
      <c r="B4814" s="30"/>
      <c r="C4814" s="30"/>
    </row>
    <row r="4815" spans="1:3" x14ac:dyDescent="0.25">
      <c r="A4815" s="31"/>
      <c r="B4815" s="30"/>
      <c r="C4815" s="30"/>
    </row>
    <row r="4816" spans="1:3" x14ac:dyDescent="0.25">
      <c r="A4816" s="31"/>
      <c r="B4816" s="30"/>
      <c r="C4816" s="30"/>
    </row>
    <row r="4817" spans="1:3" x14ac:dyDescent="0.25">
      <c r="A4817" s="31"/>
      <c r="B4817" s="30"/>
      <c r="C4817" s="30"/>
    </row>
    <row r="4818" spans="1:3" x14ac:dyDescent="0.25">
      <c r="A4818" s="31"/>
      <c r="B4818" s="30"/>
      <c r="C4818" s="30"/>
    </row>
    <row r="4819" spans="1:3" x14ac:dyDescent="0.25">
      <c r="A4819" s="31"/>
      <c r="B4819" s="30"/>
      <c r="C4819" s="30"/>
    </row>
    <row r="4820" spans="1:3" x14ac:dyDescent="0.25">
      <c r="A4820" s="31"/>
      <c r="B4820" s="30"/>
      <c r="C4820" s="30"/>
    </row>
    <row r="4821" spans="1:3" x14ac:dyDescent="0.25">
      <c r="A4821" s="31"/>
      <c r="B4821" s="30"/>
      <c r="C4821" s="30"/>
    </row>
    <row r="4822" spans="1:3" x14ac:dyDescent="0.25">
      <c r="A4822" s="31"/>
      <c r="B4822" s="30"/>
      <c r="C4822" s="30"/>
    </row>
    <row r="4823" spans="1:3" x14ac:dyDescent="0.25">
      <c r="A4823" s="31"/>
      <c r="B4823" s="30"/>
      <c r="C4823" s="30"/>
    </row>
    <row r="4824" spans="1:3" x14ac:dyDescent="0.25">
      <c r="A4824" s="31"/>
      <c r="B4824" s="30"/>
      <c r="C4824" s="30"/>
    </row>
    <row r="4825" spans="1:3" x14ac:dyDescent="0.25">
      <c r="A4825" s="31"/>
      <c r="B4825" s="30"/>
      <c r="C4825" s="30"/>
    </row>
    <row r="4826" spans="1:3" x14ac:dyDescent="0.25">
      <c r="A4826" s="31"/>
      <c r="B4826" s="30"/>
      <c r="C4826" s="30"/>
    </row>
    <row r="4827" spans="1:3" x14ac:dyDescent="0.25">
      <c r="A4827" s="31"/>
      <c r="B4827" s="30"/>
      <c r="C4827" s="30"/>
    </row>
    <row r="4828" spans="1:3" x14ac:dyDescent="0.25">
      <c r="A4828" s="31"/>
      <c r="B4828" s="30"/>
      <c r="C4828" s="30"/>
    </row>
    <row r="4829" spans="1:3" x14ac:dyDescent="0.25">
      <c r="A4829" s="31"/>
      <c r="B4829" s="30"/>
      <c r="C4829" s="30"/>
    </row>
    <row r="4830" spans="1:3" x14ac:dyDescent="0.25">
      <c r="A4830" s="31"/>
      <c r="B4830" s="30"/>
      <c r="C4830" s="30"/>
    </row>
    <row r="4831" spans="1:3" x14ac:dyDescent="0.25">
      <c r="A4831" s="31"/>
      <c r="B4831" s="30"/>
      <c r="C4831" s="30"/>
    </row>
    <row r="4832" spans="1:3" x14ac:dyDescent="0.25">
      <c r="A4832" s="31"/>
      <c r="B4832" s="30"/>
      <c r="C4832" s="30"/>
    </row>
    <row r="4833" spans="1:3" x14ac:dyDescent="0.25">
      <c r="A4833" s="31"/>
      <c r="B4833" s="30"/>
      <c r="C4833" s="30"/>
    </row>
    <row r="4834" spans="1:3" x14ac:dyDescent="0.25">
      <c r="A4834" s="31"/>
      <c r="B4834" s="30"/>
      <c r="C4834" s="30"/>
    </row>
    <row r="4835" spans="1:3" x14ac:dyDescent="0.25">
      <c r="A4835" s="31"/>
      <c r="B4835" s="30"/>
      <c r="C4835" s="30"/>
    </row>
    <row r="4836" spans="1:3" x14ac:dyDescent="0.25">
      <c r="A4836" s="31"/>
      <c r="B4836" s="30"/>
      <c r="C4836" s="30"/>
    </row>
    <row r="4837" spans="1:3" x14ac:dyDescent="0.25">
      <c r="A4837" s="31"/>
      <c r="B4837" s="30"/>
      <c r="C4837" s="30"/>
    </row>
    <row r="4838" spans="1:3" x14ac:dyDescent="0.25">
      <c r="A4838" s="31"/>
      <c r="B4838" s="30"/>
      <c r="C4838" s="30"/>
    </row>
    <row r="4839" spans="1:3" x14ac:dyDescent="0.25">
      <c r="A4839" s="31"/>
      <c r="B4839" s="30"/>
      <c r="C4839" s="30"/>
    </row>
    <row r="4840" spans="1:3" x14ac:dyDescent="0.25">
      <c r="A4840" s="31"/>
      <c r="B4840" s="30"/>
      <c r="C4840" s="30"/>
    </row>
    <row r="4841" spans="1:3" x14ac:dyDescent="0.25">
      <c r="A4841" s="31"/>
      <c r="B4841" s="30"/>
      <c r="C4841" s="30"/>
    </row>
    <row r="4842" spans="1:3" x14ac:dyDescent="0.25">
      <c r="A4842" s="31"/>
      <c r="B4842" s="30"/>
      <c r="C4842" s="30"/>
    </row>
    <row r="4843" spans="1:3" x14ac:dyDescent="0.25">
      <c r="A4843" s="31"/>
      <c r="B4843" s="30"/>
      <c r="C4843" s="30"/>
    </row>
    <row r="4844" spans="1:3" x14ac:dyDescent="0.25">
      <c r="A4844" s="31"/>
      <c r="B4844" s="30"/>
      <c r="C4844" s="30"/>
    </row>
    <row r="4845" spans="1:3" x14ac:dyDescent="0.25">
      <c r="A4845" s="31"/>
      <c r="B4845" s="30"/>
      <c r="C4845" s="30"/>
    </row>
    <row r="4846" spans="1:3" x14ac:dyDescent="0.25">
      <c r="A4846" s="31"/>
      <c r="B4846" s="30"/>
      <c r="C4846" s="30"/>
    </row>
    <row r="4847" spans="1:3" x14ac:dyDescent="0.25">
      <c r="A4847" s="31"/>
      <c r="B4847" s="30"/>
      <c r="C4847" s="30"/>
    </row>
    <row r="4848" spans="1:3" x14ac:dyDescent="0.25">
      <c r="A4848" s="31"/>
      <c r="B4848" s="30"/>
      <c r="C4848" s="30"/>
    </row>
    <row r="4849" spans="1:3" x14ac:dyDescent="0.25">
      <c r="A4849" s="31"/>
      <c r="B4849" s="30"/>
      <c r="C4849" s="30"/>
    </row>
    <row r="4850" spans="1:3" x14ac:dyDescent="0.25">
      <c r="A4850" s="31"/>
      <c r="B4850" s="30"/>
      <c r="C4850" s="30"/>
    </row>
    <row r="4851" spans="1:3" x14ac:dyDescent="0.25">
      <c r="A4851" s="31"/>
      <c r="B4851" s="30"/>
      <c r="C4851" s="30"/>
    </row>
    <row r="4852" spans="1:3" x14ac:dyDescent="0.25">
      <c r="A4852" s="31"/>
      <c r="B4852" s="30"/>
      <c r="C4852" s="30"/>
    </row>
    <row r="4853" spans="1:3" x14ac:dyDescent="0.25">
      <c r="A4853" s="31"/>
      <c r="B4853" s="30"/>
      <c r="C4853" s="30"/>
    </row>
    <row r="4854" spans="1:3" x14ac:dyDescent="0.25">
      <c r="A4854" s="31"/>
      <c r="B4854" s="30"/>
      <c r="C4854" s="30"/>
    </row>
    <row r="4855" spans="1:3" x14ac:dyDescent="0.25">
      <c r="A4855" s="31"/>
      <c r="B4855" s="30"/>
      <c r="C4855" s="30"/>
    </row>
    <row r="4856" spans="1:3" x14ac:dyDescent="0.25">
      <c r="A4856" s="31"/>
      <c r="B4856" s="30"/>
      <c r="C4856" s="30"/>
    </row>
    <row r="4857" spans="1:3" x14ac:dyDescent="0.25">
      <c r="A4857" s="31"/>
      <c r="B4857" s="30"/>
      <c r="C4857" s="30"/>
    </row>
    <row r="4858" spans="1:3" x14ac:dyDescent="0.25">
      <c r="A4858" s="31"/>
      <c r="B4858" s="30"/>
      <c r="C4858" s="30"/>
    </row>
    <row r="4859" spans="1:3" x14ac:dyDescent="0.25">
      <c r="A4859" s="31"/>
      <c r="B4859" s="30"/>
      <c r="C4859" s="30"/>
    </row>
    <row r="4860" spans="1:3" x14ac:dyDescent="0.25">
      <c r="A4860" s="31"/>
      <c r="B4860" s="30"/>
      <c r="C4860" s="30"/>
    </row>
    <row r="4861" spans="1:3" x14ac:dyDescent="0.25">
      <c r="A4861" s="31"/>
      <c r="B4861" s="30"/>
      <c r="C4861" s="30"/>
    </row>
    <row r="4862" spans="1:3" x14ac:dyDescent="0.25">
      <c r="A4862" s="31"/>
      <c r="B4862" s="30"/>
      <c r="C4862" s="30"/>
    </row>
    <row r="4863" spans="1:3" x14ac:dyDescent="0.25">
      <c r="A4863" s="31"/>
      <c r="B4863" s="30"/>
      <c r="C4863" s="30"/>
    </row>
    <row r="4864" spans="1:3" x14ac:dyDescent="0.25">
      <c r="A4864" s="31"/>
      <c r="B4864" s="30"/>
      <c r="C4864" s="30"/>
    </row>
    <row r="4865" spans="1:3" x14ac:dyDescent="0.25">
      <c r="A4865" s="31"/>
      <c r="B4865" s="30"/>
      <c r="C4865" s="30"/>
    </row>
    <row r="4866" spans="1:3" x14ac:dyDescent="0.25">
      <c r="A4866" s="31"/>
      <c r="B4866" s="30"/>
      <c r="C4866" s="30"/>
    </row>
    <row r="4867" spans="1:3" x14ac:dyDescent="0.25">
      <c r="A4867" s="31"/>
      <c r="B4867" s="30"/>
      <c r="C4867" s="30"/>
    </row>
    <row r="4868" spans="1:3" x14ac:dyDescent="0.25">
      <c r="A4868" s="31"/>
      <c r="B4868" s="30"/>
      <c r="C4868" s="30"/>
    </row>
    <row r="4869" spans="1:3" x14ac:dyDescent="0.25">
      <c r="A4869" s="31"/>
      <c r="B4869" s="30"/>
      <c r="C4869" s="30"/>
    </row>
    <row r="4870" spans="1:3" x14ac:dyDescent="0.25">
      <c r="A4870" s="31"/>
      <c r="B4870" s="30"/>
      <c r="C4870" s="30"/>
    </row>
    <row r="4871" spans="1:3" x14ac:dyDescent="0.25">
      <c r="A4871" s="31"/>
      <c r="B4871" s="30"/>
      <c r="C4871" s="30"/>
    </row>
    <row r="4872" spans="1:3" x14ac:dyDescent="0.25">
      <c r="A4872" s="31"/>
      <c r="B4872" s="30"/>
      <c r="C4872" s="30"/>
    </row>
    <row r="4873" spans="1:3" x14ac:dyDescent="0.25">
      <c r="A4873" s="31"/>
      <c r="B4873" s="30"/>
      <c r="C4873" s="30"/>
    </row>
    <row r="4874" spans="1:3" x14ac:dyDescent="0.25">
      <c r="A4874" s="31"/>
      <c r="B4874" s="30"/>
      <c r="C4874" s="30"/>
    </row>
    <row r="4875" spans="1:3" x14ac:dyDescent="0.25">
      <c r="A4875" s="31"/>
      <c r="B4875" s="30"/>
      <c r="C4875" s="30"/>
    </row>
    <row r="4876" spans="1:3" x14ac:dyDescent="0.25">
      <c r="A4876" s="31"/>
      <c r="B4876" s="30"/>
      <c r="C4876" s="30"/>
    </row>
    <row r="4877" spans="1:3" x14ac:dyDescent="0.25">
      <c r="A4877" s="31"/>
      <c r="B4877" s="30"/>
      <c r="C4877" s="30"/>
    </row>
    <row r="4878" spans="1:3" x14ac:dyDescent="0.25">
      <c r="A4878" s="31"/>
      <c r="B4878" s="30"/>
      <c r="C4878" s="30"/>
    </row>
    <row r="4879" spans="1:3" x14ac:dyDescent="0.25">
      <c r="A4879" s="31"/>
      <c r="B4879" s="30"/>
      <c r="C4879" s="30"/>
    </row>
    <row r="4880" spans="1:3" x14ac:dyDescent="0.25">
      <c r="A4880" s="31"/>
      <c r="B4880" s="30"/>
      <c r="C4880" s="30"/>
    </row>
    <row r="4881" spans="1:3" x14ac:dyDescent="0.25">
      <c r="A4881" s="31"/>
      <c r="B4881" s="30"/>
      <c r="C4881" s="30"/>
    </row>
    <row r="4882" spans="1:3" x14ac:dyDescent="0.25">
      <c r="A4882" s="31"/>
      <c r="B4882" s="30"/>
      <c r="C4882" s="30"/>
    </row>
    <row r="4883" spans="1:3" x14ac:dyDescent="0.25">
      <c r="A4883" s="31"/>
      <c r="B4883" s="30"/>
      <c r="C4883" s="30"/>
    </row>
    <row r="4884" spans="1:3" x14ac:dyDescent="0.25">
      <c r="A4884" s="31"/>
      <c r="B4884" s="30"/>
      <c r="C4884" s="30"/>
    </row>
    <row r="4885" spans="1:3" x14ac:dyDescent="0.25">
      <c r="A4885" s="31"/>
      <c r="B4885" s="30"/>
      <c r="C4885" s="30"/>
    </row>
    <row r="4886" spans="1:3" x14ac:dyDescent="0.25">
      <c r="A4886" s="31"/>
      <c r="B4886" s="30"/>
      <c r="C4886" s="30"/>
    </row>
    <row r="4887" spans="1:3" x14ac:dyDescent="0.25">
      <c r="A4887" s="31"/>
      <c r="B4887" s="30"/>
      <c r="C4887" s="30"/>
    </row>
    <row r="4888" spans="1:3" x14ac:dyDescent="0.25">
      <c r="A4888" s="31"/>
      <c r="B4888" s="30"/>
      <c r="C4888" s="30"/>
    </row>
    <row r="4889" spans="1:3" x14ac:dyDescent="0.25">
      <c r="A4889" s="31"/>
      <c r="B4889" s="30"/>
      <c r="C4889" s="30"/>
    </row>
    <row r="4890" spans="1:3" x14ac:dyDescent="0.25">
      <c r="A4890" s="31"/>
      <c r="B4890" s="30"/>
      <c r="C4890" s="30"/>
    </row>
    <row r="4891" spans="1:3" x14ac:dyDescent="0.25">
      <c r="A4891" s="31"/>
      <c r="B4891" s="30"/>
      <c r="C4891" s="30"/>
    </row>
    <row r="4892" spans="1:3" x14ac:dyDescent="0.25">
      <c r="A4892" s="31"/>
      <c r="B4892" s="30"/>
      <c r="C4892" s="30"/>
    </row>
    <row r="4893" spans="1:3" x14ac:dyDescent="0.25">
      <c r="A4893" s="31"/>
      <c r="B4893" s="30"/>
      <c r="C4893" s="30"/>
    </row>
    <row r="4894" spans="1:3" x14ac:dyDescent="0.25">
      <c r="A4894" s="31"/>
      <c r="B4894" s="30"/>
      <c r="C4894" s="30"/>
    </row>
    <row r="4895" spans="1:3" x14ac:dyDescent="0.25">
      <c r="A4895" s="31"/>
      <c r="B4895" s="30"/>
      <c r="C4895" s="30"/>
    </row>
    <row r="4896" spans="1:3" x14ac:dyDescent="0.25">
      <c r="A4896" s="31"/>
      <c r="B4896" s="30"/>
      <c r="C4896" s="30"/>
    </row>
    <row r="4897" spans="1:3" x14ac:dyDescent="0.25">
      <c r="A4897" s="31"/>
      <c r="B4897" s="30"/>
      <c r="C4897" s="30"/>
    </row>
    <row r="4898" spans="1:3" x14ac:dyDescent="0.25">
      <c r="A4898" s="31"/>
      <c r="B4898" s="30"/>
      <c r="C4898" s="30"/>
    </row>
    <row r="4899" spans="1:3" x14ac:dyDescent="0.25">
      <c r="A4899" s="31"/>
      <c r="B4899" s="30"/>
      <c r="C4899" s="30"/>
    </row>
    <row r="4900" spans="1:3" x14ac:dyDescent="0.25">
      <c r="A4900" s="31"/>
      <c r="B4900" s="30"/>
      <c r="C4900" s="30"/>
    </row>
    <row r="4901" spans="1:3" x14ac:dyDescent="0.25">
      <c r="A4901" s="31"/>
      <c r="B4901" s="30"/>
      <c r="C4901" s="30"/>
    </row>
    <row r="4902" spans="1:3" x14ac:dyDescent="0.25">
      <c r="A4902" s="31"/>
      <c r="B4902" s="30"/>
      <c r="C4902" s="30"/>
    </row>
    <row r="4903" spans="1:3" x14ac:dyDescent="0.25">
      <c r="A4903" s="31"/>
      <c r="B4903" s="30"/>
      <c r="C4903" s="30"/>
    </row>
    <row r="4904" spans="1:3" x14ac:dyDescent="0.25">
      <c r="A4904" s="31"/>
      <c r="B4904" s="30"/>
      <c r="C4904" s="30"/>
    </row>
    <row r="4905" spans="1:3" x14ac:dyDescent="0.25">
      <c r="A4905" s="31"/>
      <c r="B4905" s="30"/>
      <c r="C4905" s="30"/>
    </row>
    <row r="4906" spans="1:3" x14ac:dyDescent="0.25">
      <c r="A4906" s="31"/>
      <c r="B4906" s="30"/>
      <c r="C4906" s="30"/>
    </row>
    <row r="4907" spans="1:3" x14ac:dyDescent="0.25">
      <c r="A4907" s="31"/>
      <c r="B4907" s="30"/>
      <c r="C4907" s="30"/>
    </row>
    <row r="4908" spans="1:3" x14ac:dyDescent="0.25">
      <c r="A4908" s="31"/>
      <c r="B4908" s="30"/>
      <c r="C4908" s="30"/>
    </row>
    <row r="4909" spans="1:3" x14ac:dyDescent="0.25">
      <c r="A4909" s="31"/>
      <c r="B4909" s="30"/>
      <c r="C4909" s="30"/>
    </row>
    <row r="4910" spans="1:3" x14ac:dyDescent="0.25">
      <c r="A4910" s="31"/>
      <c r="B4910" s="30"/>
      <c r="C4910" s="30"/>
    </row>
    <row r="4911" spans="1:3" x14ac:dyDescent="0.25">
      <c r="A4911" s="31"/>
      <c r="B4911" s="30"/>
      <c r="C4911" s="30"/>
    </row>
    <row r="4912" spans="1:3" x14ac:dyDescent="0.25">
      <c r="A4912" s="31"/>
      <c r="B4912" s="30"/>
      <c r="C4912" s="30"/>
    </row>
    <row r="4913" spans="1:3" x14ac:dyDescent="0.25">
      <c r="A4913" s="31"/>
      <c r="B4913" s="30"/>
      <c r="C4913" s="30"/>
    </row>
    <row r="4914" spans="1:3" x14ac:dyDescent="0.25">
      <c r="A4914" s="31"/>
      <c r="B4914" s="30"/>
      <c r="C4914" s="30"/>
    </row>
    <row r="4915" spans="1:3" x14ac:dyDescent="0.25">
      <c r="A4915" s="31"/>
      <c r="B4915" s="30"/>
      <c r="C4915" s="30"/>
    </row>
    <row r="4916" spans="1:3" x14ac:dyDescent="0.25">
      <c r="A4916" s="31"/>
      <c r="B4916" s="30"/>
      <c r="C4916" s="30"/>
    </row>
    <row r="4917" spans="1:3" x14ac:dyDescent="0.25">
      <c r="A4917" s="31"/>
      <c r="B4917" s="30"/>
      <c r="C4917" s="30"/>
    </row>
    <row r="4918" spans="1:3" x14ac:dyDescent="0.25">
      <c r="A4918" s="31"/>
      <c r="B4918" s="30"/>
      <c r="C4918" s="30"/>
    </row>
    <row r="4919" spans="1:3" x14ac:dyDescent="0.25">
      <c r="A4919" s="31"/>
      <c r="B4919" s="30"/>
      <c r="C4919" s="30"/>
    </row>
    <row r="4920" spans="1:3" x14ac:dyDescent="0.25">
      <c r="A4920" s="31"/>
      <c r="B4920" s="30"/>
      <c r="C4920" s="30"/>
    </row>
    <row r="4921" spans="1:3" x14ac:dyDescent="0.25">
      <c r="A4921" s="31"/>
      <c r="B4921" s="30"/>
      <c r="C4921" s="30"/>
    </row>
    <row r="4922" spans="1:3" x14ac:dyDescent="0.25">
      <c r="A4922" s="31"/>
      <c r="B4922" s="30"/>
      <c r="C4922" s="30"/>
    </row>
    <row r="4923" spans="1:3" x14ac:dyDescent="0.25">
      <c r="A4923" s="31"/>
      <c r="B4923" s="30"/>
      <c r="C4923" s="30"/>
    </row>
    <row r="4924" spans="1:3" x14ac:dyDescent="0.25">
      <c r="A4924" s="31"/>
      <c r="B4924" s="30"/>
      <c r="C4924" s="30"/>
    </row>
    <row r="4925" spans="1:3" x14ac:dyDescent="0.25">
      <c r="A4925" s="31"/>
      <c r="B4925" s="30"/>
      <c r="C4925" s="30"/>
    </row>
    <row r="4926" spans="1:3" x14ac:dyDescent="0.25">
      <c r="A4926" s="31"/>
      <c r="B4926" s="30"/>
      <c r="C4926" s="30"/>
    </row>
    <row r="4927" spans="1:3" x14ac:dyDescent="0.25">
      <c r="A4927" s="31"/>
      <c r="B4927" s="30"/>
      <c r="C4927" s="30"/>
    </row>
    <row r="4928" spans="1:3" x14ac:dyDescent="0.25">
      <c r="A4928" s="31"/>
      <c r="B4928" s="30"/>
      <c r="C4928" s="30"/>
    </row>
    <row r="4929" spans="1:3" x14ac:dyDescent="0.25">
      <c r="A4929" s="31"/>
      <c r="B4929" s="30"/>
      <c r="C4929" s="30"/>
    </row>
    <row r="4930" spans="1:3" x14ac:dyDescent="0.25">
      <c r="A4930" s="31"/>
      <c r="B4930" s="30"/>
      <c r="C4930" s="30"/>
    </row>
    <row r="4931" spans="1:3" x14ac:dyDescent="0.25">
      <c r="A4931" s="31"/>
      <c r="B4931" s="30"/>
      <c r="C4931" s="30"/>
    </row>
    <row r="4932" spans="1:3" x14ac:dyDescent="0.25">
      <c r="A4932" s="31"/>
      <c r="B4932" s="30"/>
      <c r="C4932" s="30"/>
    </row>
    <row r="4933" spans="1:3" x14ac:dyDescent="0.25">
      <c r="A4933" s="31"/>
      <c r="B4933" s="30"/>
      <c r="C4933" s="30"/>
    </row>
    <row r="4934" spans="1:3" x14ac:dyDescent="0.25">
      <c r="A4934" s="31"/>
      <c r="B4934" s="30"/>
      <c r="C4934" s="30"/>
    </row>
    <row r="4935" spans="1:3" x14ac:dyDescent="0.25">
      <c r="A4935" s="31"/>
      <c r="B4935" s="30"/>
      <c r="C4935" s="30"/>
    </row>
    <row r="4936" spans="1:3" x14ac:dyDescent="0.25">
      <c r="A4936" s="31"/>
      <c r="B4936" s="30"/>
      <c r="C4936" s="30"/>
    </row>
    <row r="4937" spans="1:3" x14ac:dyDescent="0.25">
      <c r="A4937" s="31"/>
      <c r="B4937" s="30"/>
      <c r="C4937" s="30"/>
    </row>
    <row r="4938" spans="1:3" x14ac:dyDescent="0.25">
      <c r="A4938" s="31"/>
      <c r="B4938" s="30"/>
      <c r="C4938" s="30"/>
    </row>
    <row r="4939" spans="1:3" x14ac:dyDescent="0.25">
      <c r="A4939" s="31"/>
      <c r="B4939" s="30"/>
      <c r="C4939" s="30"/>
    </row>
    <row r="4940" spans="1:3" x14ac:dyDescent="0.25">
      <c r="A4940" s="31"/>
      <c r="B4940" s="30"/>
      <c r="C4940" s="30"/>
    </row>
    <row r="4941" spans="1:3" x14ac:dyDescent="0.25">
      <c r="A4941" s="31"/>
      <c r="B4941" s="30"/>
      <c r="C4941" s="30"/>
    </row>
    <row r="4942" spans="1:3" x14ac:dyDescent="0.25">
      <c r="A4942" s="31"/>
      <c r="B4942" s="30"/>
      <c r="C4942" s="30"/>
    </row>
    <row r="4943" spans="1:3" x14ac:dyDescent="0.25">
      <c r="A4943" s="31"/>
      <c r="B4943" s="30"/>
      <c r="C4943" s="30"/>
    </row>
    <row r="4944" spans="1:3" x14ac:dyDescent="0.25">
      <c r="A4944" s="31"/>
      <c r="B4944" s="30"/>
      <c r="C4944" s="30"/>
    </row>
    <row r="4945" spans="1:3" x14ac:dyDescent="0.25">
      <c r="A4945" s="31"/>
      <c r="B4945" s="30"/>
      <c r="C4945" s="30"/>
    </row>
    <row r="4946" spans="1:3" x14ac:dyDescent="0.25">
      <c r="A4946" s="31"/>
      <c r="B4946" s="30"/>
      <c r="C4946" s="30"/>
    </row>
    <row r="4947" spans="1:3" x14ac:dyDescent="0.25">
      <c r="A4947" s="31"/>
      <c r="B4947" s="30"/>
      <c r="C4947" s="30"/>
    </row>
    <row r="4948" spans="1:3" x14ac:dyDescent="0.25">
      <c r="A4948" s="31"/>
      <c r="B4948" s="30"/>
      <c r="C4948" s="30"/>
    </row>
    <row r="4949" spans="1:3" x14ac:dyDescent="0.25">
      <c r="A4949" s="31"/>
      <c r="B4949" s="30"/>
      <c r="C4949" s="30"/>
    </row>
    <row r="4950" spans="1:3" x14ac:dyDescent="0.25">
      <c r="A4950" s="31"/>
      <c r="B4950" s="30"/>
      <c r="C4950" s="30"/>
    </row>
    <row r="4951" spans="1:3" x14ac:dyDescent="0.25">
      <c r="A4951" s="31"/>
      <c r="B4951" s="30"/>
      <c r="C4951" s="30"/>
    </row>
    <row r="4952" spans="1:3" x14ac:dyDescent="0.25">
      <c r="A4952" s="31"/>
      <c r="B4952" s="30"/>
      <c r="C4952" s="30"/>
    </row>
    <row r="4953" spans="1:3" x14ac:dyDescent="0.25">
      <c r="A4953" s="31"/>
      <c r="B4953" s="30"/>
      <c r="C4953" s="30"/>
    </row>
    <row r="4954" spans="1:3" x14ac:dyDescent="0.25">
      <c r="A4954" s="31"/>
      <c r="B4954" s="30"/>
      <c r="C4954" s="30"/>
    </row>
    <row r="4955" spans="1:3" x14ac:dyDescent="0.25">
      <c r="A4955" s="31"/>
      <c r="B4955" s="30"/>
      <c r="C4955" s="30"/>
    </row>
    <row r="4956" spans="1:3" x14ac:dyDescent="0.25">
      <c r="A4956" s="31"/>
      <c r="B4956" s="30"/>
      <c r="C4956" s="30"/>
    </row>
    <row r="4957" spans="1:3" x14ac:dyDescent="0.25">
      <c r="A4957" s="31"/>
      <c r="B4957" s="30"/>
      <c r="C4957" s="30"/>
    </row>
    <row r="4958" spans="1:3" x14ac:dyDescent="0.25">
      <c r="A4958" s="31"/>
      <c r="B4958" s="30"/>
      <c r="C4958" s="30"/>
    </row>
    <row r="4959" spans="1:3" x14ac:dyDescent="0.25">
      <c r="A4959" s="31"/>
      <c r="B4959" s="30"/>
      <c r="C4959" s="30"/>
    </row>
    <row r="4960" spans="1:3" x14ac:dyDescent="0.25">
      <c r="A4960" s="31"/>
      <c r="B4960" s="30"/>
      <c r="C4960" s="30"/>
    </row>
    <row r="4961" spans="1:3" x14ac:dyDescent="0.25">
      <c r="A4961" s="31"/>
      <c r="B4961" s="30"/>
      <c r="C4961" s="30"/>
    </row>
    <row r="4962" spans="1:3" x14ac:dyDescent="0.25">
      <c r="A4962" s="31"/>
      <c r="B4962" s="30"/>
      <c r="C4962" s="30"/>
    </row>
    <row r="4963" spans="1:3" x14ac:dyDescent="0.25">
      <c r="A4963" s="31"/>
      <c r="B4963" s="30"/>
      <c r="C4963" s="30"/>
    </row>
    <row r="4964" spans="1:3" x14ac:dyDescent="0.25">
      <c r="A4964" s="31"/>
      <c r="B4964" s="30"/>
      <c r="C4964" s="30"/>
    </row>
    <row r="4965" spans="1:3" x14ac:dyDescent="0.25">
      <c r="A4965" s="31"/>
      <c r="B4965" s="30"/>
      <c r="C4965" s="30"/>
    </row>
    <row r="4966" spans="1:3" x14ac:dyDescent="0.25">
      <c r="A4966" s="31"/>
      <c r="B4966" s="30"/>
      <c r="C4966" s="30"/>
    </row>
    <row r="4967" spans="1:3" x14ac:dyDescent="0.25">
      <c r="A4967" s="31"/>
      <c r="B4967" s="30"/>
      <c r="C4967" s="30"/>
    </row>
    <row r="4968" spans="1:3" x14ac:dyDescent="0.25">
      <c r="A4968" s="31"/>
      <c r="B4968" s="30"/>
      <c r="C4968" s="30"/>
    </row>
    <row r="4969" spans="1:3" x14ac:dyDescent="0.25">
      <c r="A4969" s="31"/>
      <c r="B4969" s="30"/>
      <c r="C4969" s="30"/>
    </row>
    <row r="4970" spans="1:3" x14ac:dyDescent="0.25">
      <c r="A4970" s="31"/>
      <c r="B4970" s="30"/>
      <c r="C4970" s="30"/>
    </row>
    <row r="4971" spans="1:3" x14ac:dyDescent="0.25">
      <c r="A4971" s="31"/>
      <c r="B4971" s="30"/>
      <c r="C4971" s="30"/>
    </row>
    <row r="4972" spans="1:3" x14ac:dyDescent="0.25">
      <c r="A4972" s="31"/>
      <c r="B4972" s="30"/>
      <c r="C4972" s="30"/>
    </row>
    <row r="4973" spans="1:3" x14ac:dyDescent="0.25">
      <c r="A4973" s="31"/>
      <c r="B4973" s="30"/>
      <c r="C4973" s="30"/>
    </row>
    <row r="4974" spans="1:3" x14ac:dyDescent="0.25">
      <c r="A4974" s="31"/>
      <c r="B4974" s="30"/>
      <c r="C4974" s="30"/>
    </row>
    <row r="4975" spans="1:3" x14ac:dyDescent="0.25">
      <c r="A4975" s="31"/>
      <c r="B4975" s="30"/>
      <c r="C4975" s="30"/>
    </row>
    <row r="4976" spans="1:3" x14ac:dyDescent="0.25">
      <c r="A4976" s="31"/>
      <c r="B4976" s="30"/>
      <c r="C4976" s="30"/>
    </row>
    <row r="4977" spans="1:3" x14ac:dyDescent="0.25">
      <c r="A4977" s="31"/>
      <c r="B4977" s="30"/>
      <c r="C4977" s="30"/>
    </row>
    <row r="4978" spans="1:3" x14ac:dyDescent="0.25">
      <c r="A4978" s="31"/>
      <c r="B4978" s="30"/>
      <c r="C4978" s="30"/>
    </row>
    <row r="4979" spans="1:3" x14ac:dyDescent="0.25">
      <c r="A4979" s="31"/>
      <c r="B4979" s="30"/>
      <c r="C4979" s="30"/>
    </row>
    <row r="4980" spans="1:3" x14ac:dyDescent="0.25">
      <c r="A4980" s="31"/>
      <c r="B4980" s="30"/>
      <c r="C4980" s="30"/>
    </row>
    <row r="4981" spans="1:3" x14ac:dyDescent="0.25">
      <c r="A4981" s="31"/>
      <c r="B4981" s="30"/>
      <c r="C4981" s="30"/>
    </row>
    <row r="4982" spans="1:3" x14ac:dyDescent="0.25">
      <c r="A4982" s="31"/>
      <c r="B4982" s="30"/>
      <c r="C4982" s="30"/>
    </row>
    <row r="4983" spans="1:3" x14ac:dyDescent="0.25">
      <c r="A4983" s="31"/>
      <c r="B4983" s="30"/>
      <c r="C4983" s="30"/>
    </row>
    <row r="4984" spans="1:3" x14ac:dyDescent="0.25">
      <c r="A4984" s="31"/>
      <c r="B4984" s="30"/>
      <c r="C4984" s="30"/>
    </row>
    <row r="4985" spans="1:3" x14ac:dyDescent="0.25">
      <c r="A4985" s="31"/>
      <c r="B4985" s="30"/>
      <c r="C4985" s="30"/>
    </row>
    <row r="4986" spans="1:3" x14ac:dyDescent="0.25">
      <c r="A4986" s="31"/>
      <c r="B4986" s="30"/>
      <c r="C4986" s="30"/>
    </row>
    <row r="4987" spans="1:3" x14ac:dyDescent="0.25">
      <c r="A4987" s="31"/>
      <c r="B4987" s="30"/>
      <c r="C4987" s="30"/>
    </row>
    <row r="4988" spans="1:3" x14ac:dyDescent="0.25">
      <c r="A4988" s="31"/>
      <c r="B4988" s="30"/>
      <c r="C4988" s="30"/>
    </row>
    <row r="4989" spans="1:3" x14ac:dyDescent="0.25">
      <c r="A4989" s="31"/>
      <c r="B4989" s="30"/>
      <c r="C4989" s="30"/>
    </row>
    <row r="4990" spans="1:3" x14ac:dyDescent="0.25">
      <c r="A4990" s="31"/>
      <c r="B4990" s="30"/>
      <c r="C4990" s="30"/>
    </row>
    <row r="4991" spans="1:3" x14ac:dyDescent="0.25">
      <c r="A4991" s="31"/>
      <c r="B4991" s="30"/>
      <c r="C4991" s="30"/>
    </row>
    <row r="4992" spans="1:3" x14ac:dyDescent="0.25">
      <c r="A4992" s="31"/>
      <c r="B4992" s="30"/>
      <c r="C4992" s="30"/>
    </row>
    <row r="4993" spans="1:3" x14ac:dyDescent="0.25">
      <c r="A4993" s="31"/>
      <c r="B4993" s="30"/>
      <c r="C4993" s="30"/>
    </row>
    <row r="4994" spans="1:3" x14ac:dyDescent="0.25">
      <c r="A4994" s="31"/>
      <c r="B4994" s="30"/>
      <c r="C4994" s="30"/>
    </row>
    <row r="4995" spans="1:3" x14ac:dyDescent="0.25">
      <c r="A4995" s="31"/>
      <c r="B4995" s="30"/>
      <c r="C4995" s="30"/>
    </row>
    <row r="4996" spans="1:3" x14ac:dyDescent="0.25">
      <c r="A4996" s="31"/>
      <c r="B4996" s="30"/>
      <c r="C4996" s="30"/>
    </row>
    <row r="4997" spans="1:3" x14ac:dyDescent="0.25">
      <c r="A4997" s="31"/>
      <c r="B4997" s="30"/>
      <c r="C4997" s="30"/>
    </row>
    <row r="4998" spans="1:3" x14ac:dyDescent="0.25">
      <c r="A4998" s="31"/>
      <c r="B4998" s="30"/>
      <c r="C4998" s="30"/>
    </row>
    <row r="4999" spans="1:3" x14ac:dyDescent="0.25">
      <c r="A4999" s="31"/>
      <c r="B4999" s="30"/>
      <c r="C4999" s="30"/>
    </row>
    <row r="5000" spans="1:3" x14ac:dyDescent="0.25">
      <c r="A5000" s="31"/>
      <c r="B5000" s="30"/>
      <c r="C5000" s="30"/>
    </row>
    <row r="5001" spans="1:3" x14ac:dyDescent="0.25">
      <c r="A5001" s="31"/>
      <c r="B5001" s="30"/>
      <c r="C5001" s="30"/>
    </row>
    <row r="5002" spans="1:3" x14ac:dyDescent="0.25">
      <c r="A5002" s="31"/>
      <c r="B5002" s="30"/>
      <c r="C5002" s="30"/>
    </row>
    <row r="5003" spans="1:3" x14ac:dyDescent="0.25">
      <c r="A5003" s="31"/>
      <c r="B5003" s="30"/>
      <c r="C5003" s="30"/>
    </row>
    <row r="5004" spans="1:3" x14ac:dyDescent="0.25">
      <c r="A5004" s="31"/>
      <c r="B5004" s="30"/>
      <c r="C5004" s="30"/>
    </row>
    <row r="5005" spans="1:3" x14ac:dyDescent="0.25">
      <c r="A5005" s="31"/>
      <c r="B5005" s="30"/>
      <c r="C5005" s="30"/>
    </row>
    <row r="5006" spans="1:3" x14ac:dyDescent="0.25">
      <c r="A5006" s="31"/>
      <c r="B5006" s="30"/>
      <c r="C5006" s="30"/>
    </row>
    <row r="5007" spans="1:3" x14ac:dyDescent="0.25">
      <c r="A5007" s="31"/>
      <c r="B5007" s="30"/>
      <c r="C5007" s="30"/>
    </row>
    <row r="5008" spans="1:3" x14ac:dyDescent="0.25">
      <c r="A5008" s="31"/>
      <c r="B5008" s="30"/>
      <c r="C5008" s="30"/>
    </row>
    <row r="5009" spans="1:3" x14ac:dyDescent="0.25">
      <c r="A5009" s="31"/>
      <c r="B5009" s="30"/>
      <c r="C5009" s="30"/>
    </row>
    <row r="5010" spans="1:3" x14ac:dyDescent="0.25">
      <c r="A5010" s="31"/>
      <c r="B5010" s="30"/>
      <c r="C5010" s="30"/>
    </row>
    <row r="5011" spans="1:3" x14ac:dyDescent="0.25">
      <c r="A5011" s="31"/>
      <c r="B5011" s="30"/>
      <c r="C5011" s="30"/>
    </row>
    <row r="5012" spans="1:3" x14ac:dyDescent="0.25">
      <c r="A5012" s="31"/>
      <c r="B5012" s="30"/>
      <c r="C5012" s="30"/>
    </row>
    <row r="5013" spans="1:3" x14ac:dyDescent="0.25">
      <c r="A5013" s="31"/>
      <c r="B5013" s="30"/>
      <c r="C5013" s="30"/>
    </row>
    <row r="5014" spans="1:3" x14ac:dyDescent="0.25">
      <c r="A5014" s="31"/>
      <c r="B5014" s="30"/>
      <c r="C5014" s="30"/>
    </row>
    <row r="5015" spans="1:3" x14ac:dyDescent="0.25">
      <c r="A5015" s="31"/>
      <c r="B5015" s="30"/>
      <c r="C5015" s="30"/>
    </row>
    <row r="5016" spans="1:3" x14ac:dyDescent="0.25">
      <c r="A5016" s="31"/>
      <c r="B5016" s="30"/>
      <c r="C5016" s="30"/>
    </row>
    <row r="5017" spans="1:3" x14ac:dyDescent="0.25">
      <c r="A5017" s="31"/>
      <c r="B5017" s="30"/>
      <c r="C5017" s="30"/>
    </row>
    <row r="5018" spans="1:3" x14ac:dyDescent="0.25">
      <c r="A5018" s="31"/>
      <c r="B5018" s="30"/>
      <c r="C5018" s="30"/>
    </row>
    <row r="5019" spans="1:3" x14ac:dyDescent="0.25">
      <c r="A5019" s="31"/>
      <c r="B5019" s="30"/>
      <c r="C5019" s="30"/>
    </row>
    <row r="5020" spans="1:3" x14ac:dyDescent="0.25">
      <c r="A5020" s="31"/>
      <c r="B5020" s="30"/>
      <c r="C5020" s="30"/>
    </row>
    <row r="5021" spans="1:3" x14ac:dyDescent="0.25">
      <c r="A5021" s="31"/>
      <c r="B5021" s="30"/>
      <c r="C5021" s="30"/>
    </row>
    <row r="5022" spans="1:3" x14ac:dyDescent="0.25">
      <c r="A5022" s="31"/>
      <c r="B5022" s="30"/>
      <c r="C5022" s="30"/>
    </row>
    <row r="5023" spans="1:3" x14ac:dyDescent="0.25">
      <c r="A5023" s="31"/>
      <c r="B5023" s="30"/>
      <c r="C5023" s="30"/>
    </row>
    <row r="5024" spans="1:3" x14ac:dyDescent="0.25">
      <c r="A5024" s="31"/>
      <c r="B5024" s="30"/>
      <c r="C5024" s="30"/>
    </row>
    <row r="5025" spans="1:3" x14ac:dyDescent="0.25">
      <c r="A5025" s="31"/>
      <c r="B5025" s="30"/>
      <c r="C5025" s="30"/>
    </row>
    <row r="5026" spans="1:3" x14ac:dyDescent="0.25">
      <c r="A5026" s="31"/>
      <c r="B5026" s="30"/>
      <c r="C5026" s="30"/>
    </row>
    <row r="5027" spans="1:3" x14ac:dyDescent="0.25">
      <c r="A5027" s="31"/>
      <c r="B5027" s="30"/>
      <c r="C5027" s="30"/>
    </row>
    <row r="5028" spans="1:3" x14ac:dyDescent="0.25">
      <c r="A5028" s="31"/>
      <c r="B5028" s="30"/>
      <c r="C5028" s="30"/>
    </row>
    <row r="5029" spans="1:3" x14ac:dyDescent="0.25">
      <c r="A5029" s="31"/>
      <c r="B5029" s="30"/>
      <c r="C5029" s="30"/>
    </row>
    <row r="5030" spans="1:3" x14ac:dyDescent="0.25">
      <c r="A5030" s="31"/>
      <c r="B5030" s="30"/>
      <c r="C5030" s="30"/>
    </row>
    <row r="5031" spans="1:3" x14ac:dyDescent="0.25">
      <c r="A5031" s="31"/>
      <c r="B5031" s="30"/>
      <c r="C5031" s="30"/>
    </row>
    <row r="5032" spans="1:3" x14ac:dyDescent="0.25">
      <c r="A5032" s="31"/>
      <c r="B5032" s="30"/>
      <c r="C5032" s="30"/>
    </row>
    <row r="5033" spans="1:3" x14ac:dyDescent="0.25">
      <c r="A5033" s="31"/>
      <c r="B5033" s="30"/>
      <c r="C5033" s="30"/>
    </row>
    <row r="5034" spans="1:3" x14ac:dyDescent="0.25">
      <c r="A5034" s="31"/>
      <c r="B5034" s="30"/>
      <c r="C5034" s="30"/>
    </row>
    <row r="5035" spans="1:3" x14ac:dyDescent="0.25">
      <c r="A5035" s="31"/>
      <c r="B5035" s="30"/>
      <c r="C5035" s="30"/>
    </row>
    <row r="5036" spans="1:3" x14ac:dyDescent="0.25">
      <c r="A5036" s="31"/>
      <c r="B5036" s="30"/>
      <c r="C5036" s="30"/>
    </row>
    <row r="5037" spans="1:3" x14ac:dyDescent="0.25">
      <c r="A5037" s="31"/>
      <c r="B5037" s="30"/>
      <c r="C5037" s="30"/>
    </row>
    <row r="5038" spans="1:3" x14ac:dyDescent="0.25">
      <c r="A5038" s="31"/>
      <c r="B5038" s="30"/>
      <c r="C5038" s="30"/>
    </row>
    <row r="5039" spans="1:3" x14ac:dyDescent="0.25">
      <c r="A5039" s="31"/>
      <c r="B5039" s="30"/>
      <c r="C5039" s="30"/>
    </row>
    <row r="5040" spans="1:3" x14ac:dyDescent="0.25">
      <c r="A5040" s="31"/>
      <c r="B5040" s="30"/>
      <c r="C5040" s="30"/>
    </row>
    <row r="5041" spans="1:3" x14ac:dyDescent="0.25">
      <c r="A5041" s="31"/>
      <c r="B5041" s="30"/>
      <c r="C5041" s="30"/>
    </row>
    <row r="5042" spans="1:3" x14ac:dyDescent="0.25">
      <c r="A5042" s="31"/>
      <c r="B5042" s="30"/>
      <c r="C5042" s="30"/>
    </row>
    <row r="5043" spans="1:3" x14ac:dyDescent="0.25">
      <c r="A5043" s="31"/>
      <c r="B5043" s="30"/>
      <c r="C5043" s="30"/>
    </row>
    <row r="5044" spans="1:3" x14ac:dyDescent="0.25">
      <c r="A5044" s="31"/>
      <c r="B5044" s="30"/>
      <c r="C5044" s="30"/>
    </row>
    <row r="5045" spans="1:3" x14ac:dyDescent="0.25">
      <c r="A5045" s="31"/>
      <c r="B5045" s="30"/>
      <c r="C5045" s="30"/>
    </row>
    <row r="5046" spans="1:3" x14ac:dyDescent="0.25">
      <c r="A5046" s="31"/>
      <c r="B5046" s="30"/>
      <c r="C5046" s="30"/>
    </row>
    <row r="5047" spans="1:3" x14ac:dyDescent="0.25">
      <c r="A5047" s="31"/>
      <c r="B5047" s="30"/>
      <c r="C5047" s="30"/>
    </row>
    <row r="5048" spans="1:3" x14ac:dyDescent="0.25">
      <c r="A5048" s="31"/>
      <c r="B5048" s="30"/>
      <c r="C5048" s="30"/>
    </row>
    <row r="5049" spans="1:3" x14ac:dyDescent="0.25">
      <c r="A5049" s="31"/>
      <c r="B5049" s="30"/>
      <c r="C5049" s="30"/>
    </row>
    <row r="5050" spans="1:3" x14ac:dyDescent="0.25">
      <c r="A5050" s="31"/>
      <c r="B5050" s="30"/>
      <c r="C5050" s="30"/>
    </row>
    <row r="5051" spans="1:3" x14ac:dyDescent="0.25">
      <c r="A5051" s="31"/>
      <c r="B5051" s="30"/>
      <c r="C5051" s="30"/>
    </row>
    <row r="5052" spans="1:3" x14ac:dyDescent="0.25">
      <c r="A5052" s="31"/>
      <c r="B5052" s="30"/>
      <c r="C5052" s="30"/>
    </row>
    <row r="5053" spans="1:3" x14ac:dyDescent="0.25">
      <c r="A5053" s="31"/>
      <c r="B5053" s="30"/>
      <c r="C5053" s="30"/>
    </row>
    <row r="5054" spans="1:3" x14ac:dyDescent="0.25">
      <c r="A5054" s="31"/>
      <c r="B5054" s="30"/>
      <c r="C5054" s="30"/>
    </row>
    <row r="5055" spans="1:3" x14ac:dyDescent="0.25">
      <c r="A5055" s="31"/>
      <c r="B5055" s="30"/>
      <c r="C5055" s="30"/>
    </row>
    <row r="5056" spans="1:3" x14ac:dyDescent="0.25">
      <c r="A5056" s="31"/>
      <c r="B5056" s="30"/>
      <c r="C5056" s="30"/>
    </row>
    <row r="5057" spans="1:3" x14ac:dyDescent="0.25">
      <c r="A5057" s="31"/>
      <c r="B5057" s="30"/>
      <c r="C5057" s="30"/>
    </row>
    <row r="5058" spans="1:3" x14ac:dyDescent="0.25">
      <c r="A5058" s="31"/>
      <c r="B5058" s="30"/>
      <c r="C5058" s="30"/>
    </row>
    <row r="5059" spans="1:3" x14ac:dyDescent="0.25">
      <c r="A5059" s="31"/>
      <c r="B5059" s="30"/>
      <c r="C5059" s="30"/>
    </row>
    <row r="5060" spans="1:3" x14ac:dyDescent="0.25">
      <c r="A5060" s="31"/>
      <c r="B5060" s="30"/>
      <c r="C5060" s="30"/>
    </row>
    <row r="5061" spans="1:3" x14ac:dyDescent="0.25">
      <c r="A5061" s="31"/>
      <c r="B5061" s="30"/>
      <c r="C5061" s="30"/>
    </row>
    <row r="5062" spans="1:3" x14ac:dyDescent="0.25">
      <c r="A5062" s="31"/>
      <c r="B5062" s="30"/>
      <c r="C5062" s="30"/>
    </row>
    <row r="5063" spans="1:3" x14ac:dyDescent="0.25">
      <c r="A5063" s="31"/>
      <c r="B5063" s="30"/>
      <c r="C5063" s="30"/>
    </row>
    <row r="5064" spans="1:3" x14ac:dyDescent="0.25">
      <c r="A5064" s="31"/>
      <c r="B5064" s="30"/>
      <c r="C5064" s="30"/>
    </row>
    <row r="5065" spans="1:3" x14ac:dyDescent="0.25">
      <c r="A5065" s="31"/>
      <c r="B5065" s="30"/>
      <c r="C5065" s="30"/>
    </row>
    <row r="5066" spans="1:3" x14ac:dyDescent="0.25">
      <c r="A5066" s="31"/>
      <c r="B5066" s="30"/>
      <c r="C5066" s="30"/>
    </row>
    <row r="5067" spans="1:3" x14ac:dyDescent="0.25">
      <c r="A5067" s="31"/>
      <c r="B5067" s="30"/>
      <c r="C5067" s="30"/>
    </row>
    <row r="5068" spans="1:3" x14ac:dyDescent="0.25">
      <c r="A5068" s="31"/>
      <c r="B5068" s="30"/>
      <c r="C5068" s="30"/>
    </row>
    <row r="5069" spans="1:3" x14ac:dyDescent="0.25">
      <c r="A5069" s="31"/>
      <c r="B5069" s="30"/>
      <c r="C5069" s="30"/>
    </row>
    <row r="5070" spans="1:3" x14ac:dyDescent="0.25">
      <c r="A5070" s="31"/>
      <c r="B5070" s="30"/>
      <c r="C5070" s="30"/>
    </row>
    <row r="5071" spans="1:3" x14ac:dyDescent="0.25">
      <c r="A5071" s="31"/>
      <c r="B5071" s="30"/>
      <c r="C5071" s="30"/>
    </row>
    <row r="5072" spans="1:3" x14ac:dyDescent="0.25">
      <c r="A5072" s="31"/>
      <c r="B5072" s="30"/>
      <c r="C5072" s="30"/>
    </row>
    <row r="5073" spans="1:3" x14ac:dyDescent="0.25">
      <c r="A5073" s="31"/>
      <c r="B5073" s="30"/>
      <c r="C5073" s="30"/>
    </row>
    <row r="5074" spans="1:3" x14ac:dyDescent="0.25">
      <c r="A5074" s="31"/>
      <c r="B5074" s="30"/>
      <c r="C5074" s="30"/>
    </row>
    <row r="5075" spans="1:3" x14ac:dyDescent="0.25">
      <c r="A5075" s="31"/>
      <c r="B5075" s="30"/>
      <c r="C5075" s="30"/>
    </row>
    <row r="5076" spans="1:3" x14ac:dyDescent="0.25">
      <c r="A5076" s="31"/>
      <c r="B5076" s="30"/>
      <c r="C5076" s="30"/>
    </row>
    <row r="5077" spans="1:3" x14ac:dyDescent="0.25">
      <c r="A5077" s="31"/>
      <c r="B5077" s="30"/>
      <c r="C5077" s="30"/>
    </row>
    <row r="5078" spans="1:3" x14ac:dyDescent="0.25">
      <c r="A5078" s="31"/>
      <c r="B5078" s="30"/>
      <c r="C5078" s="30"/>
    </row>
    <row r="5079" spans="1:3" x14ac:dyDescent="0.25">
      <c r="A5079" s="31"/>
      <c r="B5079" s="30"/>
      <c r="C5079" s="30"/>
    </row>
    <row r="5080" spans="1:3" x14ac:dyDescent="0.25">
      <c r="A5080" s="31"/>
      <c r="B5080" s="30"/>
      <c r="C5080" s="30"/>
    </row>
    <row r="5081" spans="1:3" x14ac:dyDescent="0.25">
      <c r="A5081" s="31"/>
      <c r="B5081" s="30"/>
      <c r="C5081" s="30"/>
    </row>
    <row r="5082" spans="1:3" x14ac:dyDescent="0.25">
      <c r="A5082" s="31"/>
      <c r="B5082" s="30"/>
      <c r="C5082" s="30"/>
    </row>
    <row r="5083" spans="1:3" x14ac:dyDescent="0.25">
      <c r="A5083" s="31"/>
      <c r="B5083" s="30"/>
      <c r="C5083" s="30"/>
    </row>
    <row r="5084" spans="1:3" x14ac:dyDescent="0.25">
      <c r="A5084" s="31"/>
      <c r="B5084" s="30"/>
      <c r="C5084" s="30"/>
    </row>
    <row r="5085" spans="1:3" x14ac:dyDescent="0.25">
      <c r="A5085" s="31"/>
      <c r="B5085" s="30"/>
      <c r="C5085" s="30"/>
    </row>
    <row r="5086" spans="1:3" x14ac:dyDescent="0.25">
      <c r="A5086" s="31"/>
      <c r="B5086" s="30"/>
      <c r="C5086" s="30"/>
    </row>
    <row r="5087" spans="1:3" x14ac:dyDescent="0.25">
      <c r="A5087" s="31"/>
      <c r="B5087" s="30"/>
      <c r="C5087" s="30"/>
    </row>
    <row r="5088" spans="1:3" x14ac:dyDescent="0.25">
      <c r="A5088" s="31"/>
      <c r="B5088" s="30"/>
      <c r="C5088" s="30"/>
    </row>
    <row r="5089" spans="1:3" x14ac:dyDescent="0.25">
      <c r="A5089" s="31"/>
      <c r="B5089" s="30"/>
      <c r="C5089" s="30"/>
    </row>
    <row r="5090" spans="1:3" x14ac:dyDescent="0.25">
      <c r="A5090" s="31"/>
      <c r="B5090" s="30"/>
      <c r="C5090" s="30"/>
    </row>
    <row r="5091" spans="1:3" x14ac:dyDescent="0.25">
      <c r="A5091" s="31"/>
      <c r="B5091" s="30"/>
      <c r="C5091" s="30"/>
    </row>
    <row r="5092" spans="1:3" x14ac:dyDescent="0.25">
      <c r="A5092" s="31"/>
      <c r="B5092" s="30"/>
      <c r="C5092" s="30"/>
    </row>
    <row r="5093" spans="1:3" x14ac:dyDescent="0.25">
      <c r="A5093" s="31"/>
      <c r="B5093" s="30"/>
      <c r="C5093" s="30"/>
    </row>
    <row r="5094" spans="1:3" x14ac:dyDescent="0.25">
      <c r="A5094" s="31"/>
      <c r="B5094" s="30"/>
      <c r="C5094" s="30"/>
    </row>
    <row r="5095" spans="1:3" x14ac:dyDescent="0.25">
      <c r="A5095" s="31"/>
      <c r="B5095" s="30"/>
      <c r="C5095" s="30"/>
    </row>
    <row r="5096" spans="1:3" x14ac:dyDescent="0.25">
      <c r="A5096" s="31"/>
      <c r="B5096" s="30"/>
      <c r="C5096" s="30"/>
    </row>
    <row r="5097" spans="1:3" x14ac:dyDescent="0.25">
      <c r="A5097" s="31"/>
      <c r="B5097" s="30"/>
      <c r="C5097" s="30"/>
    </row>
    <row r="5098" spans="1:3" x14ac:dyDescent="0.25">
      <c r="A5098" s="31"/>
      <c r="B5098" s="30"/>
      <c r="C5098" s="30"/>
    </row>
    <row r="5099" spans="1:3" x14ac:dyDescent="0.25">
      <c r="A5099" s="31"/>
      <c r="B5099" s="30"/>
      <c r="C5099" s="30"/>
    </row>
    <row r="5100" spans="1:3" x14ac:dyDescent="0.25">
      <c r="A5100" s="31"/>
      <c r="B5100" s="30"/>
      <c r="C5100" s="30"/>
    </row>
    <row r="5101" spans="1:3" x14ac:dyDescent="0.25">
      <c r="A5101" s="31"/>
      <c r="B5101" s="30"/>
      <c r="C5101" s="30"/>
    </row>
    <row r="5102" spans="1:3" x14ac:dyDescent="0.25">
      <c r="A5102" s="31"/>
      <c r="B5102" s="30"/>
      <c r="C5102" s="30"/>
    </row>
    <row r="5103" spans="1:3" x14ac:dyDescent="0.25">
      <c r="A5103" s="31"/>
      <c r="B5103" s="30"/>
      <c r="C5103" s="30"/>
    </row>
    <row r="5104" spans="1:3" x14ac:dyDescent="0.25">
      <c r="A5104" s="31"/>
      <c r="B5104" s="30"/>
      <c r="C5104" s="30"/>
    </row>
    <row r="5105" spans="1:3" x14ac:dyDescent="0.25">
      <c r="A5105" s="31"/>
      <c r="B5105" s="30"/>
      <c r="C5105" s="30"/>
    </row>
    <row r="5106" spans="1:3" x14ac:dyDescent="0.25">
      <c r="A5106" s="31"/>
      <c r="B5106" s="30"/>
      <c r="C5106" s="30"/>
    </row>
    <row r="5107" spans="1:3" x14ac:dyDescent="0.25">
      <c r="A5107" s="31"/>
      <c r="B5107" s="30"/>
      <c r="C5107" s="30"/>
    </row>
    <row r="5108" spans="1:3" x14ac:dyDescent="0.25">
      <c r="A5108" s="31"/>
      <c r="B5108" s="30"/>
      <c r="C5108" s="30"/>
    </row>
    <row r="5109" spans="1:3" x14ac:dyDescent="0.25">
      <c r="A5109" s="31"/>
      <c r="B5109" s="30"/>
      <c r="C5109" s="30"/>
    </row>
    <row r="5110" spans="1:3" x14ac:dyDescent="0.25">
      <c r="A5110" s="31"/>
      <c r="B5110" s="30"/>
      <c r="C5110" s="30"/>
    </row>
    <row r="5111" spans="1:3" x14ac:dyDescent="0.25">
      <c r="A5111" s="31"/>
      <c r="B5111" s="30"/>
      <c r="C5111" s="30"/>
    </row>
    <row r="5112" spans="1:3" x14ac:dyDescent="0.25">
      <c r="A5112" s="31"/>
      <c r="B5112" s="30"/>
      <c r="C5112" s="30"/>
    </row>
    <row r="5113" spans="1:3" x14ac:dyDescent="0.25">
      <c r="A5113" s="31"/>
      <c r="B5113" s="30"/>
      <c r="C5113" s="30"/>
    </row>
    <row r="5114" spans="1:3" x14ac:dyDescent="0.25">
      <c r="A5114" s="31"/>
      <c r="B5114" s="30"/>
      <c r="C5114" s="30"/>
    </row>
    <row r="5115" spans="1:3" x14ac:dyDescent="0.25">
      <c r="A5115" s="31"/>
      <c r="B5115" s="30"/>
      <c r="C5115" s="30"/>
    </row>
    <row r="5116" spans="1:3" x14ac:dyDescent="0.25">
      <c r="A5116" s="31"/>
      <c r="B5116" s="30"/>
      <c r="C5116" s="30"/>
    </row>
    <row r="5117" spans="1:3" x14ac:dyDescent="0.25">
      <c r="A5117" s="31"/>
      <c r="B5117" s="30"/>
      <c r="C5117" s="30"/>
    </row>
    <row r="5118" spans="1:3" x14ac:dyDescent="0.25">
      <c r="A5118" s="31"/>
      <c r="B5118" s="30"/>
      <c r="C5118" s="30"/>
    </row>
    <row r="5119" spans="1:3" x14ac:dyDescent="0.25">
      <c r="A5119" s="31"/>
      <c r="B5119" s="30"/>
      <c r="C5119" s="30"/>
    </row>
    <row r="5120" spans="1:3" x14ac:dyDescent="0.25">
      <c r="A5120" s="31"/>
      <c r="B5120" s="30"/>
      <c r="C5120" s="30"/>
    </row>
    <row r="5121" spans="1:3" x14ac:dyDescent="0.25">
      <c r="A5121" s="31"/>
      <c r="B5121" s="30"/>
      <c r="C5121" s="30"/>
    </row>
    <row r="5122" spans="1:3" x14ac:dyDescent="0.25">
      <c r="A5122" s="31"/>
      <c r="B5122" s="30"/>
      <c r="C5122" s="30"/>
    </row>
    <row r="5123" spans="1:3" x14ac:dyDescent="0.25">
      <c r="A5123" s="31"/>
      <c r="B5123" s="30"/>
      <c r="C5123" s="30"/>
    </row>
    <row r="5124" spans="1:3" x14ac:dyDescent="0.25">
      <c r="A5124" s="31"/>
      <c r="B5124" s="30"/>
      <c r="C5124" s="30"/>
    </row>
    <row r="5125" spans="1:3" x14ac:dyDescent="0.25">
      <c r="A5125" s="31"/>
      <c r="B5125" s="30"/>
      <c r="C5125" s="30"/>
    </row>
    <row r="5126" spans="1:3" x14ac:dyDescent="0.25">
      <c r="A5126" s="31"/>
      <c r="B5126" s="30"/>
      <c r="C5126" s="30"/>
    </row>
    <row r="5127" spans="1:3" x14ac:dyDescent="0.25">
      <c r="A5127" s="31"/>
      <c r="B5127" s="30"/>
      <c r="C5127" s="30"/>
    </row>
    <row r="5128" spans="1:3" x14ac:dyDescent="0.25">
      <c r="A5128" s="31"/>
      <c r="B5128" s="30"/>
      <c r="C5128" s="30"/>
    </row>
    <row r="5129" spans="1:3" x14ac:dyDescent="0.25">
      <c r="A5129" s="31"/>
      <c r="B5129" s="30"/>
      <c r="C5129" s="30"/>
    </row>
    <row r="5130" spans="1:3" x14ac:dyDescent="0.25">
      <c r="A5130" s="31"/>
      <c r="B5130" s="30"/>
      <c r="C5130" s="30"/>
    </row>
    <row r="5131" spans="1:3" x14ac:dyDescent="0.25">
      <c r="A5131" s="31"/>
      <c r="B5131" s="30"/>
      <c r="C5131" s="30"/>
    </row>
    <row r="5132" spans="1:3" x14ac:dyDescent="0.25">
      <c r="A5132" s="31"/>
      <c r="B5132" s="30"/>
      <c r="C5132" s="30"/>
    </row>
    <row r="5133" spans="1:3" x14ac:dyDescent="0.25">
      <c r="A5133" s="31"/>
      <c r="B5133" s="30"/>
      <c r="C5133" s="30"/>
    </row>
    <row r="5134" spans="1:3" x14ac:dyDescent="0.25">
      <c r="A5134" s="31"/>
      <c r="B5134" s="30"/>
      <c r="C5134" s="30"/>
    </row>
    <row r="5135" spans="1:3" x14ac:dyDescent="0.25">
      <c r="A5135" s="31"/>
      <c r="B5135" s="30"/>
      <c r="C5135" s="30"/>
    </row>
    <row r="5136" spans="1:3" x14ac:dyDescent="0.25">
      <c r="A5136" s="31"/>
      <c r="B5136" s="30"/>
      <c r="C5136" s="30"/>
    </row>
    <row r="5137" spans="1:3" x14ac:dyDescent="0.25">
      <c r="A5137" s="31"/>
      <c r="B5137" s="30"/>
      <c r="C5137" s="30"/>
    </row>
    <row r="5138" spans="1:3" x14ac:dyDescent="0.25">
      <c r="A5138" s="31"/>
      <c r="B5138" s="30"/>
      <c r="C5138" s="30"/>
    </row>
    <row r="5139" spans="1:3" x14ac:dyDescent="0.25">
      <c r="A5139" s="31"/>
      <c r="B5139" s="30"/>
      <c r="C5139" s="30"/>
    </row>
    <row r="5140" spans="1:3" x14ac:dyDescent="0.25">
      <c r="A5140" s="31"/>
      <c r="B5140" s="30"/>
      <c r="C5140" s="30"/>
    </row>
    <row r="5141" spans="1:3" x14ac:dyDescent="0.25">
      <c r="A5141" s="31"/>
      <c r="B5141" s="30"/>
      <c r="C5141" s="30"/>
    </row>
    <row r="5142" spans="1:3" x14ac:dyDescent="0.25">
      <c r="A5142" s="31"/>
      <c r="B5142" s="30"/>
      <c r="C5142" s="30"/>
    </row>
    <row r="5143" spans="1:3" x14ac:dyDescent="0.25">
      <c r="A5143" s="31"/>
      <c r="B5143" s="30"/>
      <c r="C5143" s="30"/>
    </row>
    <row r="5144" spans="1:3" x14ac:dyDescent="0.25">
      <c r="A5144" s="31"/>
      <c r="B5144" s="30"/>
      <c r="C5144" s="30"/>
    </row>
    <row r="5145" spans="1:3" x14ac:dyDescent="0.25">
      <c r="A5145" s="31"/>
      <c r="B5145" s="30"/>
      <c r="C5145" s="30"/>
    </row>
    <row r="5146" spans="1:3" x14ac:dyDescent="0.25">
      <c r="A5146" s="31"/>
      <c r="B5146" s="30"/>
      <c r="C5146" s="30"/>
    </row>
    <row r="5147" spans="1:3" x14ac:dyDescent="0.25">
      <c r="A5147" s="31"/>
      <c r="B5147" s="30"/>
      <c r="C5147" s="30"/>
    </row>
    <row r="5148" spans="1:3" x14ac:dyDescent="0.25">
      <c r="A5148" s="31"/>
      <c r="B5148" s="30"/>
      <c r="C5148" s="30"/>
    </row>
    <row r="5149" spans="1:3" x14ac:dyDescent="0.25">
      <c r="A5149" s="31"/>
      <c r="B5149" s="30"/>
      <c r="C5149" s="30"/>
    </row>
    <row r="5150" spans="1:3" x14ac:dyDescent="0.25">
      <c r="A5150" s="31"/>
      <c r="B5150" s="30"/>
      <c r="C5150" s="30"/>
    </row>
    <row r="5151" spans="1:3" x14ac:dyDescent="0.25">
      <c r="A5151" s="31"/>
      <c r="B5151" s="30"/>
      <c r="C5151" s="30"/>
    </row>
    <row r="5152" spans="1:3" x14ac:dyDescent="0.25">
      <c r="A5152" s="31"/>
      <c r="B5152" s="30"/>
      <c r="C5152" s="30"/>
    </row>
    <row r="5153" spans="1:3" x14ac:dyDescent="0.25">
      <c r="A5153" s="31"/>
      <c r="B5153" s="30"/>
      <c r="C5153" s="30"/>
    </row>
    <row r="5154" spans="1:3" x14ac:dyDescent="0.25">
      <c r="A5154" s="31"/>
      <c r="B5154" s="30"/>
      <c r="C5154" s="30"/>
    </row>
    <row r="5155" spans="1:3" x14ac:dyDescent="0.25">
      <c r="A5155" s="31"/>
      <c r="B5155" s="30"/>
      <c r="C5155" s="30"/>
    </row>
    <row r="5156" spans="1:3" x14ac:dyDescent="0.25">
      <c r="A5156" s="31"/>
      <c r="B5156" s="30"/>
      <c r="C5156" s="30"/>
    </row>
    <row r="5157" spans="1:3" x14ac:dyDescent="0.25">
      <c r="A5157" s="31"/>
      <c r="B5157" s="30"/>
      <c r="C5157" s="30"/>
    </row>
    <row r="5158" spans="1:3" x14ac:dyDescent="0.25">
      <c r="A5158" s="31"/>
      <c r="B5158" s="30"/>
      <c r="C5158" s="30"/>
    </row>
    <row r="5159" spans="1:3" x14ac:dyDescent="0.25">
      <c r="A5159" s="31"/>
      <c r="B5159" s="30"/>
      <c r="C5159" s="30"/>
    </row>
    <row r="5160" spans="1:3" x14ac:dyDescent="0.25">
      <c r="A5160" s="31"/>
      <c r="B5160" s="30"/>
      <c r="C5160" s="30"/>
    </row>
    <row r="5161" spans="1:3" x14ac:dyDescent="0.25">
      <c r="A5161" s="31"/>
      <c r="B5161" s="30"/>
      <c r="C5161" s="30"/>
    </row>
    <row r="5162" spans="1:3" x14ac:dyDescent="0.25">
      <c r="A5162" s="31"/>
      <c r="B5162" s="30"/>
      <c r="C5162" s="30"/>
    </row>
    <row r="5163" spans="1:3" x14ac:dyDescent="0.25">
      <c r="A5163" s="31"/>
      <c r="B5163" s="30"/>
      <c r="C5163" s="30"/>
    </row>
    <row r="5164" spans="1:3" x14ac:dyDescent="0.25">
      <c r="A5164" s="31"/>
      <c r="B5164" s="30"/>
      <c r="C5164" s="30"/>
    </row>
    <row r="5165" spans="1:3" x14ac:dyDescent="0.25">
      <c r="A5165" s="31"/>
      <c r="B5165" s="30"/>
      <c r="C5165" s="30"/>
    </row>
    <row r="5166" spans="1:3" x14ac:dyDescent="0.25">
      <c r="A5166" s="31"/>
      <c r="B5166" s="30"/>
      <c r="C5166" s="30"/>
    </row>
    <row r="5167" spans="1:3" x14ac:dyDescent="0.25">
      <c r="A5167" s="31"/>
      <c r="B5167" s="30"/>
      <c r="C5167" s="30"/>
    </row>
    <row r="5168" spans="1:3" x14ac:dyDescent="0.25">
      <c r="A5168" s="31"/>
      <c r="B5168" s="30"/>
      <c r="C5168" s="30"/>
    </row>
    <row r="5169" spans="1:3" x14ac:dyDescent="0.25">
      <c r="A5169" s="31"/>
      <c r="B5169" s="30"/>
      <c r="C5169" s="30"/>
    </row>
    <row r="5170" spans="1:3" x14ac:dyDescent="0.25">
      <c r="A5170" s="31"/>
      <c r="B5170" s="30"/>
      <c r="C5170" s="30"/>
    </row>
    <row r="5171" spans="1:3" x14ac:dyDescent="0.25">
      <c r="A5171" s="31"/>
      <c r="B5171" s="30"/>
      <c r="C5171" s="30"/>
    </row>
    <row r="5172" spans="1:3" x14ac:dyDescent="0.25">
      <c r="A5172" s="31"/>
      <c r="B5172" s="30"/>
      <c r="C5172" s="30"/>
    </row>
    <row r="5173" spans="1:3" x14ac:dyDescent="0.25">
      <c r="A5173" s="31"/>
      <c r="B5173" s="30"/>
      <c r="C5173" s="30"/>
    </row>
    <row r="5174" spans="1:3" x14ac:dyDescent="0.25">
      <c r="A5174" s="31"/>
      <c r="B5174" s="30"/>
      <c r="C5174" s="30"/>
    </row>
    <row r="5175" spans="1:3" x14ac:dyDescent="0.25">
      <c r="A5175" s="31"/>
      <c r="B5175" s="30"/>
      <c r="C5175" s="30"/>
    </row>
    <row r="5176" spans="1:3" x14ac:dyDescent="0.25">
      <c r="A5176" s="31"/>
      <c r="B5176" s="30"/>
      <c r="C5176" s="30"/>
    </row>
    <row r="5177" spans="1:3" x14ac:dyDescent="0.25">
      <c r="A5177" s="31"/>
      <c r="B5177" s="30"/>
      <c r="C5177" s="30"/>
    </row>
    <row r="5178" spans="1:3" x14ac:dyDescent="0.25">
      <c r="A5178" s="31"/>
      <c r="B5178" s="30"/>
      <c r="C5178" s="30"/>
    </row>
    <row r="5179" spans="1:3" x14ac:dyDescent="0.25">
      <c r="A5179" s="31"/>
      <c r="B5179" s="30"/>
      <c r="C5179" s="30"/>
    </row>
    <row r="5180" spans="1:3" x14ac:dyDescent="0.25">
      <c r="A5180" s="31"/>
      <c r="B5180" s="30"/>
      <c r="C5180" s="30"/>
    </row>
    <row r="5181" spans="1:3" x14ac:dyDescent="0.25">
      <c r="A5181" s="31"/>
      <c r="B5181" s="30"/>
      <c r="C5181" s="30"/>
    </row>
    <row r="5182" spans="1:3" x14ac:dyDescent="0.25">
      <c r="A5182" s="31"/>
      <c r="B5182" s="30"/>
      <c r="C5182" s="30"/>
    </row>
    <row r="5183" spans="1:3" x14ac:dyDescent="0.25">
      <c r="A5183" s="31"/>
      <c r="B5183" s="30"/>
      <c r="C5183" s="30"/>
    </row>
    <row r="5184" spans="1:3" x14ac:dyDescent="0.25">
      <c r="A5184" s="31"/>
      <c r="B5184" s="30"/>
      <c r="C5184" s="30"/>
    </row>
    <row r="5185" spans="1:3" x14ac:dyDescent="0.25">
      <c r="A5185" s="31"/>
      <c r="B5185" s="30"/>
      <c r="C5185" s="30"/>
    </row>
    <row r="5186" spans="1:3" x14ac:dyDescent="0.25">
      <c r="A5186" s="31"/>
      <c r="B5186" s="30"/>
      <c r="C5186" s="30"/>
    </row>
    <row r="5187" spans="1:3" x14ac:dyDescent="0.25">
      <c r="A5187" s="31"/>
      <c r="B5187" s="30"/>
      <c r="C5187" s="30"/>
    </row>
    <row r="5188" spans="1:3" x14ac:dyDescent="0.25">
      <c r="A5188" s="31"/>
      <c r="B5188" s="30"/>
      <c r="C5188" s="30"/>
    </row>
    <row r="5189" spans="1:3" x14ac:dyDescent="0.25">
      <c r="A5189" s="31"/>
      <c r="B5189" s="30"/>
      <c r="C5189" s="30"/>
    </row>
    <row r="5190" spans="1:3" x14ac:dyDescent="0.25">
      <c r="A5190" s="31"/>
      <c r="B5190" s="30"/>
      <c r="C5190" s="30"/>
    </row>
    <row r="5191" spans="1:3" x14ac:dyDescent="0.25">
      <c r="A5191" s="31"/>
      <c r="B5191" s="30"/>
      <c r="C5191" s="30"/>
    </row>
    <row r="5192" spans="1:3" x14ac:dyDescent="0.25">
      <c r="A5192" s="31"/>
      <c r="B5192" s="30"/>
      <c r="C5192" s="30"/>
    </row>
    <row r="5193" spans="1:3" x14ac:dyDescent="0.25">
      <c r="A5193" s="31"/>
      <c r="B5193" s="30"/>
      <c r="C5193" s="30"/>
    </row>
    <row r="5194" spans="1:3" x14ac:dyDescent="0.25">
      <c r="A5194" s="31"/>
      <c r="B5194" s="30"/>
      <c r="C5194" s="30"/>
    </row>
    <row r="5195" spans="1:3" x14ac:dyDescent="0.25">
      <c r="A5195" s="31"/>
      <c r="B5195" s="30"/>
      <c r="C5195" s="30"/>
    </row>
    <row r="5196" spans="1:3" x14ac:dyDescent="0.25">
      <c r="A5196" s="31"/>
      <c r="B5196" s="30"/>
      <c r="C5196" s="30"/>
    </row>
    <row r="5197" spans="1:3" x14ac:dyDescent="0.25">
      <c r="A5197" s="31"/>
      <c r="B5197" s="30"/>
      <c r="C5197" s="30"/>
    </row>
    <row r="5198" spans="1:3" x14ac:dyDescent="0.25">
      <c r="A5198" s="31"/>
      <c r="B5198" s="30"/>
      <c r="C5198" s="30"/>
    </row>
    <row r="5199" spans="1:3" x14ac:dyDescent="0.25">
      <c r="A5199" s="31"/>
      <c r="B5199" s="30"/>
      <c r="C5199" s="30"/>
    </row>
    <row r="5200" spans="1:3" x14ac:dyDescent="0.25">
      <c r="A5200" s="31"/>
      <c r="B5200" s="30"/>
      <c r="C5200" s="30"/>
    </row>
    <row r="5201" spans="1:3" x14ac:dyDescent="0.25">
      <c r="A5201" s="31"/>
      <c r="B5201" s="30"/>
      <c r="C5201" s="30"/>
    </row>
    <row r="5202" spans="1:3" x14ac:dyDescent="0.25">
      <c r="A5202" s="31"/>
      <c r="B5202" s="30"/>
      <c r="C5202" s="30"/>
    </row>
    <row r="5203" spans="1:3" x14ac:dyDescent="0.25">
      <c r="A5203" s="31"/>
      <c r="B5203" s="30"/>
      <c r="C5203" s="30"/>
    </row>
    <row r="5204" spans="1:3" x14ac:dyDescent="0.25">
      <c r="A5204" s="31"/>
      <c r="B5204" s="30"/>
      <c r="C5204" s="30"/>
    </row>
    <row r="5205" spans="1:3" x14ac:dyDescent="0.25">
      <c r="A5205" s="31"/>
      <c r="B5205" s="30"/>
      <c r="C5205" s="30"/>
    </row>
    <row r="5206" spans="1:3" x14ac:dyDescent="0.25">
      <c r="A5206" s="31"/>
      <c r="B5206" s="30"/>
      <c r="C5206" s="30"/>
    </row>
    <row r="5207" spans="1:3" x14ac:dyDescent="0.25">
      <c r="A5207" s="31"/>
      <c r="B5207" s="30"/>
      <c r="C5207" s="30"/>
    </row>
    <row r="5208" spans="1:3" x14ac:dyDescent="0.25">
      <c r="A5208" s="31"/>
      <c r="B5208" s="30"/>
      <c r="C5208" s="30"/>
    </row>
    <row r="5209" spans="1:3" x14ac:dyDescent="0.25">
      <c r="A5209" s="31"/>
      <c r="B5209" s="30"/>
      <c r="C5209" s="30"/>
    </row>
    <row r="5210" spans="1:3" x14ac:dyDescent="0.25">
      <c r="A5210" s="31"/>
      <c r="B5210" s="30"/>
      <c r="C5210" s="30"/>
    </row>
    <row r="5211" spans="1:3" x14ac:dyDescent="0.25">
      <c r="A5211" s="31"/>
      <c r="B5211" s="30"/>
      <c r="C5211" s="30"/>
    </row>
    <row r="5212" spans="1:3" x14ac:dyDescent="0.25">
      <c r="A5212" s="31"/>
      <c r="B5212" s="30"/>
      <c r="C5212" s="30"/>
    </row>
    <row r="5213" spans="1:3" x14ac:dyDescent="0.25">
      <c r="A5213" s="31"/>
      <c r="B5213" s="30"/>
      <c r="C5213" s="30"/>
    </row>
    <row r="5214" spans="1:3" x14ac:dyDescent="0.25">
      <c r="A5214" s="31"/>
      <c r="B5214" s="30"/>
      <c r="C5214" s="30"/>
    </row>
    <row r="5215" spans="1:3" x14ac:dyDescent="0.25">
      <c r="A5215" s="31"/>
      <c r="B5215" s="30"/>
      <c r="C5215" s="30"/>
    </row>
    <row r="5216" spans="1:3" x14ac:dyDescent="0.25">
      <c r="A5216" s="31"/>
      <c r="B5216" s="30"/>
      <c r="C5216" s="30"/>
    </row>
    <row r="5217" spans="1:3" x14ac:dyDescent="0.25">
      <c r="A5217" s="31"/>
      <c r="B5217" s="30"/>
      <c r="C5217" s="30"/>
    </row>
    <row r="5218" spans="1:3" x14ac:dyDescent="0.25">
      <c r="A5218" s="31"/>
      <c r="B5218" s="30"/>
      <c r="C5218" s="30"/>
    </row>
    <row r="5219" spans="1:3" x14ac:dyDescent="0.25">
      <c r="A5219" s="31"/>
      <c r="B5219" s="30"/>
      <c r="C5219" s="30"/>
    </row>
    <row r="5220" spans="1:3" x14ac:dyDescent="0.25">
      <c r="A5220" s="31"/>
      <c r="B5220" s="30"/>
      <c r="C5220" s="30"/>
    </row>
    <row r="5221" spans="1:3" x14ac:dyDescent="0.25">
      <c r="A5221" s="31"/>
      <c r="B5221" s="30"/>
      <c r="C5221" s="30"/>
    </row>
    <row r="5222" spans="1:3" x14ac:dyDescent="0.25">
      <c r="A5222" s="31"/>
      <c r="B5222" s="30"/>
      <c r="C5222" s="30"/>
    </row>
    <row r="5223" spans="1:3" x14ac:dyDescent="0.25">
      <c r="A5223" s="31"/>
      <c r="B5223" s="30"/>
      <c r="C5223" s="30"/>
    </row>
    <row r="5224" spans="1:3" x14ac:dyDescent="0.25">
      <c r="A5224" s="31"/>
      <c r="B5224" s="30"/>
      <c r="C5224" s="30"/>
    </row>
    <row r="5225" spans="1:3" x14ac:dyDescent="0.25">
      <c r="A5225" s="31"/>
      <c r="B5225" s="30"/>
      <c r="C5225" s="30"/>
    </row>
    <row r="5226" spans="1:3" x14ac:dyDescent="0.25">
      <c r="A5226" s="31"/>
      <c r="B5226" s="30"/>
      <c r="C5226" s="30"/>
    </row>
    <row r="5227" spans="1:3" x14ac:dyDescent="0.25">
      <c r="A5227" s="31"/>
      <c r="B5227" s="30"/>
      <c r="C5227" s="30"/>
    </row>
    <row r="5228" spans="1:3" x14ac:dyDescent="0.25">
      <c r="A5228" s="31"/>
      <c r="B5228" s="30"/>
      <c r="C5228" s="30"/>
    </row>
    <row r="5229" spans="1:3" x14ac:dyDescent="0.25">
      <c r="A5229" s="31"/>
      <c r="B5229" s="30"/>
      <c r="C5229" s="30"/>
    </row>
    <row r="5230" spans="1:3" x14ac:dyDescent="0.25">
      <c r="A5230" s="31"/>
      <c r="B5230" s="30"/>
      <c r="C5230" s="30"/>
    </row>
    <row r="5231" spans="1:3" x14ac:dyDescent="0.25">
      <c r="A5231" s="31"/>
      <c r="B5231" s="30"/>
      <c r="C5231" s="30"/>
    </row>
    <row r="5232" spans="1:3" x14ac:dyDescent="0.25">
      <c r="A5232" s="31"/>
      <c r="B5232" s="30"/>
      <c r="C5232" s="30"/>
    </row>
    <row r="5233" spans="1:3" x14ac:dyDescent="0.25">
      <c r="A5233" s="31"/>
      <c r="B5233" s="30"/>
      <c r="C5233" s="30"/>
    </row>
    <row r="5234" spans="1:3" x14ac:dyDescent="0.25">
      <c r="A5234" s="31"/>
      <c r="B5234" s="30"/>
      <c r="C5234" s="30"/>
    </row>
    <row r="5235" spans="1:3" x14ac:dyDescent="0.25">
      <c r="A5235" s="31"/>
      <c r="B5235" s="30"/>
      <c r="C5235" s="30"/>
    </row>
    <row r="5236" spans="1:3" x14ac:dyDescent="0.25">
      <c r="A5236" s="31"/>
      <c r="B5236" s="30"/>
      <c r="C5236" s="30"/>
    </row>
    <row r="5237" spans="1:3" x14ac:dyDescent="0.25">
      <c r="A5237" s="31"/>
      <c r="B5237" s="30"/>
      <c r="C5237" s="30"/>
    </row>
    <row r="5238" spans="1:3" x14ac:dyDescent="0.25">
      <c r="A5238" s="31"/>
      <c r="B5238" s="30"/>
      <c r="C5238" s="30"/>
    </row>
    <row r="5239" spans="1:3" x14ac:dyDescent="0.25">
      <c r="A5239" s="31"/>
      <c r="B5239" s="30"/>
      <c r="C5239" s="30"/>
    </row>
    <row r="5240" spans="1:3" x14ac:dyDescent="0.25">
      <c r="A5240" s="31"/>
      <c r="B5240" s="30"/>
      <c r="C5240" s="30"/>
    </row>
    <row r="5241" spans="1:3" x14ac:dyDescent="0.25">
      <c r="A5241" s="31"/>
      <c r="B5241" s="30"/>
      <c r="C5241" s="30"/>
    </row>
    <row r="5242" spans="1:3" x14ac:dyDescent="0.25">
      <c r="A5242" s="31"/>
      <c r="B5242" s="30"/>
      <c r="C5242" s="30"/>
    </row>
    <row r="5243" spans="1:3" x14ac:dyDescent="0.25">
      <c r="A5243" s="31"/>
      <c r="B5243" s="30"/>
      <c r="C5243" s="30"/>
    </row>
    <row r="5244" spans="1:3" x14ac:dyDescent="0.25">
      <c r="A5244" s="31"/>
      <c r="B5244" s="30"/>
      <c r="C5244" s="30"/>
    </row>
    <row r="5245" spans="1:3" x14ac:dyDescent="0.25">
      <c r="A5245" s="31"/>
      <c r="B5245" s="30"/>
      <c r="C5245" s="30"/>
    </row>
    <row r="5246" spans="1:3" x14ac:dyDescent="0.25">
      <c r="A5246" s="31"/>
      <c r="B5246" s="30"/>
      <c r="C5246" s="30"/>
    </row>
    <row r="5247" spans="1:3" x14ac:dyDescent="0.25">
      <c r="A5247" s="31"/>
      <c r="B5247" s="30"/>
      <c r="C5247" s="30"/>
    </row>
    <row r="5248" spans="1:3" x14ac:dyDescent="0.25">
      <c r="A5248" s="31"/>
      <c r="B5248" s="30"/>
      <c r="C5248" s="30"/>
    </row>
    <row r="5249" spans="1:3" x14ac:dyDescent="0.25">
      <c r="A5249" s="31"/>
      <c r="B5249" s="30"/>
      <c r="C5249" s="30"/>
    </row>
    <row r="5250" spans="1:3" x14ac:dyDescent="0.25">
      <c r="A5250" s="31"/>
      <c r="B5250" s="30"/>
      <c r="C5250" s="30"/>
    </row>
    <row r="5251" spans="1:3" x14ac:dyDescent="0.25">
      <c r="A5251" s="31"/>
      <c r="B5251" s="30"/>
      <c r="C5251" s="30"/>
    </row>
    <row r="5252" spans="1:3" x14ac:dyDescent="0.25">
      <c r="A5252" s="31"/>
      <c r="B5252" s="30"/>
      <c r="C5252" s="30"/>
    </row>
    <row r="5253" spans="1:3" x14ac:dyDescent="0.25">
      <c r="A5253" s="31"/>
      <c r="B5253" s="30"/>
      <c r="C5253" s="30"/>
    </row>
    <row r="5254" spans="1:3" x14ac:dyDescent="0.25">
      <c r="A5254" s="31"/>
      <c r="B5254" s="30"/>
      <c r="C5254" s="30"/>
    </row>
    <row r="5255" spans="1:3" x14ac:dyDescent="0.25">
      <c r="A5255" s="31"/>
      <c r="B5255" s="30"/>
      <c r="C5255" s="30"/>
    </row>
    <row r="5256" spans="1:3" x14ac:dyDescent="0.25">
      <c r="A5256" s="31"/>
      <c r="B5256" s="30"/>
      <c r="C5256" s="30"/>
    </row>
    <row r="5257" spans="1:3" x14ac:dyDescent="0.25">
      <c r="A5257" s="31"/>
      <c r="B5257" s="30"/>
      <c r="C5257" s="30"/>
    </row>
    <row r="5258" spans="1:3" x14ac:dyDescent="0.25">
      <c r="A5258" s="31"/>
      <c r="B5258" s="30"/>
      <c r="C5258" s="30"/>
    </row>
    <row r="5259" spans="1:3" x14ac:dyDescent="0.25">
      <c r="A5259" s="31"/>
      <c r="B5259" s="30"/>
      <c r="C5259" s="30"/>
    </row>
    <row r="5260" spans="1:3" x14ac:dyDescent="0.25">
      <c r="A5260" s="31"/>
      <c r="B5260" s="30"/>
      <c r="C5260" s="30"/>
    </row>
    <row r="5261" spans="1:3" x14ac:dyDescent="0.25">
      <c r="A5261" s="31"/>
      <c r="B5261" s="30"/>
      <c r="C5261" s="30"/>
    </row>
    <row r="5262" spans="1:3" x14ac:dyDescent="0.25">
      <c r="A5262" s="31"/>
      <c r="B5262" s="30"/>
      <c r="C5262" s="30"/>
    </row>
    <row r="5263" spans="1:3" x14ac:dyDescent="0.25">
      <c r="A5263" s="31"/>
      <c r="B5263" s="30"/>
      <c r="C5263" s="30"/>
    </row>
    <row r="5264" spans="1:3" x14ac:dyDescent="0.25">
      <c r="A5264" s="31"/>
      <c r="B5264" s="30"/>
      <c r="C5264" s="30"/>
    </row>
    <row r="5265" spans="1:3" x14ac:dyDescent="0.25">
      <c r="A5265" s="31"/>
      <c r="B5265" s="30"/>
      <c r="C5265" s="30"/>
    </row>
    <row r="5266" spans="1:3" x14ac:dyDescent="0.25">
      <c r="A5266" s="31"/>
      <c r="B5266" s="30"/>
      <c r="C5266" s="30"/>
    </row>
    <row r="5267" spans="1:3" x14ac:dyDescent="0.25">
      <c r="A5267" s="31"/>
      <c r="B5267" s="30"/>
      <c r="C5267" s="30"/>
    </row>
    <row r="5268" spans="1:3" x14ac:dyDescent="0.25">
      <c r="A5268" s="31"/>
      <c r="B5268" s="30"/>
      <c r="C5268" s="30"/>
    </row>
    <row r="5269" spans="1:3" x14ac:dyDescent="0.25">
      <c r="A5269" s="31"/>
      <c r="B5269" s="30"/>
      <c r="C5269" s="30"/>
    </row>
    <row r="5270" spans="1:3" x14ac:dyDescent="0.25">
      <c r="A5270" s="31"/>
      <c r="B5270" s="30"/>
      <c r="C5270" s="30"/>
    </row>
    <row r="5271" spans="1:3" x14ac:dyDescent="0.25">
      <c r="A5271" s="31"/>
      <c r="B5271" s="30"/>
      <c r="C5271" s="30"/>
    </row>
    <row r="5272" spans="1:3" x14ac:dyDescent="0.25">
      <c r="A5272" s="31"/>
      <c r="B5272" s="30"/>
      <c r="C5272" s="30"/>
    </row>
    <row r="5273" spans="1:3" x14ac:dyDescent="0.25">
      <c r="A5273" s="31"/>
      <c r="B5273" s="30"/>
      <c r="C5273" s="30"/>
    </row>
    <row r="5274" spans="1:3" x14ac:dyDescent="0.25">
      <c r="A5274" s="31"/>
      <c r="B5274" s="30"/>
      <c r="C5274" s="30"/>
    </row>
    <row r="5275" spans="1:3" x14ac:dyDescent="0.25">
      <c r="A5275" s="31"/>
      <c r="B5275" s="30"/>
      <c r="C5275" s="30"/>
    </row>
    <row r="5276" spans="1:3" x14ac:dyDescent="0.25">
      <c r="A5276" s="31"/>
      <c r="B5276" s="30"/>
      <c r="C5276" s="30"/>
    </row>
    <row r="5277" spans="1:3" x14ac:dyDescent="0.25">
      <c r="A5277" s="31"/>
      <c r="B5277" s="30"/>
      <c r="C5277" s="30"/>
    </row>
    <row r="5278" spans="1:3" x14ac:dyDescent="0.25">
      <c r="A5278" s="31"/>
      <c r="B5278" s="30"/>
      <c r="C5278" s="30"/>
    </row>
    <row r="5279" spans="1:3" x14ac:dyDescent="0.25">
      <c r="A5279" s="31"/>
      <c r="B5279" s="30"/>
      <c r="C5279" s="30"/>
    </row>
    <row r="5280" spans="1:3" x14ac:dyDescent="0.25">
      <c r="A5280" s="31"/>
      <c r="B5280" s="30"/>
      <c r="C5280" s="30"/>
    </row>
    <row r="5281" spans="1:3" x14ac:dyDescent="0.25">
      <c r="A5281" s="31"/>
      <c r="B5281" s="30"/>
      <c r="C5281" s="30"/>
    </row>
    <row r="5282" spans="1:3" x14ac:dyDescent="0.25">
      <c r="A5282" s="31"/>
      <c r="B5282" s="30"/>
      <c r="C5282" s="30"/>
    </row>
    <row r="5283" spans="1:3" x14ac:dyDescent="0.25">
      <c r="A5283" s="31"/>
      <c r="B5283" s="30"/>
      <c r="C5283" s="30"/>
    </row>
    <row r="5284" spans="1:3" x14ac:dyDescent="0.25">
      <c r="A5284" s="31"/>
      <c r="B5284" s="30"/>
      <c r="C5284" s="30"/>
    </row>
    <row r="5285" spans="1:3" x14ac:dyDescent="0.25">
      <c r="A5285" s="31"/>
      <c r="B5285" s="30"/>
      <c r="C5285" s="30"/>
    </row>
    <row r="5286" spans="1:3" x14ac:dyDescent="0.25">
      <c r="A5286" s="31"/>
      <c r="B5286" s="30"/>
      <c r="C5286" s="30"/>
    </row>
    <row r="5287" spans="1:3" x14ac:dyDescent="0.25">
      <c r="A5287" s="31"/>
      <c r="B5287" s="30"/>
      <c r="C5287" s="30"/>
    </row>
    <row r="5288" spans="1:3" x14ac:dyDescent="0.25">
      <c r="A5288" s="31"/>
      <c r="B5288" s="30"/>
      <c r="C5288" s="30"/>
    </row>
    <row r="5289" spans="1:3" x14ac:dyDescent="0.25">
      <c r="A5289" s="31"/>
      <c r="B5289" s="30"/>
      <c r="C5289" s="30"/>
    </row>
    <row r="5290" spans="1:3" x14ac:dyDescent="0.25">
      <c r="A5290" s="31"/>
      <c r="B5290" s="30"/>
      <c r="C5290" s="30"/>
    </row>
    <row r="5291" spans="1:3" x14ac:dyDescent="0.25">
      <c r="A5291" s="31"/>
      <c r="B5291" s="30"/>
      <c r="C5291" s="30"/>
    </row>
    <row r="5292" spans="1:3" x14ac:dyDescent="0.25">
      <c r="A5292" s="31"/>
      <c r="B5292" s="30"/>
      <c r="C5292" s="30"/>
    </row>
    <row r="5293" spans="1:3" x14ac:dyDescent="0.25">
      <c r="A5293" s="31"/>
      <c r="B5293" s="30"/>
      <c r="C5293" s="30"/>
    </row>
    <row r="5294" spans="1:3" x14ac:dyDescent="0.25">
      <c r="A5294" s="31"/>
      <c r="B5294" s="30"/>
      <c r="C5294" s="30"/>
    </row>
    <row r="5295" spans="1:3" x14ac:dyDescent="0.25">
      <c r="A5295" s="31"/>
      <c r="B5295" s="30"/>
      <c r="C5295" s="30"/>
    </row>
    <row r="5296" spans="1:3" x14ac:dyDescent="0.25">
      <c r="A5296" s="31"/>
      <c r="B5296" s="30"/>
      <c r="C5296" s="30"/>
    </row>
    <row r="5297" spans="1:3" x14ac:dyDescent="0.25">
      <c r="A5297" s="31"/>
      <c r="B5297" s="30"/>
      <c r="C5297" s="30"/>
    </row>
    <row r="5298" spans="1:3" x14ac:dyDescent="0.25">
      <c r="A5298" s="31"/>
      <c r="B5298" s="30"/>
      <c r="C5298" s="30"/>
    </row>
    <row r="5299" spans="1:3" x14ac:dyDescent="0.25">
      <c r="A5299" s="31"/>
      <c r="B5299" s="30"/>
      <c r="C5299" s="30"/>
    </row>
    <row r="5300" spans="1:3" x14ac:dyDescent="0.25">
      <c r="A5300" s="31"/>
      <c r="B5300" s="30"/>
      <c r="C5300" s="30"/>
    </row>
    <row r="5301" spans="1:3" x14ac:dyDescent="0.25">
      <c r="A5301" s="31"/>
      <c r="B5301" s="30"/>
      <c r="C5301" s="30"/>
    </row>
    <row r="5302" spans="1:3" x14ac:dyDescent="0.25">
      <c r="A5302" s="31"/>
      <c r="B5302" s="30"/>
      <c r="C5302" s="30"/>
    </row>
    <row r="5303" spans="1:3" x14ac:dyDescent="0.25">
      <c r="A5303" s="31"/>
      <c r="B5303" s="30"/>
      <c r="C5303" s="30"/>
    </row>
    <row r="5304" spans="1:3" x14ac:dyDescent="0.25">
      <c r="A5304" s="31"/>
      <c r="B5304" s="30"/>
      <c r="C5304" s="30"/>
    </row>
    <row r="5305" spans="1:3" x14ac:dyDescent="0.25">
      <c r="A5305" s="31"/>
      <c r="B5305" s="30"/>
      <c r="C5305" s="30"/>
    </row>
    <row r="5306" spans="1:3" x14ac:dyDescent="0.25">
      <c r="A5306" s="31"/>
      <c r="B5306" s="30"/>
      <c r="C5306" s="30"/>
    </row>
    <row r="5307" spans="1:3" x14ac:dyDescent="0.25">
      <c r="A5307" s="31"/>
      <c r="B5307" s="30"/>
      <c r="C5307" s="30"/>
    </row>
    <row r="5308" spans="1:3" x14ac:dyDescent="0.25">
      <c r="A5308" s="31"/>
      <c r="B5308" s="30"/>
      <c r="C5308" s="30"/>
    </row>
    <row r="5309" spans="1:3" x14ac:dyDescent="0.25">
      <c r="A5309" s="31"/>
      <c r="B5309" s="30"/>
      <c r="C5309" s="30"/>
    </row>
    <row r="5310" spans="1:3" x14ac:dyDescent="0.25">
      <c r="A5310" s="31"/>
      <c r="B5310" s="30"/>
      <c r="C5310" s="30"/>
    </row>
    <row r="5311" spans="1:3" x14ac:dyDescent="0.25">
      <c r="A5311" s="31"/>
      <c r="B5311" s="30"/>
      <c r="C5311" s="30"/>
    </row>
    <row r="5312" spans="1:3" x14ac:dyDescent="0.25">
      <c r="A5312" s="31"/>
      <c r="B5312" s="30"/>
      <c r="C5312" s="30"/>
    </row>
    <row r="5313" spans="1:3" x14ac:dyDescent="0.25">
      <c r="A5313" s="31"/>
      <c r="B5313" s="30"/>
      <c r="C5313" s="30"/>
    </row>
    <row r="5314" spans="1:3" x14ac:dyDescent="0.25">
      <c r="A5314" s="31"/>
      <c r="B5314" s="30"/>
      <c r="C5314" s="30"/>
    </row>
    <row r="5315" spans="1:3" x14ac:dyDescent="0.25">
      <c r="A5315" s="31"/>
      <c r="B5315" s="30"/>
      <c r="C5315" s="30"/>
    </row>
    <row r="5316" spans="1:3" x14ac:dyDescent="0.25">
      <c r="A5316" s="31"/>
      <c r="B5316" s="30"/>
      <c r="C5316" s="30"/>
    </row>
    <row r="5317" spans="1:3" x14ac:dyDescent="0.25">
      <c r="A5317" s="31"/>
      <c r="B5317" s="30"/>
      <c r="C5317" s="30"/>
    </row>
    <row r="5318" spans="1:3" x14ac:dyDescent="0.25">
      <c r="A5318" s="31"/>
      <c r="B5318" s="30"/>
      <c r="C5318" s="30"/>
    </row>
    <row r="5319" spans="1:3" x14ac:dyDescent="0.25">
      <c r="A5319" s="31"/>
      <c r="B5319" s="30"/>
      <c r="C5319" s="30"/>
    </row>
    <row r="5320" spans="1:3" x14ac:dyDescent="0.25">
      <c r="A5320" s="31"/>
      <c r="B5320" s="30"/>
      <c r="C5320" s="30"/>
    </row>
    <row r="5321" spans="1:3" x14ac:dyDescent="0.25">
      <c r="A5321" s="31"/>
      <c r="B5321" s="30"/>
      <c r="C5321" s="30"/>
    </row>
    <row r="5322" spans="1:3" x14ac:dyDescent="0.25">
      <c r="A5322" s="31"/>
      <c r="B5322" s="30"/>
      <c r="C5322" s="30"/>
    </row>
    <row r="5323" spans="1:3" x14ac:dyDescent="0.25">
      <c r="A5323" s="31"/>
      <c r="B5323" s="30"/>
      <c r="C5323" s="30"/>
    </row>
    <row r="5324" spans="1:3" x14ac:dyDescent="0.25">
      <c r="A5324" s="31"/>
      <c r="B5324" s="30"/>
      <c r="C5324" s="30"/>
    </row>
    <row r="5325" spans="1:3" x14ac:dyDescent="0.25">
      <c r="A5325" s="31"/>
      <c r="B5325" s="30"/>
      <c r="C5325" s="30"/>
    </row>
    <row r="5326" spans="1:3" x14ac:dyDescent="0.25">
      <c r="A5326" s="31"/>
      <c r="B5326" s="30"/>
      <c r="C5326" s="30"/>
    </row>
    <row r="5327" spans="1:3" x14ac:dyDescent="0.25">
      <c r="A5327" s="31"/>
      <c r="B5327" s="30"/>
      <c r="C5327" s="30"/>
    </row>
    <row r="5328" spans="1:3" x14ac:dyDescent="0.25">
      <c r="A5328" s="31"/>
      <c r="B5328" s="30"/>
      <c r="C5328" s="30"/>
    </row>
    <row r="5329" spans="1:3" x14ac:dyDescent="0.25">
      <c r="A5329" s="31"/>
      <c r="B5329" s="30"/>
      <c r="C5329" s="30"/>
    </row>
    <row r="5330" spans="1:3" x14ac:dyDescent="0.25">
      <c r="A5330" s="31"/>
      <c r="B5330" s="30"/>
      <c r="C5330" s="30"/>
    </row>
    <row r="5331" spans="1:3" x14ac:dyDescent="0.25">
      <c r="A5331" s="31"/>
      <c r="B5331" s="30"/>
      <c r="C5331" s="30"/>
    </row>
    <row r="5332" spans="1:3" x14ac:dyDescent="0.25">
      <c r="A5332" s="31"/>
      <c r="B5332" s="30"/>
      <c r="C5332" s="30"/>
    </row>
    <row r="5333" spans="1:3" x14ac:dyDescent="0.25">
      <c r="A5333" s="31"/>
      <c r="B5333" s="30"/>
      <c r="C5333" s="30"/>
    </row>
    <row r="5334" spans="1:3" x14ac:dyDescent="0.25">
      <c r="A5334" s="31"/>
      <c r="B5334" s="30"/>
      <c r="C5334" s="30"/>
    </row>
    <row r="5335" spans="1:3" x14ac:dyDescent="0.25">
      <c r="A5335" s="31"/>
      <c r="B5335" s="30"/>
      <c r="C5335" s="30"/>
    </row>
    <row r="5336" spans="1:3" x14ac:dyDescent="0.25">
      <c r="A5336" s="31"/>
      <c r="B5336" s="30"/>
      <c r="C5336" s="30"/>
    </row>
    <row r="5337" spans="1:3" x14ac:dyDescent="0.25">
      <c r="A5337" s="31"/>
      <c r="B5337" s="30"/>
      <c r="C5337" s="30"/>
    </row>
    <row r="5338" spans="1:3" x14ac:dyDescent="0.25">
      <c r="A5338" s="31"/>
      <c r="B5338" s="30"/>
      <c r="C5338" s="30"/>
    </row>
    <row r="5339" spans="1:3" x14ac:dyDescent="0.25">
      <c r="A5339" s="31"/>
      <c r="B5339" s="30"/>
      <c r="C5339" s="30"/>
    </row>
    <row r="5340" spans="1:3" x14ac:dyDescent="0.25">
      <c r="A5340" s="31"/>
      <c r="B5340" s="30"/>
      <c r="C5340" s="30"/>
    </row>
    <row r="5341" spans="1:3" x14ac:dyDescent="0.25">
      <c r="A5341" s="31"/>
      <c r="B5341" s="30"/>
      <c r="C5341" s="30"/>
    </row>
    <row r="5342" spans="1:3" x14ac:dyDescent="0.25">
      <c r="A5342" s="31"/>
      <c r="B5342" s="30"/>
      <c r="C5342" s="30"/>
    </row>
    <row r="5343" spans="1:3" x14ac:dyDescent="0.25">
      <c r="A5343" s="31"/>
      <c r="B5343" s="30"/>
      <c r="C5343" s="30"/>
    </row>
    <row r="5344" spans="1:3" x14ac:dyDescent="0.25">
      <c r="A5344" s="31"/>
      <c r="B5344" s="30"/>
      <c r="C5344" s="30"/>
    </row>
    <row r="5345" spans="1:3" x14ac:dyDescent="0.25">
      <c r="A5345" s="31"/>
      <c r="B5345" s="30"/>
      <c r="C5345" s="30"/>
    </row>
    <row r="5346" spans="1:3" x14ac:dyDescent="0.25">
      <c r="A5346" s="31"/>
      <c r="B5346" s="30"/>
      <c r="C5346" s="30"/>
    </row>
    <row r="5347" spans="1:3" x14ac:dyDescent="0.25">
      <c r="A5347" s="31"/>
      <c r="B5347" s="30"/>
      <c r="C5347" s="30"/>
    </row>
    <row r="5348" spans="1:3" x14ac:dyDescent="0.25">
      <c r="A5348" s="31"/>
      <c r="B5348" s="30"/>
      <c r="C5348" s="30"/>
    </row>
    <row r="5349" spans="1:3" x14ac:dyDescent="0.25">
      <c r="A5349" s="31"/>
      <c r="B5349" s="30"/>
      <c r="C5349" s="30"/>
    </row>
    <row r="5350" spans="1:3" x14ac:dyDescent="0.25">
      <c r="A5350" s="31"/>
      <c r="B5350" s="30"/>
      <c r="C5350" s="30"/>
    </row>
    <row r="5351" spans="1:3" x14ac:dyDescent="0.25">
      <c r="A5351" s="31"/>
      <c r="B5351" s="30"/>
      <c r="C5351" s="30"/>
    </row>
    <row r="5352" spans="1:3" x14ac:dyDescent="0.25">
      <c r="A5352" s="31"/>
      <c r="B5352" s="30"/>
      <c r="C5352" s="30"/>
    </row>
    <row r="5353" spans="1:3" x14ac:dyDescent="0.25">
      <c r="A5353" s="31"/>
      <c r="B5353" s="30"/>
      <c r="C5353" s="30"/>
    </row>
    <row r="5354" spans="1:3" x14ac:dyDescent="0.25">
      <c r="A5354" s="31"/>
      <c r="B5354" s="30"/>
      <c r="C5354" s="30"/>
    </row>
    <row r="5355" spans="1:3" x14ac:dyDescent="0.25">
      <c r="A5355" s="31"/>
      <c r="B5355" s="30"/>
      <c r="C5355" s="30"/>
    </row>
    <row r="5356" spans="1:3" x14ac:dyDescent="0.25">
      <c r="A5356" s="31"/>
      <c r="B5356" s="30"/>
      <c r="C5356" s="30"/>
    </row>
    <row r="5357" spans="1:3" x14ac:dyDescent="0.25">
      <c r="A5357" s="31"/>
      <c r="B5357" s="30"/>
      <c r="C5357" s="30"/>
    </row>
    <row r="5358" spans="1:3" x14ac:dyDescent="0.25">
      <c r="A5358" s="31"/>
      <c r="B5358" s="30"/>
      <c r="C5358" s="30"/>
    </row>
    <row r="5359" spans="1:3" x14ac:dyDescent="0.25">
      <c r="A5359" s="31"/>
      <c r="B5359" s="30"/>
      <c r="C5359" s="30"/>
    </row>
    <row r="5360" spans="1:3" x14ac:dyDescent="0.25">
      <c r="A5360" s="31"/>
      <c r="B5360" s="30"/>
      <c r="C5360" s="30"/>
    </row>
    <row r="5361" spans="1:3" x14ac:dyDescent="0.25">
      <c r="A5361" s="31"/>
      <c r="B5361" s="30"/>
      <c r="C5361" s="30"/>
    </row>
    <row r="5362" spans="1:3" x14ac:dyDescent="0.25">
      <c r="A5362" s="31"/>
      <c r="B5362" s="30"/>
      <c r="C5362" s="30"/>
    </row>
    <row r="5363" spans="1:3" x14ac:dyDescent="0.25">
      <c r="A5363" s="31"/>
      <c r="B5363" s="30"/>
      <c r="C5363" s="30"/>
    </row>
    <row r="5364" spans="1:3" x14ac:dyDescent="0.25">
      <c r="A5364" s="31"/>
      <c r="B5364" s="30"/>
      <c r="C5364" s="30"/>
    </row>
    <row r="5365" spans="1:3" x14ac:dyDescent="0.25">
      <c r="A5365" s="31"/>
      <c r="B5365" s="30"/>
      <c r="C5365" s="30"/>
    </row>
    <row r="5366" spans="1:3" x14ac:dyDescent="0.25">
      <c r="A5366" s="31"/>
      <c r="B5366" s="30"/>
      <c r="C5366" s="30"/>
    </row>
    <row r="5367" spans="1:3" x14ac:dyDescent="0.25">
      <c r="A5367" s="31"/>
      <c r="B5367" s="30"/>
      <c r="C5367" s="30"/>
    </row>
    <row r="5368" spans="1:3" x14ac:dyDescent="0.25">
      <c r="A5368" s="31"/>
      <c r="B5368" s="30"/>
      <c r="C5368" s="30"/>
    </row>
    <row r="5369" spans="1:3" x14ac:dyDescent="0.25">
      <c r="A5369" s="31"/>
      <c r="B5369" s="30"/>
      <c r="C5369" s="30"/>
    </row>
    <row r="5370" spans="1:3" x14ac:dyDescent="0.25">
      <c r="A5370" s="31"/>
      <c r="B5370" s="30"/>
      <c r="C5370" s="30"/>
    </row>
    <row r="5371" spans="1:3" x14ac:dyDescent="0.25">
      <c r="A5371" s="31"/>
      <c r="B5371" s="30"/>
      <c r="C5371" s="30"/>
    </row>
    <row r="5372" spans="1:3" x14ac:dyDescent="0.25">
      <c r="A5372" s="31"/>
      <c r="B5372" s="30"/>
      <c r="C5372" s="30"/>
    </row>
    <row r="5373" spans="1:3" x14ac:dyDescent="0.25">
      <c r="A5373" s="31"/>
      <c r="B5373" s="30"/>
      <c r="C5373" s="30"/>
    </row>
    <row r="5374" spans="1:3" x14ac:dyDescent="0.25">
      <c r="A5374" s="31"/>
      <c r="B5374" s="30"/>
      <c r="C5374" s="30"/>
    </row>
    <row r="5375" spans="1:3" x14ac:dyDescent="0.25">
      <c r="A5375" s="31"/>
      <c r="B5375" s="30"/>
      <c r="C5375" s="30"/>
    </row>
    <row r="5376" spans="1:3" x14ac:dyDescent="0.25">
      <c r="A5376" s="31"/>
      <c r="B5376" s="30"/>
      <c r="C5376" s="30"/>
    </row>
    <row r="5377" spans="1:3" x14ac:dyDescent="0.25">
      <c r="A5377" s="31"/>
      <c r="B5377" s="30"/>
      <c r="C5377" s="30"/>
    </row>
    <row r="5378" spans="1:3" x14ac:dyDescent="0.25">
      <c r="A5378" s="31"/>
      <c r="B5378" s="30"/>
      <c r="C5378" s="30"/>
    </row>
    <row r="5379" spans="1:3" x14ac:dyDescent="0.25">
      <c r="A5379" s="31"/>
      <c r="B5379" s="30"/>
      <c r="C5379" s="30"/>
    </row>
    <row r="5380" spans="1:3" x14ac:dyDescent="0.25">
      <c r="A5380" s="31"/>
      <c r="B5380" s="30"/>
      <c r="C5380" s="30"/>
    </row>
    <row r="5381" spans="1:3" x14ac:dyDescent="0.25">
      <c r="A5381" s="31"/>
      <c r="B5381" s="30"/>
      <c r="C5381" s="30"/>
    </row>
    <row r="5382" spans="1:3" x14ac:dyDescent="0.25">
      <c r="A5382" s="31"/>
      <c r="B5382" s="30"/>
      <c r="C5382" s="30"/>
    </row>
    <row r="5383" spans="1:3" x14ac:dyDescent="0.25">
      <c r="A5383" s="31"/>
      <c r="B5383" s="30"/>
      <c r="C5383" s="30"/>
    </row>
    <row r="5384" spans="1:3" x14ac:dyDescent="0.25">
      <c r="A5384" s="31"/>
      <c r="B5384" s="30"/>
      <c r="C5384" s="30"/>
    </row>
    <row r="5385" spans="1:3" x14ac:dyDescent="0.25">
      <c r="A5385" s="31"/>
      <c r="B5385" s="30"/>
      <c r="C5385" s="30"/>
    </row>
    <row r="5386" spans="1:3" x14ac:dyDescent="0.25">
      <c r="A5386" s="31"/>
      <c r="B5386" s="30"/>
      <c r="C5386" s="30"/>
    </row>
    <row r="5387" spans="1:3" x14ac:dyDescent="0.25">
      <c r="A5387" s="31"/>
      <c r="B5387" s="30"/>
      <c r="C5387" s="30"/>
    </row>
    <row r="5388" spans="1:3" x14ac:dyDescent="0.25">
      <c r="A5388" s="31"/>
      <c r="B5388" s="30"/>
      <c r="C5388" s="30"/>
    </row>
    <row r="5389" spans="1:3" x14ac:dyDescent="0.25">
      <c r="A5389" s="31"/>
      <c r="B5389" s="30"/>
      <c r="C5389" s="30"/>
    </row>
    <row r="5390" spans="1:3" x14ac:dyDescent="0.25">
      <c r="A5390" s="31"/>
      <c r="B5390" s="30"/>
      <c r="C5390" s="30"/>
    </row>
    <row r="5391" spans="1:3" x14ac:dyDescent="0.25">
      <c r="A5391" s="31"/>
      <c r="B5391" s="30"/>
      <c r="C5391" s="30"/>
    </row>
    <row r="5392" spans="1:3" x14ac:dyDescent="0.25">
      <c r="A5392" s="31"/>
      <c r="B5392" s="30"/>
      <c r="C5392" s="30"/>
    </row>
    <row r="5393" spans="1:3" x14ac:dyDescent="0.25">
      <c r="A5393" s="31"/>
      <c r="B5393" s="30"/>
      <c r="C5393" s="30"/>
    </row>
    <row r="5394" spans="1:3" x14ac:dyDescent="0.25">
      <c r="A5394" s="31"/>
      <c r="B5394" s="30"/>
      <c r="C5394" s="30"/>
    </row>
    <row r="5395" spans="1:3" x14ac:dyDescent="0.25">
      <c r="A5395" s="31"/>
      <c r="B5395" s="30"/>
      <c r="C5395" s="30"/>
    </row>
    <row r="5396" spans="1:3" x14ac:dyDescent="0.25">
      <c r="A5396" s="31"/>
      <c r="B5396" s="30"/>
      <c r="C5396" s="30"/>
    </row>
    <row r="5397" spans="1:3" x14ac:dyDescent="0.25">
      <c r="A5397" s="31"/>
      <c r="B5397" s="30"/>
      <c r="C5397" s="30"/>
    </row>
    <row r="5398" spans="1:3" x14ac:dyDescent="0.25">
      <c r="A5398" s="31"/>
      <c r="B5398" s="30"/>
      <c r="C5398" s="30"/>
    </row>
    <row r="5399" spans="1:3" x14ac:dyDescent="0.25">
      <c r="A5399" s="31"/>
      <c r="B5399" s="30"/>
      <c r="C5399" s="30"/>
    </row>
    <row r="5400" spans="1:3" x14ac:dyDescent="0.25">
      <c r="A5400" s="31"/>
      <c r="B5400" s="30"/>
      <c r="C5400" s="30"/>
    </row>
    <row r="5401" spans="1:3" x14ac:dyDescent="0.25">
      <c r="A5401" s="31"/>
      <c r="B5401" s="30"/>
      <c r="C5401" s="30"/>
    </row>
    <row r="5402" spans="1:3" x14ac:dyDescent="0.25">
      <c r="A5402" s="31"/>
      <c r="B5402" s="30"/>
      <c r="C5402" s="30"/>
    </row>
    <row r="5403" spans="1:3" x14ac:dyDescent="0.25">
      <c r="A5403" s="31"/>
      <c r="B5403" s="30"/>
      <c r="C5403" s="30"/>
    </row>
    <row r="5404" spans="1:3" x14ac:dyDescent="0.25">
      <c r="A5404" s="31"/>
      <c r="B5404" s="30"/>
      <c r="C5404" s="30"/>
    </row>
    <row r="5405" spans="1:3" x14ac:dyDescent="0.25">
      <c r="A5405" s="31"/>
      <c r="B5405" s="30"/>
      <c r="C5405" s="30"/>
    </row>
    <row r="5406" spans="1:3" x14ac:dyDescent="0.25">
      <c r="A5406" s="31"/>
      <c r="B5406" s="30"/>
      <c r="C5406" s="30"/>
    </row>
    <row r="5407" spans="1:3" x14ac:dyDescent="0.25">
      <c r="A5407" s="31"/>
      <c r="B5407" s="30"/>
      <c r="C5407" s="30"/>
    </row>
    <row r="5408" spans="1:3" x14ac:dyDescent="0.25">
      <c r="A5408" s="31"/>
      <c r="B5408" s="30"/>
      <c r="C5408" s="30"/>
    </row>
    <row r="5409" spans="1:3" x14ac:dyDescent="0.25">
      <c r="A5409" s="31"/>
      <c r="B5409" s="30"/>
      <c r="C5409" s="30"/>
    </row>
    <row r="5410" spans="1:3" x14ac:dyDescent="0.25">
      <c r="A5410" s="31"/>
      <c r="B5410" s="30"/>
      <c r="C5410" s="30"/>
    </row>
    <row r="5411" spans="1:3" x14ac:dyDescent="0.25">
      <c r="A5411" s="31"/>
      <c r="B5411" s="30"/>
      <c r="C5411" s="30"/>
    </row>
    <row r="5412" spans="1:3" x14ac:dyDescent="0.25">
      <c r="A5412" s="31"/>
      <c r="B5412" s="30"/>
      <c r="C5412" s="30"/>
    </row>
    <row r="5413" spans="1:3" x14ac:dyDescent="0.25">
      <c r="A5413" s="31"/>
      <c r="B5413" s="30"/>
      <c r="C5413" s="30"/>
    </row>
    <row r="5414" spans="1:3" x14ac:dyDescent="0.25">
      <c r="A5414" s="31"/>
      <c r="B5414" s="30"/>
      <c r="C5414" s="30"/>
    </row>
    <row r="5415" spans="1:3" x14ac:dyDescent="0.25">
      <c r="A5415" s="31"/>
      <c r="B5415" s="30"/>
      <c r="C5415" s="30"/>
    </row>
    <row r="5416" spans="1:3" x14ac:dyDescent="0.25">
      <c r="A5416" s="31"/>
      <c r="B5416" s="30"/>
      <c r="C5416" s="30"/>
    </row>
    <row r="5417" spans="1:3" x14ac:dyDescent="0.25">
      <c r="A5417" s="31"/>
      <c r="B5417" s="30"/>
      <c r="C5417" s="30"/>
    </row>
    <row r="5418" spans="1:3" x14ac:dyDescent="0.25">
      <c r="A5418" s="31"/>
      <c r="B5418" s="30"/>
      <c r="C5418" s="30"/>
    </row>
    <row r="5419" spans="1:3" x14ac:dyDescent="0.25">
      <c r="A5419" s="31"/>
      <c r="B5419" s="30"/>
      <c r="C5419" s="30"/>
    </row>
    <row r="5420" spans="1:3" x14ac:dyDescent="0.25">
      <c r="A5420" s="31"/>
      <c r="B5420" s="30"/>
      <c r="C5420" s="30"/>
    </row>
    <row r="5421" spans="1:3" x14ac:dyDescent="0.25">
      <c r="A5421" s="31"/>
      <c r="B5421" s="30"/>
      <c r="C5421" s="30"/>
    </row>
    <row r="5422" spans="1:3" x14ac:dyDescent="0.25">
      <c r="A5422" s="31"/>
      <c r="B5422" s="30"/>
      <c r="C5422" s="30"/>
    </row>
    <row r="5423" spans="1:3" x14ac:dyDescent="0.25">
      <c r="A5423" s="31"/>
      <c r="B5423" s="30"/>
      <c r="C5423" s="30"/>
    </row>
    <row r="5424" spans="1:3" x14ac:dyDescent="0.25">
      <c r="A5424" s="31"/>
      <c r="B5424" s="30"/>
      <c r="C5424" s="30"/>
    </row>
    <row r="5425" spans="1:3" x14ac:dyDescent="0.25">
      <c r="A5425" s="31"/>
      <c r="B5425" s="30"/>
      <c r="C5425" s="30"/>
    </row>
    <row r="5426" spans="1:3" x14ac:dyDescent="0.25">
      <c r="A5426" s="31"/>
      <c r="B5426" s="30"/>
      <c r="C5426" s="30"/>
    </row>
    <row r="5427" spans="1:3" x14ac:dyDescent="0.25">
      <c r="A5427" s="31"/>
      <c r="B5427" s="30"/>
      <c r="C5427" s="30"/>
    </row>
    <row r="5428" spans="1:3" x14ac:dyDescent="0.25">
      <c r="A5428" s="31"/>
      <c r="B5428" s="30"/>
      <c r="C5428" s="30"/>
    </row>
    <row r="5429" spans="1:3" x14ac:dyDescent="0.25">
      <c r="A5429" s="31"/>
      <c r="B5429" s="30"/>
      <c r="C5429" s="30"/>
    </row>
    <row r="5430" spans="1:3" x14ac:dyDescent="0.25">
      <c r="A5430" s="31"/>
      <c r="B5430" s="30"/>
      <c r="C5430" s="30"/>
    </row>
    <row r="5431" spans="1:3" x14ac:dyDescent="0.25">
      <c r="A5431" s="31"/>
      <c r="B5431" s="30"/>
      <c r="C5431" s="30"/>
    </row>
    <row r="5432" spans="1:3" x14ac:dyDescent="0.25">
      <c r="A5432" s="31"/>
      <c r="B5432" s="30"/>
      <c r="C5432" s="30"/>
    </row>
    <row r="5433" spans="1:3" x14ac:dyDescent="0.25">
      <c r="A5433" s="31"/>
      <c r="B5433" s="30"/>
      <c r="C5433" s="30"/>
    </row>
    <row r="5434" spans="1:3" x14ac:dyDescent="0.25">
      <c r="A5434" s="31"/>
      <c r="B5434" s="30"/>
      <c r="C5434" s="30"/>
    </row>
    <row r="5435" spans="1:3" x14ac:dyDescent="0.25">
      <c r="A5435" s="31"/>
      <c r="B5435" s="30"/>
      <c r="C5435" s="30"/>
    </row>
    <row r="5436" spans="1:3" x14ac:dyDescent="0.25">
      <c r="A5436" s="31"/>
      <c r="B5436" s="30"/>
      <c r="C5436" s="30"/>
    </row>
    <row r="5437" spans="1:3" x14ac:dyDescent="0.25">
      <c r="A5437" s="31"/>
      <c r="B5437" s="30"/>
      <c r="C5437" s="30"/>
    </row>
    <row r="5438" spans="1:3" x14ac:dyDescent="0.25">
      <c r="A5438" s="31"/>
      <c r="B5438" s="30"/>
      <c r="C5438" s="30"/>
    </row>
    <row r="5439" spans="1:3" x14ac:dyDescent="0.25">
      <c r="A5439" s="31"/>
      <c r="B5439" s="30"/>
      <c r="C5439" s="30"/>
    </row>
    <row r="5440" spans="1:3" x14ac:dyDescent="0.25">
      <c r="A5440" s="31"/>
      <c r="B5440" s="30"/>
      <c r="C5440" s="30"/>
    </row>
    <row r="5441" spans="1:3" x14ac:dyDescent="0.25">
      <c r="A5441" s="31"/>
      <c r="B5441" s="30"/>
      <c r="C5441" s="30"/>
    </row>
    <row r="5442" spans="1:3" x14ac:dyDescent="0.25">
      <c r="A5442" s="31"/>
      <c r="B5442" s="30"/>
      <c r="C5442" s="30"/>
    </row>
    <row r="5443" spans="1:3" x14ac:dyDescent="0.25">
      <c r="A5443" s="31"/>
      <c r="B5443" s="30"/>
      <c r="C5443" s="30"/>
    </row>
    <row r="5444" spans="1:3" x14ac:dyDescent="0.25">
      <c r="A5444" s="31"/>
      <c r="B5444" s="30"/>
      <c r="C5444" s="30"/>
    </row>
    <row r="5445" spans="1:3" x14ac:dyDescent="0.25">
      <c r="A5445" s="31"/>
      <c r="B5445" s="30"/>
      <c r="C5445" s="30"/>
    </row>
    <row r="5446" spans="1:3" x14ac:dyDescent="0.25">
      <c r="A5446" s="31"/>
      <c r="B5446" s="30"/>
      <c r="C5446" s="30"/>
    </row>
    <row r="5447" spans="1:3" x14ac:dyDescent="0.25">
      <c r="A5447" s="31"/>
      <c r="B5447" s="30"/>
      <c r="C5447" s="30"/>
    </row>
    <row r="5448" spans="1:3" x14ac:dyDescent="0.25">
      <c r="A5448" s="31"/>
      <c r="B5448" s="30"/>
      <c r="C5448" s="30"/>
    </row>
    <row r="5449" spans="1:3" x14ac:dyDescent="0.25">
      <c r="A5449" s="31"/>
      <c r="B5449" s="30"/>
      <c r="C5449" s="30"/>
    </row>
    <row r="5450" spans="1:3" x14ac:dyDescent="0.25">
      <c r="A5450" s="31"/>
      <c r="B5450" s="30"/>
      <c r="C5450" s="30"/>
    </row>
    <row r="5451" spans="1:3" x14ac:dyDescent="0.25">
      <c r="A5451" s="31"/>
      <c r="B5451" s="30"/>
      <c r="C5451" s="30"/>
    </row>
    <row r="5452" spans="1:3" x14ac:dyDescent="0.25">
      <c r="A5452" s="31"/>
      <c r="B5452" s="30"/>
      <c r="C5452" s="30"/>
    </row>
    <row r="5453" spans="1:3" x14ac:dyDescent="0.25">
      <c r="A5453" s="31"/>
      <c r="B5453" s="30"/>
      <c r="C5453" s="30"/>
    </row>
    <row r="5454" spans="1:3" x14ac:dyDescent="0.25">
      <c r="A5454" s="31"/>
      <c r="B5454" s="30"/>
      <c r="C5454" s="30"/>
    </row>
    <row r="5455" spans="1:3" x14ac:dyDescent="0.25">
      <c r="A5455" s="31"/>
      <c r="B5455" s="30"/>
      <c r="C5455" s="30"/>
    </row>
    <row r="5456" spans="1:3" x14ac:dyDescent="0.25">
      <c r="A5456" s="31"/>
      <c r="B5456" s="30"/>
      <c r="C5456" s="30"/>
    </row>
    <row r="5457" spans="1:3" x14ac:dyDescent="0.25">
      <c r="A5457" s="31"/>
      <c r="B5457" s="30"/>
      <c r="C5457" s="30"/>
    </row>
    <row r="5458" spans="1:3" x14ac:dyDescent="0.25">
      <c r="A5458" s="31"/>
      <c r="B5458" s="30"/>
      <c r="C5458" s="30"/>
    </row>
    <row r="5459" spans="1:3" x14ac:dyDescent="0.25">
      <c r="A5459" s="31"/>
      <c r="B5459" s="30"/>
      <c r="C5459" s="30"/>
    </row>
    <row r="5460" spans="1:3" x14ac:dyDescent="0.25">
      <c r="A5460" s="31"/>
      <c r="B5460" s="30"/>
      <c r="C5460" s="30"/>
    </row>
    <row r="5461" spans="1:3" x14ac:dyDescent="0.25">
      <c r="A5461" s="31"/>
      <c r="B5461" s="30"/>
      <c r="C5461" s="30"/>
    </row>
    <row r="5462" spans="1:3" x14ac:dyDescent="0.25">
      <c r="A5462" s="31"/>
      <c r="B5462" s="30"/>
      <c r="C5462" s="30"/>
    </row>
    <row r="5463" spans="1:3" x14ac:dyDescent="0.25">
      <c r="A5463" s="31"/>
      <c r="B5463" s="30"/>
      <c r="C5463" s="30"/>
    </row>
    <row r="5464" spans="1:3" x14ac:dyDescent="0.25">
      <c r="A5464" s="31"/>
      <c r="B5464" s="30"/>
      <c r="C5464" s="30"/>
    </row>
    <row r="5465" spans="1:3" x14ac:dyDescent="0.25">
      <c r="A5465" s="31"/>
      <c r="B5465" s="30"/>
      <c r="C5465" s="30"/>
    </row>
    <row r="5466" spans="1:3" x14ac:dyDescent="0.25">
      <c r="A5466" s="31"/>
      <c r="B5466" s="30"/>
      <c r="C5466" s="30"/>
    </row>
    <row r="5467" spans="1:3" x14ac:dyDescent="0.25">
      <c r="A5467" s="31"/>
      <c r="B5467" s="30"/>
      <c r="C5467" s="30"/>
    </row>
    <row r="5468" spans="1:3" x14ac:dyDescent="0.25">
      <c r="A5468" s="31"/>
      <c r="B5468" s="30"/>
      <c r="C5468" s="30"/>
    </row>
    <row r="5469" spans="1:3" x14ac:dyDescent="0.25">
      <c r="A5469" s="31"/>
      <c r="B5469" s="30"/>
      <c r="C5469" s="30"/>
    </row>
    <row r="5470" spans="1:3" x14ac:dyDescent="0.25">
      <c r="A5470" s="31"/>
      <c r="B5470" s="30"/>
      <c r="C5470" s="30"/>
    </row>
    <row r="5471" spans="1:3" x14ac:dyDescent="0.25">
      <c r="A5471" s="31"/>
      <c r="B5471" s="30"/>
      <c r="C5471" s="30"/>
    </row>
    <row r="5472" spans="1:3" x14ac:dyDescent="0.25">
      <c r="A5472" s="31"/>
      <c r="B5472" s="30"/>
      <c r="C5472" s="30"/>
    </row>
    <row r="5473" spans="1:3" x14ac:dyDescent="0.25">
      <c r="A5473" s="31"/>
      <c r="B5473" s="30"/>
      <c r="C5473" s="30"/>
    </row>
    <row r="5474" spans="1:3" x14ac:dyDescent="0.25">
      <c r="A5474" s="31"/>
      <c r="B5474" s="30"/>
      <c r="C5474" s="30"/>
    </row>
    <row r="5475" spans="1:3" x14ac:dyDescent="0.25">
      <c r="A5475" s="31"/>
      <c r="B5475" s="30"/>
      <c r="C5475" s="30"/>
    </row>
    <row r="5476" spans="1:3" x14ac:dyDescent="0.25">
      <c r="A5476" s="31"/>
      <c r="B5476" s="30"/>
      <c r="C5476" s="30"/>
    </row>
    <row r="5477" spans="1:3" x14ac:dyDescent="0.25">
      <c r="A5477" s="31"/>
      <c r="B5477" s="30"/>
      <c r="C5477" s="30"/>
    </row>
    <row r="5478" spans="1:3" x14ac:dyDescent="0.25">
      <c r="A5478" s="31"/>
      <c r="B5478" s="30"/>
      <c r="C5478" s="30"/>
    </row>
    <row r="5479" spans="1:3" x14ac:dyDescent="0.25">
      <c r="A5479" s="31"/>
      <c r="B5479" s="30"/>
      <c r="C5479" s="30"/>
    </row>
    <row r="5480" spans="1:3" x14ac:dyDescent="0.25">
      <c r="A5480" s="31"/>
      <c r="B5480" s="30"/>
      <c r="C5480" s="30"/>
    </row>
    <row r="5481" spans="1:3" x14ac:dyDescent="0.25">
      <c r="A5481" s="31"/>
      <c r="B5481" s="30"/>
      <c r="C5481" s="30"/>
    </row>
    <row r="5482" spans="1:3" x14ac:dyDescent="0.25">
      <c r="A5482" s="31"/>
      <c r="B5482" s="30"/>
      <c r="C5482" s="30"/>
    </row>
    <row r="5483" spans="1:3" x14ac:dyDescent="0.25">
      <c r="A5483" s="31"/>
      <c r="B5483" s="30"/>
      <c r="C5483" s="30"/>
    </row>
    <row r="5484" spans="1:3" x14ac:dyDescent="0.25">
      <c r="A5484" s="31"/>
      <c r="B5484" s="30"/>
      <c r="C5484" s="30"/>
    </row>
    <row r="5485" spans="1:3" x14ac:dyDescent="0.25">
      <c r="A5485" s="31"/>
      <c r="B5485" s="30"/>
      <c r="C5485" s="30"/>
    </row>
    <row r="5486" spans="1:3" x14ac:dyDescent="0.25">
      <c r="A5486" s="31"/>
      <c r="B5486" s="30"/>
      <c r="C5486" s="30"/>
    </row>
    <row r="5487" spans="1:3" x14ac:dyDescent="0.25">
      <c r="A5487" s="31"/>
      <c r="B5487" s="30"/>
      <c r="C5487" s="30"/>
    </row>
    <row r="5488" spans="1:3" x14ac:dyDescent="0.25">
      <c r="A5488" s="31"/>
      <c r="B5488" s="30"/>
      <c r="C5488" s="30"/>
    </row>
    <row r="5489" spans="1:3" x14ac:dyDescent="0.25">
      <c r="A5489" s="31"/>
      <c r="B5489" s="30"/>
      <c r="C5489" s="30"/>
    </row>
    <row r="5490" spans="1:3" x14ac:dyDescent="0.25">
      <c r="A5490" s="31"/>
      <c r="B5490" s="30"/>
      <c r="C5490" s="30"/>
    </row>
    <row r="5491" spans="1:3" x14ac:dyDescent="0.25">
      <c r="A5491" s="31"/>
      <c r="B5491" s="30"/>
      <c r="C5491" s="30"/>
    </row>
    <row r="5492" spans="1:3" x14ac:dyDescent="0.25">
      <c r="A5492" s="31"/>
      <c r="B5492" s="30"/>
      <c r="C5492" s="30"/>
    </row>
    <row r="5493" spans="1:3" x14ac:dyDescent="0.25">
      <c r="A5493" s="31"/>
      <c r="B5493" s="30"/>
      <c r="C5493" s="30"/>
    </row>
    <row r="5494" spans="1:3" x14ac:dyDescent="0.25">
      <c r="A5494" s="31"/>
      <c r="B5494" s="30"/>
      <c r="C5494" s="30"/>
    </row>
    <row r="5495" spans="1:3" x14ac:dyDescent="0.25">
      <c r="A5495" s="31"/>
      <c r="B5495" s="30"/>
      <c r="C5495" s="30"/>
    </row>
    <row r="5496" spans="1:3" x14ac:dyDescent="0.25">
      <c r="A5496" s="31"/>
      <c r="B5496" s="30"/>
      <c r="C5496" s="30"/>
    </row>
    <row r="5497" spans="1:3" x14ac:dyDescent="0.25">
      <c r="A5497" s="31"/>
      <c r="B5497" s="30"/>
      <c r="C5497" s="30"/>
    </row>
    <row r="5498" spans="1:3" x14ac:dyDescent="0.25">
      <c r="A5498" s="31"/>
      <c r="B5498" s="30"/>
      <c r="C5498" s="30"/>
    </row>
    <row r="5499" spans="1:3" x14ac:dyDescent="0.25">
      <c r="A5499" s="31"/>
      <c r="B5499" s="30"/>
      <c r="C5499" s="30"/>
    </row>
    <row r="5500" spans="1:3" x14ac:dyDescent="0.25">
      <c r="A5500" s="31"/>
      <c r="B5500" s="30"/>
      <c r="C5500" s="30"/>
    </row>
    <row r="5501" spans="1:3" x14ac:dyDescent="0.25">
      <c r="A5501" s="31"/>
      <c r="B5501" s="30"/>
      <c r="C5501" s="30"/>
    </row>
    <row r="5502" spans="1:3" x14ac:dyDescent="0.25">
      <c r="A5502" s="31"/>
      <c r="B5502" s="30"/>
      <c r="C5502" s="30"/>
    </row>
    <row r="5503" spans="1:3" x14ac:dyDescent="0.25">
      <c r="A5503" s="31"/>
      <c r="B5503" s="30"/>
      <c r="C5503" s="30"/>
    </row>
    <row r="5504" spans="1:3" x14ac:dyDescent="0.25">
      <c r="A5504" s="31"/>
      <c r="B5504" s="30"/>
      <c r="C5504" s="30"/>
    </row>
    <row r="5505" spans="1:3" x14ac:dyDescent="0.25">
      <c r="A5505" s="31"/>
      <c r="B5505" s="30"/>
      <c r="C5505" s="30"/>
    </row>
    <row r="5506" spans="1:3" x14ac:dyDescent="0.25">
      <c r="A5506" s="31"/>
      <c r="B5506" s="30"/>
      <c r="C5506" s="30"/>
    </row>
    <row r="5507" spans="1:3" x14ac:dyDescent="0.25">
      <c r="A5507" s="31"/>
      <c r="B5507" s="30"/>
      <c r="C5507" s="30"/>
    </row>
    <row r="5508" spans="1:3" x14ac:dyDescent="0.25">
      <c r="A5508" s="31"/>
      <c r="B5508" s="30"/>
      <c r="C5508" s="30"/>
    </row>
    <row r="5509" spans="1:3" x14ac:dyDescent="0.25">
      <c r="A5509" s="31"/>
      <c r="B5509" s="30"/>
      <c r="C5509" s="30"/>
    </row>
    <row r="5510" spans="1:3" x14ac:dyDescent="0.25">
      <c r="A5510" s="31"/>
      <c r="B5510" s="30"/>
      <c r="C5510" s="30"/>
    </row>
    <row r="5511" spans="1:3" x14ac:dyDescent="0.25">
      <c r="A5511" s="31"/>
      <c r="B5511" s="30"/>
      <c r="C5511" s="30"/>
    </row>
    <row r="5512" spans="1:3" x14ac:dyDescent="0.25">
      <c r="A5512" s="31"/>
      <c r="B5512" s="30"/>
      <c r="C5512" s="30"/>
    </row>
    <row r="5513" spans="1:3" x14ac:dyDescent="0.25">
      <c r="A5513" s="31"/>
      <c r="B5513" s="30"/>
      <c r="C5513" s="30"/>
    </row>
    <row r="5514" spans="1:3" x14ac:dyDescent="0.25">
      <c r="A5514" s="31"/>
      <c r="B5514" s="30"/>
      <c r="C5514" s="30"/>
    </row>
    <row r="5515" spans="1:3" x14ac:dyDescent="0.25">
      <c r="A5515" s="31"/>
      <c r="B5515" s="30"/>
      <c r="C5515" s="30"/>
    </row>
    <row r="5516" spans="1:3" x14ac:dyDescent="0.25">
      <c r="A5516" s="31"/>
      <c r="B5516" s="30"/>
      <c r="C5516" s="30"/>
    </row>
    <row r="5517" spans="1:3" x14ac:dyDescent="0.25">
      <c r="A5517" s="31"/>
      <c r="B5517" s="30"/>
      <c r="C5517" s="30"/>
    </row>
    <row r="5518" spans="1:3" x14ac:dyDescent="0.25">
      <c r="A5518" s="31"/>
      <c r="B5518" s="30"/>
      <c r="C5518" s="30"/>
    </row>
    <row r="5519" spans="1:3" x14ac:dyDescent="0.25">
      <c r="A5519" s="31"/>
      <c r="B5519" s="30"/>
      <c r="C5519" s="30"/>
    </row>
    <row r="5520" spans="1:3" x14ac:dyDescent="0.25">
      <c r="A5520" s="31"/>
      <c r="B5520" s="30"/>
      <c r="C5520" s="30"/>
    </row>
    <row r="5521" spans="1:3" x14ac:dyDescent="0.25">
      <c r="A5521" s="31"/>
      <c r="B5521" s="30"/>
      <c r="C5521" s="30"/>
    </row>
    <row r="5522" spans="1:3" x14ac:dyDescent="0.25">
      <c r="A5522" s="31"/>
      <c r="B5522" s="30"/>
      <c r="C5522" s="30"/>
    </row>
    <row r="5523" spans="1:3" x14ac:dyDescent="0.25">
      <c r="A5523" s="31"/>
      <c r="B5523" s="30"/>
      <c r="C5523" s="30"/>
    </row>
    <row r="5524" spans="1:3" x14ac:dyDescent="0.25">
      <c r="A5524" s="31"/>
      <c r="B5524" s="30"/>
      <c r="C5524" s="30"/>
    </row>
    <row r="5525" spans="1:3" x14ac:dyDescent="0.25">
      <c r="A5525" s="31"/>
      <c r="B5525" s="30"/>
      <c r="C5525" s="30"/>
    </row>
    <row r="5526" spans="1:3" x14ac:dyDescent="0.25">
      <c r="A5526" s="31"/>
      <c r="B5526" s="30"/>
      <c r="C5526" s="30"/>
    </row>
    <row r="5527" spans="1:3" x14ac:dyDescent="0.25">
      <c r="A5527" s="31"/>
      <c r="B5527" s="30"/>
      <c r="C5527" s="30"/>
    </row>
    <row r="5528" spans="1:3" x14ac:dyDescent="0.25">
      <c r="A5528" s="31"/>
      <c r="B5528" s="30"/>
      <c r="C5528" s="30"/>
    </row>
    <row r="5529" spans="1:3" x14ac:dyDescent="0.25">
      <c r="A5529" s="31"/>
      <c r="B5529" s="30"/>
      <c r="C5529" s="30"/>
    </row>
    <row r="5530" spans="1:3" x14ac:dyDescent="0.25">
      <c r="A5530" s="31"/>
      <c r="B5530" s="30"/>
      <c r="C5530" s="30"/>
    </row>
    <row r="5531" spans="1:3" x14ac:dyDescent="0.25">
      <c r="A5531" s="31"/>
      <c r="B5531" s="30"/>
      <c r="C5531" s="30"/>
    </row>
    <row r="5532" spans="1:3" x14ac:dyDescent="0.25">
      <c r="A5532" s="31"/>
      <c r="B5532" s="30"/>
      <c r="C5532" s="30"/>
    </row>
    <row r="5533" spans="1:3" x14ac:dyDescent="0.25">
      <c r="A5533" s="31"/>
      <c r="B5533" s="30"/>
      <c r="C5533" s="30"/>
    </row>
    <row r="5534" spans="1:3" x14ac:dyDescent="0.25">
      <c r="A5534" s="31"/>
      <c r="B5534" s="30"/>
      <c r="C5534" s="30"/>
    </row>
    <row r="5535" spans="1:3" x14ac:dyDescent="0.25">
      <c r="A5535" s="31"/>
      <c r="B5535" s="30"/>
      <c r="C5535" s="30"/>
    </row>
    <row r="5536" spans="1:3" x14ac:dyDescent="0.25">
      <c r="A5536" s="31"/>
      <c r="B5536" s="30"/>
      <c r="C5536" s="30"/>
    </row>
    <row r="5537" spans="1:3" x14ac:dyDescent="0.25">
      <c r="A5537" s="31"/>
      <c r="B5537" s="30"/>
      <c r="C5537" s="30"/>
    </row>
    <row r="5538" spans="1:3" x14ac:dyDescent="0.25">
      <c r="A5538" s="31"/>
      <c r="B5538" s="30"/>
      <c r="C5538" s="30"/>
    </row>
    <row r="5539" spans="1:3" x14ac:dyDescent="0.25">
      <c r="A5539" s="31"/>
      <c r="B5539" s="30"/>
      <c r="C5539" s="30"/>
    </row>
    <row r="5540" spans="1:3" x14ac:dyDescent="0.25">
      <c r="A5540" s="31"/>
      <c r="B5540" s="30"/>
      <c r="C5540" s="30"/>
    </row>
    <row r="5541" spans="1:3" x14ac:dyDescent="0.25">
      <c r="A5541" s="31"/>
      <c r="B5541" s="30"/>
      <c r="C5541" s="30"/>
    </row>
    <row r="5542" spans="1:3" x14ac:dyDescent="0.25">
      <c r="A5542" s="31"/>
      <c r="B5542" s="30"/>
      <c r="C5542" s="30"/>
    </row>
    <row r="5543" spans="1:3" x14ac:dyDescent="0.25">
      <c r="A5543" s="31"/>
      <c r="B5543" s="30"/>
      <c r="C5543" s="30"/>
    </row>
    <row r="5544" spans="1:3" x14ac:dyDescent="0.25">
      <c r="A5544" s="31"/>
      <c r="B5544" s="30"/>
      <c r="C5544" s="30"/>
    </row>
    <row r="5545" spans="1:3" x14ac:dyDescent="0.25">
      <c r="A5545" s="31"/>
      <c r="B5545" s="30"/>
      <c r="C5545" s="30"/>
    </row>
    <row r="5546" spans="1:3" x14ac:dyDescent="0.25">
      <c r="A5546" s="31"/>
      <c r="B5546" s="30"/>
      <c r="C5546" s="30"/>
    </row>
    <row r="5547" spans="1:3" x14ac:dyDescent="0.25">
      <c r="A5547" s="31"/>
      <c r="B5547" s="30"/>
      <c r="C5547" s="30"/>
    </row>
    <row r="5548" spans="1:3" x14ac:dyDescent="0.25">
      <c r="A5548" s="31"/>
      <c r="B5548" s="30"/>
      <c r="C5548" s="30"/>
    </row>
    <row r="5549" spans="1:3" x14ac:dyDescent="0.25">
      <c r="A5549" s="31"/>
      <c r="B5549" s="30"/>
      <c r="C5549" s="30"/>
    </row>
    <row r="5550" spans="1:3" x14ac:dyDescent="0.25">
      <c r="A5550" s="31"/>
      <c r="B5550" s="30"/>
      <c r="C5550" s="30"/>
    </row>
    <row r="5551" spans="1:3" x14ac:dyDescent="0.25">
      <c r="A5551" s="31"/>
      <c r="B5551" s="30"/>
      <c r="C5551" s="30"/>
    </row>
    <row r="5552" spans="1:3" x14ac:dyDescent="0.25">
      <c r="A5552" s="31"/>
      <c r="B5552" s="30"/>
      <c r="C5552" s="30"/>
    </row>
    <row r="5553" spans="1:3" x14ac:dyDescent="0.25">
      <c r="A5553" s="31"/>
      <c r="B5553" s="30"/>
      <c r="C5553" s="30"/>
    </row>
    <row r="5554" spans="1:3" x14ac:dyDescent="0.25">
      <c r="A5554" s="31"/>
      <c r="B5554" s="30"/>
      <c r="C5554" s="30"/>
    </row>
    <row r="5555" spans="1:3" x14ac:dyDescent="0.25">
      <c r="A5555" s="31"/>
      <c r="B5555" s="30"/>
      <c r="C5555" s="30"/>
    </row>
    <row r="5556" spans="1:3" x14ac:dyDescent="0.25">
      <c r="A5556" s="31"/>
      <c r="B5556" s="30"/>
      <c r="C5556" s="30"/>
    </row>
    <row r="5557" spans="1:3" x14ac:dyDescent="0.25">
      <c r="A5557" s="31"/>
      <c r="B5557" s="30"/>
      <c r="C5557" s="30"/>
    </row>
    <row r="5558" spans="1:3" x14ac:dyDescent="0.25">
      <c r="A5558" s="31"/>
      <c r="B5558" s="30"/>
      <c r="C5558" s="30"/>
    </row>
    <row r="5559" spans="1:3" x14ac:dyDescent="0.25">
      <c r="A5559" s="31"/>
      <c r="B5559" s="30"/>
      <c r="C5559" s="30"/>
    </row>
    <row r="5560" spans="1:3" x14ac:dyDescent="0.25">
      <c r="A5560" s="31"/>
      <c r="B5560" s="30"/>
      <c r="C5560" s="30"/>
    </row>
    <row r="5561" spans="1:3" x14ac:dyDescent="0.25">
      <c r="A5561" s="31"/>
      <c r="B5561" s="30"/>
      <c r="C5561" s="30"/>
    </row>
    <row r="5562" spans="1:3" x14ac:dyDescent="0.25">
      <c r="A5562" s="31"/>
      <c r="B5562" s="30"/>
      <c r="C5562" s="30"/>
    </row>
    <row r="5563" spans="1:3" x14ac:dyDescent="0.25">
      <c r="A5563" s="31"/>
      <c r="B5563" s="30"/>
      <c r="C5563" s="30"/>
    </row>
    <row r="5564" spans="1:3" x14ac:dyDescent="0.25">
      <c r="A5564" s="31"/>
      <c r="B5564" s="30"/>
      <c r="C5564" s="30"/>
    </row>
    <row r="5565" spans="1:3" x14ac:dyDescent="0.25">
      <c r="A5565" s="31"/>
      <c r="B5565" s="30"/>
      <c r="C5565" s="30"/>
    </row>
    <row r="5566" spans="1:3" x14ac:dyDescent="0.25">
      <c r="A5566" s="31"/>
      <c r="B5566" s="30"/>
      <c r="C5566" s="30"/>
    </row>
    <row r="5567" spans="1:3" x14ac:dyDescent="0.25">
      <c r="A5567" s="31"/>
      <c r="B5567" s="30"/>
      <c r="C5567" s="30"/>
    </row>
    <row r="5568" spans="1:3" x14ac:dyDescent="0.25">
      <c r="A5568" s="31"/>
      <c r="B5568" s="30"/>
      <c r="C5568" s="30"/>
    </row>
    <row r="5569" spans="1:3" x14ac:dyDescent="0.25">
      <c r="A5569" s="31"/>
      <c r="B5569" s="30"/>
      <c r="C5569" s="30"/>
    </row>
    <row r="5570" spans="1:3" x14ac:dyDescent="0.25">
      <c r="A5570" s="31"/>
      <c r="B5570" s="30"/>
      <c r="C5570" s="30"/>
    </row>
    <row r="5571" spans="1:3" x14ac:dyDescent="0.25">
      <c r="A5571" s="31"/>
      <c r="B5571" s="30"/>
      <c r="C5571" s="30"/>
    </row>
    <row r="5572" spans="1:3" x14ac:dyDescent="0.25">
      <c r="A5572" s="31"/>
      <c r="B5572" s="30"/>
      <c r="C5572" s="30"/>
    </row>
    <row r="5573" spans="1:3" x14ac:dyDescent="0.25">
      <c r="A5573" s="31"/>
      <c r="B5573" s="30"/>
      <c r="C5573" s="30"/>
    </row>
    <row r="5574" spans="1:3" x14ac:dyDescent="0.25">
      <c r="A5574" s="31"/>
      <c r="B5574" s="30"/>
      <c r="C5574" s="30"/>
    </row>
    <row r="5575" spans="1:3" x14ac:dyDescent="0.25">
      <c r="A5575" s="31"/>
      <c r="B5575" s="30"/>
      <c r="C5575" s="30"/>
    </row>
    <row r="5576" spans="1:3" x14ac:dyDescent="0.25">
      <c r="A5576" s="31"/>
      <c r="B5576" s="30"/>
      <c r="C5576" s="30"/>
    </row>
    <row r="5577" spans="1:3" x14ac:dyDescent="0.25">
      <c r="A5577" s="31"/>
      <c r="B5577" s="30"/>
      <c r="C5577" s="30"/>
    </row>
    <row r="5578" spans="1:3" x14ac:dyDescent="0.25">
      <c r="A5578" s="31"/>
      <c r="B5578" s="30"/>
      <c r="C5578" s="30"/>
    </row>
    <row r="5579" spans="1:3" x14ac:dyDescent="0.25">
      <c r="A5579" s="31"/>
      <c r="B5579" s="30"/>
      <c r="C5579" s="30"/>
    </row>
    <row r="5580" spans="1:3" x14ac:dyDescent="0.25">
      <c r="A5580" s="31"/>
      <c r="B5580" s="30"/>
      <c r="C5580" s="30"/>
    </row>
    <row r="5581" spans="1:3" x14ac:dyDescent="0.25">
      <c r="A5581" s="31"/>
      <c r="B5581" s="30"/>
      <c r="C5581" s="30"/>
    </row>
    <row r="5582" spans="1:3" x14ac:dyDescent="0.25">
      <c r="A5582" s="31"/>
      <c r="B5582" s="30"/>
      <c r="C5582" s="30"/>
    </row>
    <row r="5583" spans="1:3" x14ac:dyDescent="0.25">
      <c r="A5583" s="31"/>
      <c r="B5583" s="30"/>
      <c r="C5583" s="30"/>
    </row>
    <row r="5584" spans="1:3" x14ac:dyDescent="0.25">
      <c r="A5584" s="31"/>
      <c r="B5584" s="30"/>
      <c r="C5584" s="30"/>
    </row>
    <row r="5585" spans="1:3" x14ac:dyDescent="0.25">
      <c r="A5585" s="31"/>
      <c r="B5585" s="30"/>
      <c r="C5585" s="30"/>
    </row>
    <row r="5586" spans="1:3" x14ac:dyDescent="0.25">
      <c r="A5586" s="31"/>
      <c r="B5586" s="30"/>
      <c r="C5586" s="30"/>
    </row>
    <row r="5587" spans="1:3" x14ac:dyDescent="0.25">
      <c r="A5587" s="31"/>
      <c r="B5587" s="30"/>
      <c r="C5587" s="30"/>
    </row>
    <row r="5588" spans="1:3" x14ac:dyDescent="0.25">
      <c r="A5588" s="31"/>
      <c r="B5588" s="30"/>
      <c r="C5588" s="30"/>
    </row>
    <row r="5589" spans="1:3" x14ac:dyDescent="0.25">
      <c r="A5589" s="31"/>
      <c r="B5589" s="30"/>
      <c r="C5589" s="30"/>
    </row>
    <row r="5590" spans="1:3" x14ac:dyDescent="0.25">
      <c r="A5590" s="31"/>
      <c r="B5590" s="30"/>
      <c r="C5590" s="30"/>
    </row>
    <row r="5591" spans="1:3" x14ac:dyDescent="0.25">
      <c r="A5591" s="31"/>
      <c r="B5591" s="30"/>
      <c r="C5591" s="30"/>
    </row>
    <row r="5592" spans="1:3" x14ac:dyDescent="0.25">
      <c r="A5592" s="31"/>
      <c r="B5592" s="30"/>
      <c r="C5592" s="30"/>
    </row>
    <row r="5593" spans="1:3" x14ac:dyDescent="0.25">
      <c r="A5593" s="31"/>
      <c r="B5593" s="30"/>
      <c r="C5593" s="30"/>
    </row>
    <row r="5594" spans="1:3" x14ac:dyDescent="0.25">
      <c r="A5594" s="31"/>
      <c r="B5594" s="30"/>
      <c r="C5594" s="30"/>
    </row>
    <row r="5595" spans="1:3" x14ac:dyDescent="0.25">
      <c r="A5595" s="31"/>
      <c r="B5595" s="30"/>
      <c r="C5595" s="30"/>
    </row>
    <row r="5596" spans="1:3" x14ac:dyDescent="0.25">
      <c r="A5596" s="31"/>
      <c r="B5596" s="30"/>
      <c r="C5596" s="30"/>
    </row>
    <row r="5597" spans="1:3" x14ac:dyDescent="0.25">
      <c r="A5597" s="31"/>
      <c r="B5597" s="30"/>
      <c r="C5597" s="30"/>
    </row>
    <row r="5598" spans="1:3" x14ac:dyDescent="0.25">
      <c r="A5598" s="31"/>
      <c r="B5598" s="30"/>
      <c r="C5598" s="30"/>
    </row>
    <row r="5599" spans="1:3" x14ac:dyDescent="0.25">
      <c r="A5599" s="31"/>
      <c r="B5599" s="30"/>
      <c r="C5599" s="30"/>
    </row>
    <row r="5600" spans="1:3" x14ac:dyDescent="0.25">
      <c r="A5600" s="31"/>
      <c r="B5600" s="30"/>
      <c r="C5600" s="30"/>
    </row>
    <row r="5601" spans="1:3" x14ac:dyDescent="0.25">
      <c r="A5601" s="31"/>
      <c r="B5601" s="30"/>
      <c r="C5601" s="30"/>
    </row>
    <row r="5602" spans="1:3" x14ac:dyDescent="0.25">
      <c r="A5602" s="31"/>
      <c r="B5602" s="30"/>
      <c r="C5602" s="30"/>
    </row>
    <row r="5603" spans="1:3" x14ac:dyDescent="0.25">
      <c r="A5603" s="31"/>
      <c r="B5603" s="30"/>
      <c r="C5603" s="30"/>
    </row>
    <row r="5604" spans="1:3" x14ac:dyDescent="0.25">
      <c r="A5604" s="31"/>
      <c r="B5604" s="30"/>
      <c r="C5604" s="30"/>
    </row>
    <row r="5605" spans="1:3" x14ac:dyDescent="0.25">
      <c r="A5605" s="31"/>
      <c r="B5605" s="30"/>
      <c r="C5605" s="30"/>
    </row>
    <row r="5606" spans="1:3" x14ac:dyDescent="0.25">
      <c r="A5606" s="31"/>
      <c r="B5606" s="30"/>
      <c r="C5606" s="30"/>
    </row>
    <row r="5607" spans="1:3" x14ac:dyDescent="0.25">
      <c r="A5607" s="31"/>
      <c r="B5607" s="30"/>
      <c r="C5607" s="30"/>
    </row>
    <row r="5608" spans="1:3" x14ac:dyDescent="0.25">
      <c r="A5608" s="31"/>
      <c r="B5608" s="30"/>
      <c r="C5608" s="30"/>
    </row>
    <row r="5609" spans="1:3" x14ac:dyDescent="0.25">
      <c r="A5609" s="31"/>
      <c r="B5609" s="30"/>
      <c r="C5609" s="30"/>
    </row>
    <row r="5610" spans="1:3" x14ac:dyDescent="0.25">
      <c r="A5610" s="31"/>
      <c r="B5610" s="30"/>
      <c r="C5610" s="30"/>
    </row>
    <row r="5611" spans="1:3" x14ac:dyDescent="0.25">
      <c r="A5611" s="31"/>
      <c r="B5611" s="30"/>
      <c r="C5611" s="30"/>
    </row>
    <row r="5612" spans="1:3" x14ac:dyDescent="0.25">
      <c r="A5612" s="31"/>
      <c r="B5612" s="30"/>
      <c r="C5612" s="30"/>
    </row>
    <row r="5613" spans="1:3" x14ac:dyDescent="0.25">
      <c r="A5613" s="31"/>
      <c r="B5613" s="30"/>
      <c r="C5613" s="30"/>
    </row>
    <row r="5614" spans="1:3" x14ac:dyDescent="0.25">
      <c r="A5614" s="31"/>
      <c r="B5614" s="30"/>
      <c r="C5614" s="30"/>
    </row>
    <row r="5615" spans="1:3" x14ac:dyDescent="0.25">
      <c r="A5615" s="31"/>
      <c r="B5615" s="30"/>
      <c r="C5615" s="30"/>
    </row>
    <row r="5616" spans="1:3" x14ac:dyDescent="0.25">
      <c r="A5616" s="31"/>
      <c r="B5616" s="30"/>
      <c r="C5616" s="30"/>
    </row>
    <row r="5617" spans="1:3" x14ac:dyDescent="0.25">
      <c r="A5617" s="31"/>
      <c r="B5617" s="30"/>
      <c r="C5617" s="30"/>
    </row>
    <row r="5618" spans="1:3" x14ac:dyDescent="0.25">
      <c r="A5618" s="31"/>
      <c r="B5618" s="30"/>
      <c r="C5618" s="30"/>
    </row>
    <row r="5619" spans="1:3" x14ac:dyDescent="0.25">
      <c r="A5619" s="31"/>
      <c r="B5619" s="30"/>
      <c r="C5619" s="30"/>
    </row>
    <row r="5620" spans="1:3" x14ac:dyDescent="0.25">
      <c r="A5620" s="31"/>
      <c r="B5620" s="30"/>
      <c r="C5620" s="30"/>
    </row>
    <row r="5621" spans="1:3" x14ac:dyDescent="0.25">
      <c r="A5621" s="31"/>
      <c r="B5621" s="30"/>
      <c r="C5621" s="30"/>
    </row>
    <row r="5622" spans="1:3" x14ac:dyDescent="0.25">
      <c r="A5622" s="31"/>
      <c r="B5622" s="30"/>
      <c r="C5622" s="30"/>
    </row>
    <row r="5623" spans="1:3" x14ac:dyDescent="0.25">
      <c r="A5623" s="31"/>
      <c r="B5623" s="30"/>
      <c r="C5623" s="30"/>
    </row>
    <row r="5624" spans="1:3" x14ac:dyDescent="0.25">
      <c r="A5624" s="31"/>
      <c r="B5624" s="30"/>
      <c r="C5624" s="30"/>
    </row>
    <row r="5625" spans="1:3" x14ac:dyDescent="0.25">
      <c r="A5625" s="31"/>
      <c r="B5625" s="30"/>
      <c r="C5625" s="30"/>
    </row>
    <row r="5626" spans="1:3" x14ac:dyDescent="0.25">
      <c r="A5626" s="31"/>
      <c r="B5626" s="30"/>
      <c r="C5626" s="30"/>
    </row>
    <row r="5627" spans="1:3" x14ac:dyDescent="0.25">
      <c r="A5627" s="31"/>
      <c r="B5627" s="30"/>
      <c r="C5627" s="30"/>
    </row>
    <row r="5628" spans="1:3" x14ac:dyDescent="0.25">
      <c r="A5628" s="31"/>
      <c r="B5628" s="30"/>
      <c r="C5628" s="30"/>
    </row>
    <row r="5629" spans="1:3" x14ac:dyDescent="0.25">
      <c r="A5629" s="31"/>
      <c r="B5629" s="30"/>
      <c r="C5629" s="30"/>
    </row>
    <row r="5630" spans="1:3" x14ac:dyDescent="0.25">
      <c r="A5630" s="31"/>
      <c r="B5630" s="30"/>
      <c r="C5630" s="30"/>
    </row>
    <row r="5631" spans="1:3" x14ac:dyDescent="0.25">
      <c r="A5631" s="31"/>
      <c r="B5631" s="30"/>
      <c r="C5631" s="30"/>
    </row>
    <row r="5632" spans="1:3" x14ac:dyDescent="0.25">
      <c r="A5632" s="31"/>
      <c r="B5632" s="30"/>
      <c r="C5632" s="30"/>
    </row>
    <row r="5633" spans="1:3" x14ac:dyDescent="0.25">
      <c r="A5633" s="31"/>
      <c r="B5633" s="30"/>
      <c r="C5633" s="30"/>
    </row>
    <row r="5634" spans="1:3" x14ac:dyDescent="0.25">
      <c r="A5634" s="31"/>
      <c r="B5634" s="30"/>
      <c r="C5634" s="30"/>
    </row>
    <row r="5635" spans="1:3" x14ac:dyDescent="0.25">
      <c r="A5635" s="31"/>
      <c r="B5635" s="30"/>
      <c r="C5635" s="30"/>
    </row>
    <row r="5636" spans="1:3" x14ac:dyDescent="0.25">
      <c r="A5636" s="31"/>
      <c r="B5636" s="30"/>
      <c r="C5636" s="30"/>
    </row>
    <row r="5637" spans="1:3" x14ac:dyDescent="0.25">
      <c r="A5637" s="31"/>
      <c r="B5637" s="30"/>
      <c r="C5637" s="30"/>
    </row>
    <row r="5638" spans="1:3" x14ac:dyDescent="0.25">
      <c r="A5638" s="31"/>
      <c r="B5638" s="30"/>
      <c r="C5638" s="30"/>
    </row>
    <row r="5639" spans="1:3" x14ac:dyDescent="0.25">
      <c r="A5639" s="31"/>
      <c r="B5639" s="30"/>
      <c r="C5639" s="30"/>
    </row>
    <row r="5640" spans="1:3" x14ac:dyDescent="0.25">
      <c r="A5640" s="31"/>
      <c r="B5640" s="30"/>
      <c r="C5640" s="30"/>
    </row>
    <row r="5641" spans="1:3" x14ac:dyDescent="0.25">
      <c r="A5641" s="31"/>
      <c r="B5641" s="30"/>
      <c r="C5641" s="30"/>
    </row>
    <row r="5642" spans="1:3" x14ac:dyDescent="0.25">
      <c r="A5642" s="31"/>
      <c r="B5642" s="30"/>
      <c r="C5642" s="30"/>
    </row>
    <row r="5643" spans="1:3" x14ac:dyDescent="0.25">
      <c r="A5643" s="31"/>
      <c r="B5643" s="30"/>
      <c r="C5643" s="30"/>
    </row>
    <row r="5644" spans="1:3" x14ac:dyDescent="0.25">
      <c r="A5644" s="31"/>
      <c r="B5644" s="30"/>
      <c r="C5644" s="30"/>
    </row>
    <row r="5645" spans="1:3" x14ac:dyDescent="0.25">
      <c r="A5645" s="31"/>
      <c r="B5645" s="30"/>
      <c r="C5645" s="30"/>
    </row>
    <row r="5646" spans="1:3" x14ac:dyDescent="0.25">
      <c r="A5646" s="31"/>
      <c r="B5646" s="30"/>
      <c r="C5646" s="30"/>
    </row>
    <row r="5647" spans="1:3" x14ac:dyDescent="0.25">
      <c r="A5647" s="31"/>
      <c r="B5647" s="30"/>
      <c r="C5647" s="30"/>
    </row>
    <row r="5648" spans="1:3" x14ac:dyDescent="0.25">
      <c r="A5648" s="31"/>
      <c r="B5648" s="30"/>
      <c r="C5648" s="30"/>
    </row>
    <row r="5649" spans="1:3" x14ac:dyDescent="0.25">
      <c r="A5649" s="31"/>
      <c r="B5649" s="30"/>
      <c r="C5649" s="30"/>
    </row>
    <row r="5650" spans="1:3" x14ac:dyDescent="0.25">
      <c r="A5650" s="31"/>
      <c r="B5650" s="30"/>
      <c r="C5650" s="30"/>
    </row>
    <row r="5651" spans="1:3" x14ac:dyDescent="0.25">
      <c r="A5651" s="31"/>
      <c r="B5651" s="30"/>
      <c r="C5651" s="30"/>
    </row>
    <row r="5652" spans="1:3" x14ac:dyDescent="0.25">
      <c r="A5652" s="31"/>
      <c r="B5652" s="30"/>
      <c r="C5652" s="30"/>
    </row>
    <row r="5653" spans="1:3" x14ac:dyDescent="0.25">
      <c r="A5653" s="31"/>
      <c r="B5653" s="30"/>
      <c r="C5653" s="30"/>
    </row>
    <row r="5654" spans="1:3" x14ac:dyDescent="0.25">
      <c r="A5654" s="31"/>
      <c r="B5654" s="30"/>
      <c r="C5654" s="30"/>
    </row>
    <row r="5655" spans="1:3" x14ac:dyDescent="0.25">
      <c r="A5655" s="31"/>
      <c r="B5655" s="30"/>
      <c r="C5655" s="30"/>
    </row>
    <row r="5656" spans="1:3" x14ac:dyDescent="0.25">
      <c r="A5656" s="31"/>
      <c r="B5656" s="30"/>
      <c r="C5656" s="30"/>
    </row>
    <row r="5657" spans="1:3" x14ac:dyDescent="0.25">
      <c r="A5657" s="31"/>
      <c r="B5657" s="30"/>
      <c r="C5657" s="30"/>
    </row>
    <row r="5658" spans="1:3" x14ac:dyDescent="0.25">
      <c r="A5658" s="31"/>
      <c r="B5658" s="30"/>
      <c r="C5658" s="30"/>
    </row>
    <row r="5659" spans="1:3" x14ac:dyDescent="0.25">
      <c r="A5659" s="31"/>
      <c r="B5659" s="30"/>
      <c r="C5659" s="30"/>
    </row>
    <row r="5660" spans="1:3" x14ac:dyDescent="0.25">
      <c r="A5660" s="31"/>
      <c r="B5660" s="30"/>
      <c r="C5660" s="30"/>
    </row>
    <row r="5661" spans="1:3" x14ac:dyDescent="0.25">
      <c r="A5661" s="31"/>
      <c r="B5661" s="30"/>
      <c r="C5661" s="30"/>
    </row>
    <row r="5662" spans="1:3" x14ac:dyDescent="0.25">
      <c r="A5662" s="31"/>
      <c r="B5662" s="30"/>
      <c r="C5662" s="30"/>
    </row>
    <row r="5663" spans="1:3" x14ac:dyDescent="0.25">
      <c r="A5663" s="31"/>
      <c r="B5663" s="30"/>
      <c r="C5663" s="30"/>
    </row>
    <row r="5664" spans="1:3" x14ac:dyDescent="0.25">
      <c r="A5664" s="31"/>
      <c r="B5664" s="30"/>
      <c r="C5664" s="30"/>
    </row>
    <row r="5665" spans="1:3" x14ac:dyDescent="0.25">
      <c r="A5665" s="31"/>
      <c r="B5665" s="30"/>
      <c r="C5665" s="30"/>
    </row>
    <row r="5666" spans="1:3" x14ac:dyDescent="0.25">
      <c r="A5666" s="31"/>
      <c r="B5666" s="30"/>
      <c r="C5666" s="30"/>
    </row>
    <row r="5667" spans="1:3" x14ac:dyDescent="0.25">
      <c r="A5667" s="31"/>
      <c r="B5667" s="30"/>
      <c r="C5667" s="30"/>
    </row>
    <row r="5668" spans="1:3" x14ac:dyDescent="0.25">
      <c r="A5668" s="31"/>
      <c r="B5668" s="30"/>
      <c r="C5668" s="30"/>
    </row>
    <row r="5669" spans="1:3" x14ac:dyDescent="0.25">
      <c r="A5669" s="31"/>
      <c r="B5669" s="30"/>
      <c r="C5669" s="30"/>
    </row>
    <row r="5670" spans="1:3" x14ac:dyDescent="0.25">
      <c r="A5670" s="31"/>
      <c r="B5670" s="30"/>
      <c r="C5670" s="30"/>
    </row>
    <row r="5671" spans="1:3" x14ac:dyDescent="0.25">
      <c r="A5671" s="31"/>
      <c r="B5671" s="30"/>
      <c r="C5671" s="30"/>
    </row>
    <row r="5672" spans="1:3" x14ac:dyDescent="0.25">
      <c r="A5672" s="31"/>
      <c r="B5672" s="30"/>
      <c r="C5672" s="30"/>
    </row>
    <row r="5673" spans="1:3" x14ac:dyDescent="0.25">
      <c r="A5673" s="31"/>
      <c r="B5673" s="30"/>
      <c r="C5673" s="30"/>
    </row>
    <row r="5674" spans="1:3" x14ac:dyDescent="0.25">
      <c r="A5674" s="31"/>
      <c r="B5674" s="30"/>
      <c r="C5674" s="30"/>
    </row>
    <row r="5675" spans="1:3" x14ac:dyDescent="0.25">
      <c r="A5675" s="31"/>
      <c r="B5675" s="30"/>
      <c r="C5675" s="30"/>
    </row>
    <row r="5676" spans="1:3" x14ac:dyDescent="0.25">
      <c r="A5676" s="31"/>
      <c r="B5676" s="30"/>
      <c r="C5676" s="30"/>
    </row>
    <row r="5677" spans="1:3" x14ac:dyDescent="0.25">
      <c r="A5677" s="31"/>
      <c r="B5677" s="30"/>
      <c r="C5677" s="30"/>
    </row>
    <row r="5678" spans="1:3" x14ac:dyDescent="0.25">
      <c r="A5678" s="31"/>
      <c r="B5678" s="30"/>
      <c r="C5678" s="30"/>
    </row>
    <row r="5679" spans="1:3" x14ac:dyDescent="0.25">
      <c r="A5679" s="31"/>
      <c r="B5679" s="30"/>
      <c r="C5679" s="30"/>
    </row>
    <row r="5680" spans="1:3" x14ac:dyDescent="0.25">
      <c r="A5680" s="31"/>
      <c r="B5680" s="30"/>
      <c r="C5680" s="30"/>
    </row>
    <row r="5681" spans="1:3" x14ac:dyDescent="0.25">
      <c r="A5681" s="31"/>
      <c r="B5681" s="30"/>
      <c r="C5681" s="30"/>
    </row>
    <row r="5682" spans="1:3" x14ac:dyDescent="0.25">
      <c r="A5682" s="31"/>
      <c r="B5682" s="30"/>
      <c r="C5682" s="30"/>
    </row>
    <row r="5683" spans="1:3" x14ac:dyDescent="0.25">
      <c r="A5683" s="31"/>
      <c r="B5683" s="30"/>
      <c r="C5683" s="30"/>
    </row>
    <row r="5684" spans="1:3" x14ac:dyDescent="0.25">
      <c r="A5684" s="31"/>
      <c r="B5684" s="30"/>
      <c r="C5684" s="30"/>
    </row>
    <row r="5685" spans="1:3" x14ac:dyDescent="0.25">
      <c r="A5685" s="31"/>
      <c r="B5685" s="30"/>
      <c r="C5685" s="30"/>
    </row>
    <row r="5686" spans="1:3" x14ac:dyDescent="0.25">
      <c r="A5686" s="31"/>
      <c r="B5686" s="30"/>
      <c r="C5686" s="30"/>
    </row>
    <row r="5687" spans="1:3" x14ac:dyDescent="0.25">
      <c r="A5687" s="31"/>
      <c r="B5687" s="30"/>
      <c r="C5687" s="30"/>
    </row>
    <row r="5688" spans="1:3" x14ac:dyDescent="0.25">
      <c r="A5688" s="31"/>
      <c r="B5688" s="30"/>
      <c r="C5688" s="30"/>
    </row>
    <row r="5689" spans="1:3" x14ac:dyDescent="0.25">
      <c r="A5689" s="31"/>
      <c r="B5689" s="30"/>
      <c r="C5689" s="30"/>
    </row>
    <row r="5690" spans="1:3" x14ac:dyDescent="0.25">
      <c r="A5690" s="31"/>
      <c r="B5690" s="30"/>
      <c r="C5690" s="30"/>
    </row>
    <row r="5691" spans="1:3" x14ac:dyDescent="0.25">
      <c r="A5691" s="31"/>
      <c r="B5691" s="30"/>
      <c r="C5691" s="30"/>
    </row>
    <row r="5692" spans="1:3" x14ac:dyDescent="0.25">
      <c r="A5692" s="31"/>
      <c r="B5692" s="30"/>
      <c r="C5692" s="30"/>
    </row>
    <row r="5693" spans="1:3" x14ac:dyDescent="0.25">
      <c r="A5693" s="31"/>
      <c r="B5693" s="30"/>
      <c r="C5693" s="30"/>
    </row>
    <row r="5694" spans="1:3" x14ac:dyDescent="0.25">
      <c r="A5694" s="31"/>
      <c r="B5694" s="30"/>
      <c r="C5694" s="30"/>
    </row>
    <row r="5695" spans="1:3" x14ac:dyDescent="0.25">
      <c r="A5695" s="31"/>
      <c r="B5695" s="30"/>
      <c r="C5695" s="30"/>
    </row>
    <row r="5696" spans="1:3" x14ac:dyDescent="0.25">
      <c r="A5696" s="31"/>
      <c r="B5696" s="30"/>
      <c r="C5696" s="30"/>
    </row>
    <row r="5697" spans="1:3" x14ac:dyDescent="0.25">
      <c r="A5697" s="31"/>
      <c r="B5697" s="30"/>
      <c r="C5697" s="30"/>
    </row>
    <row r="5698" spans="1:3" x14ac:dyDescent="0.25">
      <c r="A5698" s="31"/>
      <c r="B5698" s="30"/>
      <c r="C5698" s="30"/>
    </row>
    <row r="5699" spans="1:3" x14ac:dyDescent="0.25">
      <c r="A5699" s="31"/>
      <c r="B5699" s="30"/>
      <c r="C5699" s="30"/>
    </row>
    <row r="5700" spans="1:3" x14ac:dyDescent="0.25">
      <c r="A5700" s="31"/>
      <c r="B5700" s="30"/>
      <c r="C5700" s="30"/>
    </row>
    <row r="5701" spans="1:3" x14ac:dyDescent="0.25">
      <c r="A5701" s="31"/>
      <c r="B5701" s="30"/>
      <c r="C5701" s="30"/>
    </row>
    <row r="5702" spans="1:3" x14ac:dyDescent="0.25">
      <c r="A5702" s="31"/>
      <c r="B5702" s="30"/>
      <c r="C5702" s="30"/>
    </row>
    <row r="5703" spans="1:3" x14ac:dyDescent="0.25">
      <c r="A5703" s="31"/>
      <c r="B5703" s="30"/>
      <c r="C5703" s="30"/>
    </row>
    <row r="5704" spans="1:3" x14ac:dyDescent="0.25">
      <c r="A5704" s="31"/>
      <c r="B5704" s="30"/>
      <c r="C5704" s="30"/>
    </row>
    <row r="5705" spans="1:3" x14ac:dyDescent="0.25">
      <c r="A5705" s="31"/>
      <c r="B5705" s="30"/>
      <c r="C5705" s="30"/>
    </row>
    <row r="5706" spans="1:3" x14ac:dyDescent="0.25">
      <c r="A5706" s="31"/>
      <c r="B5706" s="30"/>
      <c r="C5706" s="30"/>
    </row>
    <row r="5707" spans="1:3" x14ac:dyDescent="0.25">
      <c r="A5707" s="31"/>
      <c r="B5707" s="30"/>
      <c r="C5707" s="30"/>
    </row>
    <row r="5708" spans="1:3" x14ac:dyDescent="0.25">
      <c r="A5708" s="31"/>
      <c r="B5708" s="30"/>
      <c r="C5708" s="30"/>
    </row>
    <row r="5709" spans="1:3" x14ac:dyDescent="0.25">
      <c r="A5709" s="31"/>
      <c r="B5709" s="30"/>
      <c r="C5709" s="30"/>
    </row>
    <row r="5710" spans="1:3" x14ac:dyDescent="0.25">
      <c r="A5710" s="31"/>
      <c r="B5710" s="30"/>
      <c r="C5710" s="30"/>
    </row>
    <row r="5711" spans="1:3" x14ac:dyDescent="0.25">
      <c r="A5711" s="31"/>
      <c r="B5711" s="30"/>
      <c r="C5711" s="30"/>
    </row>
    <row r="5712" spans="1:3" x14ac:dyDescent="0.25">
      <c r="A5712" s="31"/>
      <c r="B5712" s="30"/>
      <c r="C5712" s="30"/>
    </row>
    <row r="5713" spans="1:3" x14ac:dyDescent="0.25">
      <c r="A5713" s="31"/>
      <c r="B5713" s="30"/>
      <c r="C5713" s="30"/>
    </row>
    <row r="5714" spans="1:3" x14ac:dyDescent="0.25">
      <c r="A5714" s="31"/>
      <c r="B5714" s="30"/>
      <c r="C5714" s="30"/>
    </row>
    <row r="5715" spans="1:3" x14ac:dyDescent="0.25">
      <c r="A5715" s="31"/>
      <c r="B5715" s="30"/>
      <c r="C5715" s="30"/>
    </row>
    <row r="5716" spans="1:3" x14ac:dyDescent="0.25">
      <c r="A5716" s="31"/>
      <c r="B5716" s="30"/>
      <c r="C5716" s="30"/>
    </row>
    <row r="5717" spans="1:3" x14ac:dyDescent="0.25">
      <c r="A5717" s="31"/>
      <c r="B5717" s="30"/>
      <c r="C5717" s="30"/>
    </row>
    <row r="5718" spans="1:3" x14ac:dyDescent="0.25">
      <c r="A5718" s="31"/>
      <c r="B5718" s="30"/>
      <c r="C5718" s="30"/>
    </row>
    <row r="5719" spans="1:3" x14ac:dyDescent="0.25">
      <c r="A5719" s="31"/>
      <c r="B5719" s="30"/>
      <c r="C5719" s="30"/>
    </row>
    <row r="5720" spans="1:3" x14ac:dyDescent="0.25">
      <c r="A5720" s="31"/>
      <c r="B5720" s="30"/>
      <c r="C5720" s="30"/>
    </row>
    <row r="5721" spans="1:3" x14ac:dyDescent="0.25">
      <c r="A5721" s="31"/>
      <c r="B5721" s="30"/>
      <c r="C5721" s="30"/>
    </row>
    <row r="5722" spans="1:3" x14ac:dyDescent="0.25">
      <c r="A5722" s="31"/>
      <c r="B5722" s="30"/>
      <c r="C5722" s="30"/>
    </row>
    <row r="5723" spans="1:3" x14ac:dyDescent="0.25">
      <c r="A5723" s="31"/>
      <c r="B5723" s="30"/>
      <c r="C5723" s="30"/>
    </row>
    <row r="5724" spans="1:3" x14ac:dyDescent="0.25">
      <c r="A5724" s="31"/>
      <c r="B5724" s="30"/>
      <c r="C5724" s="30"/>
    </row>
    <row r="5725" spans="1:3" x14ac:dyDescent="0.25">
      <c r="A5725" s="31"/>
      <c r="B5725" s="30"/>
      <c r="C5725" s="30"/>
    </row>
    <row r="5726" spans="1:3" x14ac:dyDescent="0.25">
      <c r="A5726" s="31"/>
      <c r="B5726" s="30"/>
      <c r="C5726" s="30"/>
    </row>
    <row r="5727" spans="1:3" x14ac:dyDescent="0.25">
      <c r="A5727" s="31"/>
      <c r="B5727" s="30"/>
      <c r="C5727" s="30"/>
    </row>
    <row r="5728" spans="1:3" x14ac:dyDescent="0.25">
      <c r="A5728" s="31"/>
      <c r="B5728" s="30"/>
      <c r="C5728" s="30"/>
    </row>
    <row r="5729" spans="1:3" x14ac:dyDescent="0.25">
      <c r="A5729" s="31"/>
      <c r="B5729" s="30"/>
      <c r="C5729" s="30"/>
    </row>
    <row r="5730" spans="1:3" x14ac:dyDescent="0.25">
      <c r="A5730" s="31"/>
      <c r="B5730" s="30"/>
      <c r="C5730" s="30"/>
    </row>
    <row r="5731" spans="1:3" x14ac:dyDescent="0.25">
      <c r="A5731" s="31"/>
      <c r="B5731" s="30"/>
      <c r="C5731" s="30"/>
    </row>
    <row r="5732" spans="1:3" x14ac:dyDescent="0.25">
      <c r="A5732" s="31"/>
      <c r="B5732" s="30"/>
      <c r="C5732" s="30"/>
    </row>
    <row r="5733" spans="1:3" x14ac:dyDescent="0.25">
      <c r="A5733" s="31"/>
      <c r="B5733" s="30"/>
      <c r="C5733" s="30"/>
    </row>
    <row r="5734" spans="1:3" x14ac:dyDescent="0.25">
      <c r="A5734" s="31"/>
      <c r="B5734" s="30"/>
      <c r="C5734" s="30"/>
    </row>
    <row r="5735" spans="1:3" x14ac:dyDescent="0.25">
      <c r="A5735" s="31"/>
      <c r="B5735" s="30"/>
      <c r="C5735" s="30"/>
    </row>
    <row r="5736" spans="1:3" x14ac:dyDescent="0.25">
      <c r="A5736" s="31"/>
      <c r="B5736" s="30"/>
      <c r="C5736" s="30"/>
    </row>
    <row r="5737" spans="1:3" x14ac:dyDescent="0.25">
      <c r="A5737" s="31"/>
      <c r="B5737" s="30"/>
      <c r="C5737" s="30"/>
    </row>
    <row r="5738" spans="1:3" x14ac:dyDescent="0.25">
      <c r="A5738" s="31"/>
      <c r="B5738" s="30"/>
      <c r="C5738" s="30"/>
    </row>
    <row r="5739" spans="1:3" x14ac:dyDescent="0.25">
      <c r="A5739" s="31"/>
      <c r="B5739" s="30"/>
      <c r="C5739" s="30"/>
    </row>
    <row r="5740" spans="1:3" x14ac:dyDescent="0.25">
      <c r="A5740" s="31"/>
      <c r="B5740" s="30"/>
      <c r="C5740" s="30"/>
    </row>
    <row r="5741" spans="1:3" x14ac:dyDescent="0.25">
      <c r="A5741" s="31"/>
      <c r="B5741" s="30"/>
      <c r="C5741" s="30"/>
    </row>
    <row r="5742" spans="1:3" x14ac:dyDescent="0.25">
      <c r="A5742" s="31"/>
      <c r="B5742" s="30"/>
      <c r="C5742" s="30"/>
    </row>
    <row r="5743" spans="1:3" x14ac:dyDescent="0.25">
      <c r="A5743" s="31"/>
      <c r="B5743" s="30"/>
      <c r="C5743" s="30"/>
    </row>
    <row r="5744" spans="1:3" x14ac:dyDescent="0.25">
      <c r="A5744" s="31"/>
      <c r="B5744" s="30"/>
      <c r="C5744" s="30"/>
    </row>
    <row r="5745" spans="1:3" x14ac:dyDescent="0.25">
      <c r="A5745" s="31"/>
      <c r="B5745" s="30"/>
      <c r="C5745" s="30"/>
    </row>
    <row r="5746" spans="1:3" x14ac:dyDescent="0.25">
      <c r="A5746" s="31"/>
      <c r="B5746" s="30"/>
      <c r="C5746" s="30"/>
    </row>
    <row r="5747" spans="1:3" x14ac:dyDescent="0.25">
      <c r="A5747" s="31"/>
      <c r="B5747" s="30"/>
      <c r="C5747" s="30"/>
    </row>
    <row r="5748" spans="1:3" x14ac:dyDescent="0.25">
      <c r="A5748" s="31"/>
      <c r="B5748" s="30"/>
      <c r="C5748" s="30"/>
    </row>
    <row r="5749" spans="1:3" x14ac:dyDescent="0.25">
      <c r="A5749" s="31"/>
      <c r="B5749" s="30"/>
      <c r="C5749" s="30"/>
    </row>
    <row r="5750" spans="1:3" x14ac:dyDescent="0.25">
      <c r="A5750" s="31"/>
      <c r="B5750" s="30"/>
      <c r="C5750" s="30"/>
    </row>
    <row r="5751" spans="1:3" x14ac:dyDescent="0.25">
      <c r="A5751" s="31"/>
      <c r="B5751" s="30"/>
      <c r="C5751" s="30"/>
    </row>
    <row r="5752" spans="1:3" x14ac:dyDescent="0.25">
      <c r="A5752" s="31"/>
      <c r="B5752" s="30"/>
      <c r="C5752" s="30"/>
    </row>
    <row r="5753" spans="1:3" x14ac:dyDescent="0.25">
      <c r="A5753" s="31"/>
      <c r="B5753" s="30"/>
      <c r="C5753" s="30"/>
    </row>
    <row r="5754" spans="1:3" x14ac:dyDescent="0.25">
      <c r="A5754" s="31"/>
      <c r="B5754" s="30"/>
      <c r="C5754" s="30"/>
    </row>
    <row r="5755" spans="1:3" x14ac:dyDescent="0.25">
      <c r="A5755" s="31"/>
      <c r="B5755" s="30"/>
      <c r="C5755" s="30"/>
    </row>
    <row r="5756" spans="1:3" x14ac:dyDescent="0.25">
      <c r="A5756" s="31"/>
      <c r="B5756" s="30"/>
      <c r="C5756" s="30"/>
    </row>
    <row r="5757" spans="1:3" x14ac:dyDescent="0.25">
      <c r="A5757" s="31"/>
      <c r="B5757" s="30"/>
      <c r="C5757" s="30"/>
    </row>
    <row r="5758" spans="1:3" x14ac:dyDescent="0.25">
      <c r="A5758" s="31"/>
      <c r="B5758" s="30"/>
      <c r="C5758" s="30"/>
    </row>
    <row r="5759" spans="1:3" x14ac:dyDescent="0.25">
      <c r="A5759" s="31"/>
      <c r="B5759" s="30"/>
      <c r="C5759" s="30"/>
    </row>
    <row r="5760" spans="1:3" x14ac:dyDescent="0.25">
      <c r="A5760" s="31"/>
      <c r="B5760" s="30"/>
      <c r="C5760" s="30"/>
    </row>
    <row r="5761" spans="1:3" x14ac:dyDescent="0.25">
      <c r="A5761" s="31"/>
      <c r="B5761" s="30"/>
      <c r="C5761" s="30"/>
    </row>
    <row r="5762" spans="1:3" x14ac:dyDescent="0.25">
      <c r="A5762" s="31"/>
      <c r="B5762" s="30"/>
      <c r="C5762" s="30"/>
    </row>
    <row r="5763" spans="1:3" x14ac:dyDescent="0.25">
      <c r="A5763" s="31"/>
      <c r="B5763" s="30"/>
      <c r="C5763" s="30"/>
    </row>
    <row r="5764" spans="1:3" x14ac:dyDescent="0.25">
      <c r="A5764" s="31"/>
      <c r="B5764" s="30"/>
      <c r="C5764" s="30"/>
    </row>
    <row r="5765" spans="1:3" x14ac:dyDescent="0.25">
      <c r="A5765" s="31"/>
      <c r="B5765" s="30"/>
      <c r="C5765" s="30"/>
    </row>
    <row r="5766" spans="1:3" x14ac:dyDescent="0.25">
      <c r="A5766" s="31"/>
      <c r="B5766" s="30"/>
      <c r="C5766" s="30"/>
    </row>
    <row r="5767" spans="1:3" x14ac:dyDescent="0.25">
      <c r="A5767" s="31"/>
      <c r="B5767" s="30"/>
      <c r="C5767" s="30"/>
    </row>
    <row r="5768" spans="1:3" x14ac:dyDescent="0.25">
      <c r="A5768" s="31"/>
      <c r="B5768" s="30"/>
      <c r="C5768" s="30"/>
    </row>
    <row r="5769" spans="1:3" x14ac:dyDescent="0.25">
      <c r="A5769" s="31"/>
      <c r="B5769" s="30"/>
      <c r="C5769" s="30"/>
    </row>
    <row r="5770" spans="1:3" x14ac:dyDescent="0.25">
      <c r="A5770" s="31"/>
      <c r="B5770" s="30"/>
      <c r="C5770" s="30"/>
    </row>
    <row r="5771" spans="1:3" x14ac:dyDescent="0.25">
      <c r="A5771" s="31"/>
      <c r="B5771" s="30"/>
      <c r="C5771" s="30"/>
    </row>
    <row r="5772" spans="1:3" x14ac:dyDescent="0.25">
      <c r="A5772" s="31"/>
      <c r="B5772" s="30"/>
      <c r="C5772" s="30"/>
    </row>
    <row r="5773" spans="1:3" x14ac:dyDescent="0.25">
      <c r="A5773" s="31"/>
      <c r="B5773" s="30"/>
      <c r="C5773" s="30"/>
    </row>
    <row r="5774" spans="1:3" x14ac:dyDescent="0.25">
      <c r="A5774" s="31"/>
      <c r="B5774" s="30"/>
      <c r="C5774" s="30"/>
    </row>
    <row r="5775" spans="1:3" x14ac:dyDescent="0.25">
      <c r="A5775" s="31"/>
      <c r="B5775" s="30"/>
      <c r="C5775" s="30"/>
    </row>
    <row r="5776" spans="1:3" x14ac:dyDescent="0.25">
      <c r="A5776" s="31"/>
      <c r="B5776" s="30"/>
      <c r="C5776" s="30"/>
    </row>
    <row r="5777" spans="1:3" x14ac:dyDescent="0.25">
      <c r="A5777" s="31"/>
      <c r="B5777" s="30"/>
      <c r="C5777" s="30"/>
    </row>
    <row r="5778" spans="1:3" x14ac:dyDescent="0.25">
      <c r="A5778" s="31"/>
      <c r="B5778" s="30"/>
      <c r="C5778" s="30"/>
    </row>
    <row r="5779" spans="1:3" x14ac:dyDescent="0.25">
      <c r="A5779" s="31"/>
      <c r="B5779" s="30"/>
      <c r="C5779" s="30"/>
    </row>
    <row r="5780" spans="1:3" x14ac:dyDescent="0.25">
      <c r="A5780" s="31"/>
      <c r="B5780" s="30"/>
      <c r="C5780" s="30"/>
    </row>
    <row r="5781" spans="1:3" x14ac:dyDescent="0.25">
      <c r="A5781" s="31"/>
      <c r="B5781" s="30"/>
      <c r="C5781" s="30"/>
    </row>
    <row r="5782" spans="1:3" x14ac:dyDescent="0.25">
      <c r="A5782" s="31"/>
      <c r="B5782" s="30"/>
      <c r="C5782" s="30"/>
    </row>
    <row r="5783" spans="1:3" x14ac:dyDescent="0.25">
      <c r="A5783" s="31"/>
      <c r="B5783" s="30"/>
      <c r="C5783" s="30"/>
    </row>
    <row r="5784" spans="1:3" x14ac:dyDescent="0.25">
      <c r="A5784" s="31"/>
      <c r="B5784" s="30"/>
      <c r="C5784" s="30"/>
    </row>
    <row r="5785" spans="1:3" x14ac:dyDescent="0.25">
      <c r="A5785" s="31"/>
      <c r="B5785" s="30"/>
      <c r="C5785" s="30"/>
    </row>
    <row r="5786" spans="1:3" x14ac:dyDescent="0.25">
      <c r="A5786" s="31"/>
      <c r="B5786" s="30"/>
      <c r="C5786" s="30"/>
    </row>
    <row r="5787" spans="1:3" x14ac:dyDescent="0.25">
      <c r="A5787" s="31"/>
      <c r="B5787" s="30"/>
      <c r="C5787" s="30"/>
    </row>
    <row r="5788" spans="1:3" x14ac:dyDescent="0.25">
      <c r="A5788" s="31"/>
      <c r="B5788" s="30"/>
      <c r="C5788" s="30"/>
    </row>
    <row r="5789" spans="1:3" x14ac:dyDescent="0.25">
      <c r="A5789" s="31"/>
      <c r="B5789" s="30"/>
      <c r="C5789" s="30"/>
    </row>
    <row r="5790" spans="1:3" x14ac:dyDescent="0.25">
      <c r="A5790" s="31"/>
      <c r="B5790" s="30"/>
      <c r="C5790" s="30"/>
    </row>
    <row r="5791" spans="1:3" x14ac:dyDescent="0.25">
      <c r="A5791" s="31"/>
      <c r="B5791" s="30"/>
      <c r="C5791" s="30"/>
    </row>
    <row r="5792" spans="1:3" x14ac:dyDescent="0.25">
      <c r="A5792" s="31"/>
      <c r="B5792" s="30"/>
      <c r="C5792" s="30"/>
    </row>
    <row r="5793" spans="1:3" x14ac:dyDescent="0.25">
      <c r="A5793" s="31"/>
      <c r="B5793" s="30"/>
      <c r="C5793" s="30"/>
    </row>
    <row r="5794" spans="1:3" x14ac:dyDescent="0.25">
      <c r="A5794" s="31"/>
      <c r="B5794" s="30"/>
      <c r="C5794" s="30"/>
    </row>
    <row r="5795" spans="1:3" x14ac:dyDescent="0.25">
      <c r="A5795" s="31"/>
      <c r="B5795" s="30"/>
      <c r="C5795" s="30"/>
    </row>
    <row r="5796" spans="1:3" x14ac:dyDescent="0.25">
      <c r="A5796" s="31"/>
      <c r="B5796" s="30"/>
      <c r="C5796" s="30"/>
    </row>
    <row r="5797" spans="1:3" x14ac:dyDescent="0.25">
      <c r="A5797" s="31"/>
      <c r="B5797" s="30"/>
      <c r="C5797" s="30"/>
    </row>
    <row r="5798" spans="1:3" x14ac:dyDescent="0.25">
      <c r="A5798" s="31"/>
      <c r="B5798" s="30"/>
      <c r="C5798" s="30"/>
    </row>
    <row r="5799" spans="1:3" x14ac:dyDescent="0.25">
      <c r="A5799" s="31"/>
      <c r="B5799" s="30"/>
      <c r="C5799" s="30"/>
    </row>
    <row r="5800" spans="1:3" x14ac:dyDescent="0.25">
      <c r="A5800" s="31"/>
      <c r="B5800" s="30"/>
      <c r="C5800" s="30"/>
    </row>
    <row r="5801" spans="1:3" x14ac:dyDescent="0.25">
      <c r="A5801" s="31"/>
      <c r="B5801" s="30"/>
      <c r="C5801" s="30"/>
    </row>
    <row r="5802" spans="1:3" x14ac:dyDescent="0.25">
      <c r="A5802" s="31"/>
      <c r="B5802" s="30"/>
      <c r="C5802" s="30"/>
    </row>
    <row r="5803" spans="1:3" x14ac:dyDescent="0.25">
      <c r="A5803" s="31"/>
      <c r="B5803" s="30"/>
      <c r="C5803" s="30"/>
    </row>
    <row r="5804" spans="1:3" x14ac:dyDescent="0.25">
      <c r="A5804" s="31"/>
      <c r="B5804" s="30"/>
      <c r="C5804" s="30"/>
    </row>
    <row r="5805" spans="1:3" x14ac:dyDescent="0.25">
      <c r="A5805" s="31"/>
      <c r="B5805" s="30"/>
      <c r="C5805" s="30"/>
    </row>
    <row r="5806" spans="1:3" x14ac:dyDescent="0.25">
      <c r="A5806" s="31"/>
      <c r="B5806" s="30"/>
      <c r="C5806" s="30"/>
    </row>
    <row r="5807" spans="1:3" x14ac:dyDescent="0.25">
      <c r="A5807" s="31"/>
      <c r="B5807" s="30"/>
      <c r="C5807" s="30"/>
    </row>
    <row r="5808" spans="1:3" x14ac:dyDescent="0.25">
      <c r="A5808" s="31"/>
      <c r="B5808" s="30"/>
      <c r="C5808" s="30"/>
    </row>
    <row r="5809" spans="1:3" x14ac:dyDescent="0.25">
      <c r="A5809" s="31"/>
      <c r="B5809" s="30"/>
      <c r="C5809" s="30"/>
    </row>
    <row r="5810" spans="1:3" x14ac:dyDescent="0.25">
      <c r="A5810" s="31"/>
      <c r="B5810" s="30"/>
      <c r="C5810" s="30"/>
    </row>
    <row r="5811" spans="1:3" x14ac:dyDescent="0.25">
      <c r="A5811" s="31"/>
      <c r="B5811" s="30"/>
      <c r="C5811" s="30"/>
    </row>
    <row r="5812" spans="1:3" x14ac:dyDescent="0.25">
      <c r="A5812" s="31"/>
      <c r="B5812" s="30"/>
      <c r="C5812" s="30"/>
    </row>
    <row r="5813" spans="1:3" x14ac:dyDescent="0.25">
      <c r="A5813" s="31"/>
      <c r="B5813" s="30"/>
      <c r="C5813" s="30"/>
    </row>
    <row r="5814" spans="1:3" x14ac:dyDescent="0.25">
      <c r="A5814" s="31"/>
      <c r="B5814" s="30"/>
      <c r="C5814" s="30"/>
    </row>
    <row r="5815" spans="1:3" x14ac:dyDescent="0.25">
      <c r="A5815" s="31"/>
      <c r="B5815" s="30"/>
      <c r="C5815" s="30"/>
    </row>
    <row r="5816" spans="1:3" x14ac:dyDescent="0.25">
      <c r="A5816" s="31"/>
      <c r="B5816" s="30"/>
      <c r="C5816" s="30"/>
    </row>
    <row r="5817" spans="1:3" x14ac:dyDescent="0.25">
      <c r="A5817" s="31"/>
      <c r="B5817" s="30"/>
      <c r="C5817" s="30"/>
    </row>
    <row r="5818" spans="1:3" x14ac:dyDescent="0.25">
      <c r="A5818" s="31"/>
      <c r="B5818" s="30"/>
      <c r="C5818" s="30"/>
    </row>
    <row r="5819" spans="1:3" x14ac:dyDescent="0.25">
      <c r="A5819" s="31"/>
      <c r="B5819" s="30"/>
      <c r="C5819" s="30"/>
    </row>
    <row r="5820" spans="1:3" x14ac:dyDescent="0.25">
      <c r="A5820" s="31"/>
      <c r="B5820" s="30"/>
      <c r="C5820" s="30"/>
    </row>
    <row r="5821" spans="1:3" x14ac:dyDescent="0.25">
      <c r="A5821" s="31"/>
      <c r="B5821" s="30"/>
      <c r="C5821" s="30"/>
    </row>
    <row r="5822" spans="1:3" x14ac:dyDescent="0.25">
      <c r="A5822" s="31"/>
      <c r="B5822" s="30"/>
      <c r="C5822" s="30"/>
    </row>
    <row r="5823" spans="1:3" x14ac:dyDescent="0.25">
      <c r="A5823" s="31"/>
      <c r="B5823" s="30"/>
      <c r="C5823" s="30"/>
    </row>
    <row r="5824" spans="1:3" x14ac:dyDescent="0.25">
      <c r="A5824" s="31"/>
      <c r="B5824" s="30"/>
      <c r="C5824" s="30"/>
    </row>
    <row r="5825" spans="1:3" x14ac:dyDescent="0.25">
      <c r="A5825" s="31"/>
      <c r="B5825" s="30"/>
      <c r="C5825" s="30"/>
    </row>
    <row r="5826" spans="1:3" x14ac:dyDescent="0.25">
      <c r="A5826" s="31"/>
      <c r="B5826" s="30"/>
      <c r="C5826" s="30"/>
    </row>
    <row r="5827" spans="1:3" x14ac:dyDescent="0.25">
      <c r="A5827" s="31"/>
      <c r="B5827" s="30"/>
      <c r="C5827" s="30"/>
    </row>
    <row r="5828" spans="1:3" x14ac:dyDescent="0.25">
      <c r="A5828" s="31"/>
      <c r="B5828" s="30"/>
      <c r="C5828" s="30"/>
    </row>
    <row r="5829" spans="1:3" x14ac:dyDescent="0.25">
      <c r="A5829" s="31"/>
      <c r="B5829" s="30"/>
      <c r="C5829" s="30"/>
    </row>
    <row r="5830" spans="1:3" x14ac:dyDescent="0.25">
      <c r="A5830" s="31"/>
      <c r="B5830" s="30"/>
      <c r="C5830" s="30"/>
    </row>
    <row r="5831" spans="1:3" x14ac:dyDescent="0.25">
      <c r="A5831" s="31"/>
      <c r="B5831" s="30"/>
      <c r="C5831" s="30"/>
    </row>
    <row r="5832" spans="1:3" x14ac:dyDescent="0.25">
      <c r="A5832" s="31"/>
      <c r="B5832" s="30"/>
      <c r="C5832" s="30"/>
    </row>
    <row r="5833" spans="1:3" x14ac:dyDescent="0.25">
      <c r="A5833" s="31"/>
      <c r="B5833" s="30"/>
      <c r="C5833" s="30"/>
    </row>
    <row r="5834" spans="1:3" x14ac:dyDescent="0.25">
      <c r="A5834" s="31"/>
      <c r="B5834" s="30"/>
      <c r="C5834" s="30"/>
    </row>
    <row r="5835" spans="1:3" x14ac:dyDescent="0.25">
      <c r="A5835" s="31"/>
      <c r="B5835" s="30"/>
      <c r="C5835" s="30"/>
    </row>
    <row r="5836" spans="1:3" x14ac:dyDescent="0.25">
      <c r="A5836" s="31"/>
      <c r="B5836" s="30"/>
      <c r="C5836" s="30"/>
    </row>
    <row r="5837" spans="1:3" x14ac:dyDescent="0.25">
      <c r="A5837" s="31"/>
      <c r="B5837" s="30"/>
      <c r="C5837" s="30"/>
    </row>
    <row r="5838" spans="1:3" x14ac:dyDescent="0.25">
      <c r="A5838" s="31"/>
      <c r="B5838" s="30"/>
      <c r="C5838" s="30"/>
    </row>
    <row r="5839" spans="1:3" x14ac:dyDescent="0.25">
      <c r="A5839" s="31"/>
      <c r="B5839" s="30"/>
      <c r="C5839" s="30"/>
    </row>
    <row r="5840" spans="1:3" x14ac:dyDescent="0.25">
      <c r="A5840" s="31"/>
      <c r="B5840" s="30"/>
      <c r="C5840" s="30"/>
    </row>
    <row r="5841" spans="1:3" x14ac:dyDescent="0.25">
      <c r="A5841" s="31"/>
      <c r="B5841" s="30"/>
      <c r="C5841" s="30"/>
    </row>
    <row r="5842" spans="1:3" x14ac:dyDescent="0.25">
      <c r="A5842" s="31"/>
      <c r="B5842" s="30"/>
      <c r="C5842" s="30"/>
    </row>
    <row r="5843" spans="1:3" x14ac:dyDescent="0.25">
      <c r="A5843" s="31"/>
      <c r="B5843" s="30"/>
      <c r="C5843" s="30"/>
    </row>
    <row r="5844" spans="1:3" x14ac:dyDescent="0.25">
      <c r="A5844" s="31"/>
      <c r="B5844" s="30"/>
      <c r="C5844" s="30"/>
    </row>
    <row r="5845" spans="1:3" x14ac:dyDescent="0.25">
      <c r="A5845" s="31"/>
      <c r="B5845" s="30"/>
      <c r="C5845" s="30"/>
    </row>
    <row r="5846" spans="1:3" x14ac:dyDescent="0.25">
      <c r="A5846" s="31"/>
      <c r="B5846" s="30"/>
      <c r="C5846" s="30"/>
    </row>
    <row r="5847" spans="1:3" x14ac:dyDescent="0.25">
      <c r="A5847" s="31"/>
      <c r="B5847" s="30"/>
      <c r="C5847" s="30"/>
    </row>
    <row r="5848" spans="1:3" x14ac:dyDescent="0.25">
      <c r="A5848" s="31"/>
      <c r="B5848" s="30"/>
      <c r="C5848" s="30"/>
    </row>
    <row r="5849" spans="1:3" x14ac:dyDescent="0.25">
      <c r="A5849" s="31"/>
      <c r="B5849" s="30"/>
      <c r="C5849" s="30"/>
    </row>
    <row r="5850" spans="1:3" x14ac:dyDescent="0.25">
      <c r="A5850" s="31"/>
      <c r="B5850" s="30"/>
      <c r="C5850" s="30"/>
    </row>
    <row r="5851" spans="1:3" x14ac:dyDescent="0.25">
      <c r="A5851" s="31"/>
      <c r="B5851" s="30"/>
      <c r="C5851" s="30"/>
    </row>
    <row r="5852" spans="1:3" x14ac:dyDescent="0.25">
      <c r="A5852" s="31"/>
      <c r="B5852" s="30"/>
      <c r="C5852" s="30"/>
    </row>
    <row r="5853" spans="1:3" x14ac:dyDescent="0.25">
      <c r="A5853" s="31"/>
      <c r="B5853" s="30"/>
      <c r="C5853" s="30"/>
    </row>
    <row r="5854" spans="1:3" x14ac:dyDescent="0.25">
      <c r="A5854" s="31"/>
      <c r="B5854" s="30"/>
      <c r="C5854" s="30"/>
    </row>
    <row r="5855" spans="1:3" x14ac:dyDescent="0.25">
      <c r="A5855" s="31"/>
      <c r="B5855" s="30"/>
      <c r="C5855" s="30"/>
    </row>
    <row r="5856" spans="1:3" x14ac:dyDescent="0.25">
      <c r="A5856" s="31"/>
      <c r="B5856" s="30"/>
      <c r="C5856" s="30"/>
    </row>
    <row r="5857" spans="1:3" x14ac:dyDescent="0.25">
      <c r="A5857" s="31"/>
      <c r="B5857" s="30"/>
      <c r="C5857" s="30"/>
    </row>
    <row r="5858" spans="1:3" x14ac:dyDescent="0.25">
      <c r="A5858" s="31"/>
      <c r="B5858" s="30"/>
      <c r="C5858" s="30"/>
    </row>
    <row r="5859" spans="1:3" x14ac:dyDescent="0.25">
      <c r="A5859" s="31"/>
      <c r="B5859" s="30"/>
      <c r="C5859" s="30"/>
    </row>
    <row r="5860" spans="1:3" x14ac:dyDescent="0.25">
      <c r="A5860" s="31"/>
      <c r="B5860" s="30"/>
      <c r="C5860" s="30"/>
    </row>
    <row r="5861" spans="1:3" x14ac:dyDescent="0.25">
      <c r="A5861" s="31"/>
      <c r="B5861" s="30"/>
      <c r="C5861" s="30"/>
    </row>
    <row r="5862" spans="1:3" x14ac:dyDescent="0.25">
      <c r="A5862" s="31"/>
      <c r="B5862" s="30"/>
      <c r="C5862" s="30"/>
    </row>
    <row r="5863" spans="1:3" x14ac:dyDescent="0.25">
      <c r="A5863" s="31"/>
      <c r="B5863" s="30"/>
      <c r="C5863" s="30"/>
    </row>
    <row r="5864" spans="1:3" x14ac:dyDescent="0.25">
      <c r="A5864" s="31"/>
      <c r="B5864" s="30"/>
      <c r="C5864" s="30"/>
    </row>
    <row r="5865" spans="1:3" x14ac:dyDescent="0.25">
      <c r="A5865" s="31"/>
      <c r="B5865" s="30"/>
      <c r="C5865" s="30"/>
    </row>
    <row r="5866" spans="1:3" x14ac:dyDescent="0.25">
      <c r="A5866" s="31"/>
      <c r="B5866" s="30"/>
      <c r="C5866" s="30"/>
    </row>
    <row r="5867" spans="1:3" x14ac:dyDescent="0.25">
      <c r="A5867" s="31"/>
      <c r="B5867" s="30"/>
      <c r="C5867" s="30"/>
    </row>
    <row r="5868" spans="1:3" x14ac:dyDescent="0.25">
      <c r="A5868" s="31"/>
      <c r="B5868" s="30"/>
      <c r="C5868" s="30"/>
    </row>
    <row r="5869" spans="1:3" x14ac:dyDescent="0.25">
      <c r="A5869" s="31"/>
      <c r="B5869" s="30"/>
      <c r="C5869" s="30"/>
    </row>
    <row r="5870" spans="1:3" x14ac:dyDescent="0.25">
      <c r="A5870" s="31"/>
      <c r="B5870" s="30"/>
      <c r="C5870" s="30"/>
    </row>
    <row r="5871" spans="1:3" x14ac:dyDescent="0.25">
      <c r="A5871" s="31"/>
      <c r="B5871" s="30"/>
      <c r="C5871" s="30"/>
    </row>
    <row r="5872" spans="1:3" x14ac:dyDescent="0.25">
      <c r="A5872" s="31"/>
      <c r="B5872" s="30"/>
      <c r="C5872" s="30"/>
    </row>
    <row r="5873" spans="1:3" x14ac:dyDescent="0.25">
      <c r="A5873" s="31"/>
      <c r="B5873" s="30"/>
      <c r="C5873" s="30"/>
    </row>
    <row r="5874" spans="1:3" x14ac:dyDescent="0.25">
      <c r="A5874" s="31"/>
      <c r="B5874" s="30"/>
      <c r="C5874" s="30"/>
    </row>
    <row r="5875" spans="1:3" x14ac:dyDescent="0.25">
      <c r="A5875" s="31"/>
      <c r="B5875" s="30"/>
      <c r="C5875" s="30"/>
    </row>
    <row r="5876" spans="1:3" x14ac:dyDescent="0.25">
      <c r="A5876" s="31"/>
      <c r="B5876" s="30"/>
      <c r="C5876" s="30"/>
    </row>
    <row r="5877" spans="1:3" x14ac:dyDescent="0.25">
      <c r="A5877" s="31"/>
      <c r="B5877" s="30"/>
      <c r="C5877" s="30"/>
    </row>
    <row r="5878" spans="1:3" x14ac:dyDescent="0.25">
      <c r="A5878" s="31"/>
      <c r="B5878" s="30"/>
      <c r="C5878" s="30"/>
    </row>
    <row r="5879" spans="1:3" x14ac:dyDescent="0.25">
      <c r="A5879" s="31"/>
      <c r="B5879" s="30"/>
      <c r="C5879" s="30"/>
    </row>
    <row r="5880" spans="1:3" x14ac:dyDescent="0.25">
      <c r="A5880" s="31"/>
      <c r="B5880" s="30"/>
      <c r="C5880" s="30"/>
    </row>
    <row r="5881" spans="1:3" x14ac:dyDescent="0.25">
      <c r="A5881" s="31"/>
      <c r="B5881" s="30"/>
      <c r="C5881" s="30"/>
    </row>
    <row r="5882" spans="1:3" x14ac:dyDescent="0.25">
      <c r="A5882" s="31"/>
      <c r="B5882" s="30"/>
      <c r="C5882" s="30"/>
    </row>
    <row r="5883" spans="1:3" x14ac:dyDescent="0.25">
      <c r="A5883" s="31"/>
      <c r="B5883" s="30"/>
      <c r="C5883" s="30"/>
    </row>
    <row r="5884" spans="1:3" x14ac:dyDescent="0.25">
      <c r="A5884" s="31"/>
      <c r="B5884" s="30"/>
      <c r="C5884" s="30"/>
    </row>
    <row r="5885" spans="1:3" x14ac:dyDescent="0.25">
      <c r="A5885" s="31"/>
      <c r="B5885" s="30"/>
      <c r="C5885" s="30"/>
    </row>
    <row r="5886" spans="1:3" x14ac:dyDescent="0.25">
      <c r="A5886" s="31"/>
      <c r="B5886" s="30"/>
      <c r="C5886" s="30"/>
    </row>
    <row r="5887" spans="1:3" x14ac:dyDescent="0.25">
      <c r="A5887" s="31"/>
      <c r="B5887" s="30"/>
      <c r="C5887" s="30"/>
    </row>
    <row r="5888" spans="1:3" x14ac:dyDescent="0.25">
      <c r="A5888" s="31"/>
      <c r="B5888" s="30"/>
      <c r="C5888" s="30"/>
    </row>
    <row r="5889" spans="1:3" x14ac:dyDescent="0.25">
      <c r="A5889" s="31"/>
      <c r="B5889" s="30"/>
      <c r="C5889" s="30"/>
    </row>
    <row r="5890" spans="1:3" x14ac:dyDescent="0.25">
      <c r="A5890" s="31"/>
      <c r="B5890" s="30"/>
      <c r="C5890" s="30"/>
    </row>
    <row r="5891" spans="1:3" x14ac:dyDescent="0.25">
      <c r="A5891" s="31"/>
      <c r="B5891" s="30"/>
      <c r="C5891" s="30"/>
    </row>
    <row r="5892" spans="1:3" x14ac:dyDescent="0.25">
      <c r="A5892" s="31"/>
      <c r="B5892" s="30"/>
      <c r="C5892" s="30"/>
    </row>
    <row r="5893" spans="1:3" x14ac:dyDescent="0.25">
      <c r="A5893" s="31"/>
      <c r="B5893" s="30"/>
      <c r="C5893" s="30"/>
    </row>
    <row r="5894" spans="1:3" x14ac:dyDescent="0.25">
      <c r="A5894" s="31"/>
      <c r="B5894" s="30"/>
      <c r="C5894" s="30"/>
    </row>
    <row r="5895" spans="1:3" x14ac:dyDescent="0.25">
      <c r="A5895" s="31"/>
      <c r="B5895" s="30"/>
      <c r="C5895" s="30"/>
    </row>
    <row r="5896" spans="1:3" x14ac:dyDescent="0.25">
      <c r="A5896" s="31"/>
      <c r="B5896" s="30"/>
      <c r="C5896" s="30"/>
    </row>
    <row r="5897" spans="1:3" x14ac:dyDescent="0.25">
      <c r="A5897" s="31"/>
      <c r="B5897" s="30"/>
      <c r="C5897" s="30"/>
    </row>
    <row r="5898" spans="1:3" x14ac:dyDescent="0.25">
      <c r="A5898" s="31"/>
      <c r="B5898" s="30"/>
      <c r="C5898" s="30"/>
    </row>
    <row r="5899" spans="1:3" x14ac:dyDescent="0.25">
      <c r="A5899" s="31"/>
      <c r="B5899" s="30"/>
      <c r="C5899" s="30"/>
    </row>
    <row r="5900" spans="1:3" x14ac:dyDescent="0.25">
      <c r="A5900" s="31"/>
      <c r="B5900" s="30"/>
      <c r="C5900" s="30"/>
    </row>
    <row r="5901" spans="1:3" x14ac:dyDescent="0.25">
      <c r="A5901" s="31"/>
      <c r="B5901" s="30"/>
      <c r="C5901" s="30"/>
    </row>
    <row r="5902" spans="1:3" x14ac:dyDescent="0.25">
      <c r="A5902" s="31"/>
      <c r="B5902" s="30"/>
      <c r="C5902" s="30"/>
    </row>
    <row r="5903" spans="1:3" x14ac:dyDescent="0.25">
      <c r="A5903" s="31"/>
      <c r="B5903" s="30"/>
      <c r="C5903" s="30"/>
    </row>
    <row r="5904" spans="1:3" x14ac:dyDescent="0.25">
      <c r="A5904" s="31"/>
      <c r="B5904" s="30"/>
      <c r="C5904" s="30"/>
    </row>
    <row r="5905" spans="1:3" x14ac:dyDescent="0.25">
      <c r="A5905" s="31"/>
      <c r="B5905" s="30"/>
      <c r="C5905" s="30"/>
    </row>
    <row r="5906" spans="1:3" x14ac:dyDescent="0.25">
      <c r="A5906" s="31"/>
      <c r="B5906" s="30"/>
      <c r="C5906" s="30"/>
    </row>
    <row r="5907" spans="1:3" x14ac:dyDescent="0.25">
      <c r="A5907" s="31"/>
      <c r="B5907" s="30"/>
      <c r="C5907" s="30"/>
    </row>
    <row r="5908" spans="1:3" x14ac:dyDescent="0.25">
      <c r="A5908" s="31"/>
      <c r="B5908" s="30"/>
      <c r="C5908" s="30"/>
    </row>
    <row r="5909" spans="1:3" x14ac:dyDescent="0.25">
      <c r="A5909" s="31"/>
      <c r="B5909" s="30"/>
      <c r="C5909" s="30"/>
    </row>
    <row r="5910" spans="1:3" x14ac:dyDescent="0.25">
      <c r="A5910" s="31"/>
      <c r="B5910" s="30"/>
      <c r="C5910" s="30"/>
    </row>
    <row r="5911" spans="1:3" x14ac:dyDescent="0.25">
      <c r="A5911" s="31"/>
      <c r="B5911" s="30"/>
      <c r="C5911" s="30"/>
    </row>
    <row r="5912" spans="1:3" x14ac:dyDescent="0.25">
      <c r="A5912" s="31"/>
      <c r="B5912" s="30"/>
      <c r="C5912" s="30"/>
    </row>
    <row r="5913" spans="1:3" x14ac:dyDescent="0.25">
      <c r="A5913" s="31"/>
      <c r="B5913" s="30"/>
      <c r="C5913" s="30"/>
    </row>
    <row r="5914" spans="1:3" x14ac:dyDescent="0.25">
      <c r="A5914" s="31"/>
      <c r="B5914" s="30"/>
      <c r="C5914" s="30"/>
    </row>
    <row r="5915" spans="1:3" x14ac:dyDescent="0.25">
      <c r="A5915" s="31"/>
      <c r="B5915" s="30"/>
      <c r="C5915" s="30"/>
    </row>
    <row r="5916" spans="1:3" x14ac:dyDescent="0.25">
      <c r="A5916" s="31"/>
      <c r="B5916" s="30"/>
      <c r="C5916" s="30"/>
    </row>
    <row r="5917" spans="1:3" x14ac:dyDescent="0.25">
      <c r="A5917" s="31"/>
      <c r="B5917" s="30"/>
      <c r="C5917" s="30"/>
    </row>
    <row r="5918" spans="1:3" x14ac:dyDescent="0.25">
      <c r="A5918" s="31"/>
      <c r="B5918" s="30"/>
      <c r="C5918" s="30"/>
    </row>
    <row r="5919" spans="1:3" x14ac:dyDescent="0.25">
      <c r="A5919" s="31"/>
      <c r="B5919" s="30"/>
      <c r="C5919" s="30"/>
    </row>
    <row r="5920" spans="1:3" x14ac:dyDescent="0.25">
      <c r="A5920" s="31"/>
      <c r="B5920" s="30"/>
      <c r="C5920" s="30"/>
    </row>
    <row r="5921" spans="1:3" x14ac:dyDescent="0.25">
      <c r="A5921" s="31"/>
      <c r="B5921" s="30"/>
      <c r="C5921" s="30"/>
    </row>
    <row r="5922" spans="1:3" x14ac:dyDescent="0.25">
      <c r="A5922" s="31"/>
      <c r="B5922" s="30"/>
      <c r="C5922" s="30"/>
    </row>
    <row r="5923" spans="1:3" x14ac:dyDescent="0.25">
      <c r="A5923" s="31"/>
      <c r="B5923" s="30"/>
      <c r="C5923" s="30"/>
    </row>
    <row r="5924" spans="1:3" x14ac:dyDescent="0.25">
      <c r="A5924" s="31"/>
      <c r="B5924" s="30"/>
      <c r="C5924" s="30"/>
    </row>
    <row r="5925" spans="1:3" x14ac:dyDescent="0.25">
      <c r="A5925" s="31"/>
      <c r="B5925" s="30"/>
      <c r="C5925" s="30"/>
    </row>
    <row r="5926" spans="1:3" x14ac:dyDescent="0.25">
      <c r="A5926" s="31"/>
      <c r="B5926" s="30"/>
      <c r="C5926" s="30"/>
    </row>
    <row r="5927" spans="1:3" x14ac:dyDescent="0.25">
      <c r="A5927" s="31"/>
      <c r="B5927" s="30"/>
      <c r="C5927" s="30"/>
    </row>
    <row r="5928" spans="1:3" x14ac:dyDescent="0.25">
      <c r="A5928" s="31"/>
      <c r="B5928" s="30"/>
      <c r="C5928" s="30"/>
    </row>
    <row r="5929" spans="1:3" x14ac:dyDescent="0.25">
      <c r="A5929" s="31"/>
      <c r="B5929" s="30"/>
      <c r="C5929" s="30"/>
    </row>
    <row r="5930" spans="1:3" x14ac:dyDescent="0.25">
      <c r="A5930" s="31"/>
      <c r="B5930" s="30"/>
      <c r="C5930" s="30"/>
    </row>
    <row r="5931" spans="1:3" x14ac:dyDescent="0.25">
      <c r="A5931" s="31"/>
      <c r="B5931" s="30"/>
      <c r="C5931" s="30"/>
    </row>
    <row r="5932" spans="1:3" x14ac:dyDescent="0.25">
      <c r="A5932" s="31"/>
      <c r="B5932" s="30"/>
      <c r="C5932" s="30"/>
    </row>
    <row r="5933" spans="1:3" x14ac:dyDescent="0.25">
      <c r="A5933" s="31"/>
      <c r="B5933" s="30"/>
      <c r="C5933" s="30"/>
    </row>
    <row r="5934" spans="1:3" x14ac:dyDescent="0.25">
      <c r="A5934" s="31"/>
      <c r="B5934" s="30"/>
      <c r="C5934" s="30"/>
    </row>
    <row r="5935" spans="1:3" x14ac:dyDescent="0.25">
      <c r="A5935" s="31"/>
      <c r="B5935" s="30"/>
      <c r="C5935" s="30"/>
    </row>
    <row r="5936" spans="1:3" x14ac:dyDescent="0.25">
      <c r="A5936" s="31"/>
      <c r="B5936" s="30"/>
      <c r="C5936" s="30"/>
    </row>
    <row r="5937" spans="1:3" x14ac:dyDescent="0.25">
      <c r="A5937" s="31"/>
      <c r="B5937" s="30"/>
      <c r="C5937" s="30"/>
    </row>
    <row r="5938" spans="1:3" x14ac:dyDescent="0.25">
      <c r="A5938" s="31"/>
      <c r="B5938" s="30"/>
      <c r="C5938" s="30"/>
    </row>
    <row r="5939" spans="1:3" x14ac:dyDescent="0.25">
      <c r="A5939" s="31"/>
      <c r="B5939" s="30"/>
      <c r="C5939" s="30"/>
    </row>
    <row r="5940" spans="1:3" x14ac:dyDescent="0.25">
      <c r="A5940" s="31"/>
      <c r="B5940" s="30"/>
      <c r="C5940" s="30"/>
    </row>
    <row r="5941" spans="1:3" x14ac:dyDescent="0.25">
      <c r="A5941" s="31"/>
      <c r="B5941" s="30"/>
      <c r="C5941" s="30"/>
    </row>
    <row r="5942" spans="1:3" x14ac:dyDescent="0.25">
      <c r="A5942" s="31"/>
      <c r="B5942" s="30"/>
      <c r="C5942" s="30"/>
    </row>
    <row r="5943" spans="1:3" x14ac:dyDescent="0.25">
      <c r="A5943" s="31"/>
      <c r="B5943" s="30"/>
      <c r="C5943" s="30"/>
    </row>
    <row r="5944" spans="1:3" x14ac:dyDescent="0.25">
      <c r="A5944" s="31"/>
      <c r="B5944" s="30"/>
      <c r="C5944" s="30"/>
    </row>
    <row r="5945" spans="1:3" x14ac:dyDescent="0.25">
      <c r="A5945" s="31"/>
      <c r="B5945" s="30"/>
      <c r="C5945" s="30"/>
    </row>
    <row r="5946" spans="1:3" x14ac:dyDescent="0.25">
      <c r="A5946" s="31"/>
      <c r="B5946" s="30"/>
      <c r="C5946" s="30"/>
    </row>
    <row r="5947" spans="1:3" x14ac:dyDescent="0.25">
      <c r="A5947" s="31"/>
      <c r="B5947" s="30"/>
      <c r="C5947" s="30"/>
    </row>
    <row r="5948" spans="1:3" x14ac:dyDescent="0.25">
      <c r="A5948" s="31"/>
      <c r="B5948" s="30"/>
      <c r="C5948" s="30"/>
    </row>
    <row r="5949" spans="1:3" x14ac:dyDescent="0.25">
      <c r="A5949" s="31"/>
      <c r="B5949" s="30"/>
      <c r="C5949" s="30"/>
    </row>
    <row r="5950" spans="1:3" x14ac:dyDescent="0.25">
      <c r="A5950" s="31"/>
      <c r="B5950" s="30"/>
      <c r="C5950" s="30"/>
    </row>
    <row r="5951" spans="1:3" x14ac:dyDescent="0.25">
      <c r="A5951" s="31"/>
      <c r="B5951" s="30"/>
      <c r="C5951" s="30"/>
    </row>
    <row r="5952" spans="1:3" x14ac:dyDescent="0.25">
      <c r="A5952" s="31"/>
      <c r="B5952" s="30"/>
      <c r="C5952" s="30"/>
    </row>
    <row r="5953" spans="1:3" x14ac:dyDescent="0.25">
      <c r="A5953" s="31"/>
      <c r="B5953" s="30"/>
      <c r="C5953" s="30"/>
    </row>
    <row r="5954" spans="1:3" x14ac:dyDescent="0.25">
      <c r="A5954" s="31"/>
      <c r="B5954" s="30"/>
      <c r="C5954" s="30"/>
    </row>
    <row r="5955" spans="1:3" x14ac:dyDescent="0.25">
      <c r="A5955" s="31"/>
      <c r="B5955" s="30"/>
      <c r="C5955" s="30"/>
    </row>
    <row r="5956" spans="1:3" x14ac:dyDescent="0.25">
      <c r="A5956" s="31"/>
      <c r="B5956" s="30"/>
      <c r="C5956" s="30"/>
    </row>
    <row r="5957" spans="1:3" x14ac:dyDescent="0.25">
      <c r="A5957" s="31"/>
      <c r="B5957" s="30"/>
      <c r="C5957" s="30"/>
    </row>
    <row r="5958" spans="1:3" x14ac:dyDescent="0.25">
      <c r="A5958" s="31"/>
      <c r="B5958" s="30"/>
      <c r="C5958" s="30"/>
    </row>
    <row r="5959" spans="1:3" x14ac:dyDescent="0.25">
      <c r="A5959" s="31"/>
      <c r="B5959" s="30"/>
      <c r="C5959" s="30"/>
    </row>
    <row r="5960" spans="1:3" x14ac:dyDescent="0.25">
      <c r="A5960" s="31"/>
      <c r="B5960" s="30"/>
      <c r="C5960" s="30"/>
    </row>
    <row r="5961" spans="1:3" x14ac:dyDescent="0.25">
      <c r="A5961" s="31"/>
      <c r="B5961" s="30"/>
      <c r="C5961" s="30"/>
    </row>
    <row r="5962" spans="1:3" x14ac:dyDescent="0.25">
      <c r="A5962" s="31"/>
      <c r="B5962" s="30"/>
      <c r="C5962" s="30"/>
    </row>
    <row r="5963" spans="1:3" x14ac:dyDescent="0.25">
      <c r="A5963" s="31"/>
      <c r="B5963" s="30"/>
      <c r="C5963" s="30"/>
    </row>
    <row r="5964" spans="1:3" x14ac:dyDescent="0.25">
      <c r="A5964" s="31"/>
      <c r="B5964" s="30"/>
      <c r="C5964" s="30"/>
    </row>
    <row r="5965" spans="1:3" x14ac:dyDescent="0.25">
      <c r="A5965" s="31"/>
      <c r="B5965" s="30"/>
      <c r="C5965" s="30"/>
    </row>
    <row r="5966" spans="1:3" x14ac:dyDescent="0.25">
      <c r="A5966" s="31"/>
      <c r="B5966" s="30"/>
      <c r="C5966" s="30"/>
    </row>
    <row r="5967" spans="1:3" x14ac:dyDescent="0.25">
      <c r="A5967" s="31"/>
      <c r="B5967" s="30"/>
      <c r="C5967" s="30"/>
    </row>
    <row r="5968" spans="1:3" x14ac:dyDescent="0.25">
      <c r="A5968" s="31"/>
      <c r="B5968" s="30"/>
      <c r="C5968" s="30"/>
    </row>
    <row r="5969" spans="1:3" x14ac:dyDescent="0.25">
      <c r="A5969" s="31"/>
      <c r="B5969" s="30"/>
      <c r="C5969" s="30"/>
    </row>
    <row r="5970" spans="1:3" x14ac:dyDescent="0.25">
      <c r="A5970" s="31"/>
      <c r="B5970" s="30"/>
      <c r="C5970" s="30"/>
    </row>
    <row r="5971" spans="1:3" x14ac:dyDescent="0.25">
      <c r="A5971" s="31"/>
      <c r="B5971" s="30"/>
      <c r="C5971" s="30"/>
    </row>
    <row r="5972" spans="1:3" x14ac:dyDescent="0.25">
      <c r="A5972" s="31"/>
      <c r="B5972" s="30"/>
      <c r="C5972" s="30"/>
    </row>
    <row r="5973" spans="1:3" x14ac:dyDescent="0.25">
      <c r="A5973" s="31"/>
      <c r="B5973" s="30"/>
      <c r="C5973" s="30"/>
    </row>
    <row r="5974" spans="1:3" x14ac:dyDescent="0.25">
      <c r="A5974" s="31"/>
      <c r="B5974" s="30"/>
      <c r="C5974" s="30"/>
    </row>
    <row r="5975" spans="1:3" x14ac:dyDescent="0.25">
      <c r="A5975" s="31"/>
      <c r="B5975" s="30"/>
      <c r="C5975" s="30"/>
    </row>
    <row r="5976" spans="1:3" x14ac:dyDescent="0.25">
      <c r="A5976" s="31"/>
      <c r="B5976" s="30"/>
      <c r="C5976" s="30"/>
    </row>
    <row r="5977" spans="1:3" x14ac:dyDescent="0.25">
      <c r="A5977" s="31"/>
      <c r="B5977" s="30"/>
      <c r="C5977" s="30"/>
    </row>
    <row r="5978" spans="1:3" x14ac:dyDescent="0.25">
      <c r="A5978" s="31"/>
      <c r="B5978" s="30"/>
      <c r="C5978" s="30"/>
    </row>
    <row r="5979" spans="1:3" x14ac:dyDescent="0.25">
      <c r="A5979" s="31"/>
      <c r="B5979" s="30"/>
      <c r="C5979" s="30"/>
    </row>
    <row r="5980" spans="1:3" x14ac:dyDescent="0.25">
      <c r="A5980" s="31"/>
      <c r="B5980" s="30"/>
      <c r="C5980" s="30"/>
    </row>
    <row r="5981" spans="1:3" x14ac:dyDescent="0.25">
      <c r="A5981" s="31"/>
      <c r="B5981" s="30"/>
      <c r="C5981" s="30"/>
    </row>
    <row r="5982" spans="1:3" x14ac:dyDescent="0.25">
      <c r="A5982" s="31"/>
      <c r="B5982" s="30"/>
      <c r="C5982" s="30"/>
    </row>
    <row r="5983" spans="1:3" x14ac:dyDescent="0.25">
      <c r="A5983" s="31"/>
      <c r="B5983" s="30"/>
      <c r="C5983" s="30"/>
    </row>
    <row r="5984" spans="1:3" x14ac:dyDescent="0.25">
      <c r="A5984" s="31"/>
      <c r="B5984" s="30"/>
      <c r="C5984" s="30"/>
    </row>
    <row r="5985" spans="1:3" x14ac:dyDescent="0.25">
      <c r="A5985" s="31"/>
      <c r="B5985" s="30"/>
      <c r="C5985" s="30"/>
    </row>
    <row r="5986" spans="1:3" x14ac:dyDescent="0.25">
      <c r="A5986" s="31"/>
      <c r="B5986" s="30"/>
      <c r="C5986" s="30"/>
    </row>
    <row r="5987" spans="1:3" x14ac:dyDescent="0.25">
      <c r="A5987" s="31"/>
      <c r="B5987" s="30"/>
      <c r="C5987" s="30"/>
    </row>
    <row r="5988" spans="1:3" x14ac:dyDescent="0.25">
      <c r="A5988" s="31"/>
      <c r="B5988" s="30"/>
      <c r="C5988" s="30"/>
    </row>
    <row r="5989" spans="1:3" x14ac:dyDescent="0.25">
      <c r="A5989" s="31"/>
      <c r="B5989" s="30"/>
      <c r="C5989" s="30"/>
    </row>
    <row r="5990" spans="1:3" x14ac:dyDescent="0.25">
      <c r="A5990" s="31"/>
      <c r="B5990" s="30"/>
      <c r="C5990" s="30"/>
    </row>
    <row r="5991" spans="1:3" x14ac:dyDescent="0.25">
      <c r="A5991" s="31"/>
      <c r="B5991" s="30"/>
      <c r="C5991" s="30"/>
    </row>
    <row r="5992" spans="1:3" x14ac:dyDescent="0.25">
      <c r="A5992" s="31"/>
      <c r="B5992" s="30"/>
      <c r="C5992" s="30"/>
    </row>
    <row r="5993" spans="1:3" x14ac:dyDescent="0.25">
      <c r="A5993" s="31"/>
      <c r="B5993" s="30"/>
      <c r="C5993" s="30"/>
    </row>
    <row r="5994" spans="1:3" x14ac:dyDescent="0.25">
      <c r="A5994" s="31"/>
      <c r="B5994" s="30"/>
      <c r="C5994" s="30"/>
    </row>
    <row r="5995" spans="1:3" x14ac:dyDescent="0.25">
      <c r="A5995" s="31"/>
      <c r="B5995" s="30"/>
      <c r="C5995" s="30"/>
    </row>
    <row r="5996" spans="1:3" x14ac:dyDescent="0.25">
      <c r="A5996" s="31"/>
      <c r="B5996" s="30"/>
      <c r="C5996" s="30"/>
    </row>
    <row r="5997" spans="1:3" x14ac:dyDescent="0.25">
      <c r="A5997" s="31"/>
      <c r="B5997" s="30"/>
      <c r="C5997" s="30"/>
    </row>
    <row r="5998" spans="1:3" x14ac:dyDescent="0.25">
      <c r="A5998" s="31"/>
      <c r="B5998" s="30"/>
      <c r="C5998" s="30"/>
    </row>
    <row r="5999" spans="1:3" x14ac:dyDescent="0.25">
      <c r="A5999" s="31"/>
      <c r="B5999" s="30"/>
      <c r="C5999" s="30"/>
    </row>
    <row r="6000" spans="1:3" x14ac:dyDescent="0.25">
      <c r="A6000" s="31"/>
      <c r="B6000" s="30"/>
      <c r="C6000" s="30"/>
    </row>
    <row r="6001" spans="1:3" x14ac:dyDescent="0.25">
      <c r="A6001" s="31"/>
      <c r="B6001" s="30"/>
      <c r="C6001" s="30"/>
    </row>
    <row r="6002" spans="1:3" x14ac:dyDescent="0.25">
      <c r="A6002" s="31"/>
      <c r="B6002" s="30"/>
      <c r="C6002" s="30"/>
    </row>
    <row r="6003" spans="1:3" x14ac:dyDescent="0.25">
      <c r="A6003" s="31"/>
      <c r="B6003" s="30"/>
      <c r="C6003" s="30"/>
    </row>
    <row r="6004" spans="1:3" x14ac:dyDescent="0.25">
      <c r="A6004" s="31"/>
      <c r="B6004" s="30"/>
      <c r="C6004" s="30"/>
    </row>
    <row r="6005" spans="1:3" x14ac:dyDescent="0.25">
      <c r="A6005" s="31"/>
      <c r="B6005" s="30"/>
      <c r="C6005" s="30"/>
    </row>
    <row r="6006" spans="1:3" x14ac:dyDescent="0.25">
      <c r="A6006" s="31"/>
      <c r="B6006" s="30"/>
      <c r="C6006" s="30"/>
    </row>
    <row r="6007" spans="1:3" x14ac:dyDescent="0.25">
      <c r="A6007" s="31"/>
      <c r="B6007" s="30"/>
      <c r="C6007" s="30"/>
    </row>
    <row r="6008" spans="1:3" x14ac:dyDescent="0.25">
      <c r="A6008" s="31"/>
      <c r="B6008" s="30"/>
      <c r="C6008" s="30"/>
    </row>
    <row r="6009" spans="1:3" x14ac:dyDescent="0.25">
      <c r="A6009" s="31"/>
      <c r="B6009" s="30"/>
      <c r="C6009" s="30"/>
    </row>
    <row r="6010" spans="1:3" x14ac:dyDescent="0.25">
      <c r="A6010" s="31"/>
      <c r="B6010" s="30"/>
      <c r="C6010" s="30"/>
    </row>
    <row r="6011" spans="1:3" x14ac:dyDescent="0.25">
      <c r="A6011" s="31"/>
      <c r="B6011" s="30"/>
      <c r="C6011" s="30"/>
    </row>
    <row r="6012" spans="1:3" x14ac:dyDescent="0.25">
      <c r="A6012" s="31"/>
      <c r="B6012" s="30"/>
      <c r="C6012" s="30"/>
    </row>
    <row r="6013" spans="1:3" x14ac:dyDescent="0.25">
      <c r="A6013" s="31"/>
      <c r="B6013" s="30"/>
      <c r="C6013" s="30"/>
    </row>
    <row r="6014" spans="1:3" x14ac:dyDescent="0.25">
      <c r="A6014" s="31"/>
      <c r="B6014" s="30"/>
      <c r="C6014" s="30"/>
    </row>
    <row r="6015" spans="1:3" x14ac:dyDescent="0.25">
      <c r="A6015" s="31"/>
      <c r="B6015" s="30"/>
      <c r="C6015" s="30"/>
    </row>
    <row r="6016" spans="1:3" x14ac:dyDescent="0.25">
      <c r="A6016" s="31"/>
      <c r="B6016" s="30"/>
      <c r="C6016" s="30"/>
    </row>
    <row r="6017" spans="1:3" x14ac:dyDescent="0.25">
      <c r="A6017" s="31"/>
      <c r="B6017" s="30"/>
      <c r="C6017" s="30"/>
    </row>
    <row r="6018" spans="1:3" x14ac:dyDescent="0.25">
      <c r="A6018" s="31"/>
      <c r="B6018" s="30"/>
      <c r="C6018" s="30"/>
    </row>
    <row r="6019" spans="1:3" x14ac:dyDescent="0.25">
      <c r="A6019" s="31"/>
      <c r="B6019" s="30"/>
      <c r="C6019" s="30"/>
    </row>
  </sheetData>
  <sheetProtection autoFilter="0"/>
  <autoFilter ref="A1:C523" xr:uid="{00000000-0001-0000-0000-000000000000}"/>
  <conditionalFormatting sqref="A1:A1048576">
    <cfRule type="duplicateValues" dxfId="10" priority="4"/>
  </conditionalFormatting>
  <conditionalFormatting sqref="BZ1">
    <cfRule type="duplicateValues" dxfId="9" priority="3"/>
  </conditionalFormatting>
  <conditionalFormatting sqref="BW1:BX1">
    <cfRule type="duplicateValues" dxfId="8" priority="2"/>
  </conditionalFormatting>
  <conditionalFormatting sqref="B2:B2000">
    <cfRule type="uniqueValues" dxfId="7" priority="1"/>
  </conditionalFormatting>
  <dataValidations disablePrompts="1" count="1">
    <dataValidation type="list" allowBlank="1" showInputMessage="1" showErrorMessage="1" sqref="C2:C2000" xr:uid="{EAB89358-D07C-40C4-BB4A-7BC2BEA820CD}">
      <formula1>$BW$2:$BW$3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heckit">
          <controlPr defaultSize="0" autoFill="0" autoLine="0" r:id="rId4">
            <anchor moveWithCells="1">
              <from>
                <xdr:col>19</xdr:col>
                <xdr:colOff>0</xdr:colOff>
                <xdr:row>550</xdr:row>
                <xdr:rowOff>0</xdr:rowOff>
              </from>
              <to>
                <xdr:col>21</xdr:col>
                <xdr:colOff>295275</xdr:colOff>
                <xdr:row>552</xdr:row>
                <xdr:rowOff>180975</xdr:rowOff>
              </to>
            </anchor>
          </controlPr>
        </control>
      </mc:Choice>
      <mc:Fallback>
        <control shapeId="5121" r:id="rId3" name="check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E0E35-59EB-46DA-90B6-DCB58EC35B33}">
  <sheetPr codeName="Sheet6">
    <tabColor rgb="FF0070C0"/>
  </sheetPr>
  <dimension ref="B1:CA513"/>
  <sheetViews>
    <sheetView showGridLines="0" tabSelected="1" zoomScale="115" zoomScaleNormal="115" workbookViewId="0">
      <pane xSplit="4" ySplit="2" topLeftCell="E4" activePane="bottomRight" state="frozen"/>
      <selection pane="topRight" activeCell="E1" sqref="E1"/>
      <selection pane="bottomLeft" activeCell="A2" sqref="A2"/>
      <selection pane="bottomRight" activeCell="G4" sqref="G4"/>
    </sheetView>
  </sheetViews>
  <sheetFormatPr defaultColWidth="9.140625" defaultRowHeight="15" x14ac:dyDescent="0.25"/>
  <cols>
    <col min="1" max="1" width="3.85546875" style="19" customWidth="1"/>
    <col min="2" max="2" width="8.7109375" style="41" bestFit="1" customWidth="1"/>
    <col min="3" max="3" width="12.140625" style="41" bestFit="1" customWidth="1"/>
    <col min="4" max="4" width="47.85546875" style="41" bestFit="1" customWidth="1"/>
    <col min="5" max="75" width="14" style="41" customWidth="1"/>
    <col min="76" max="143" width="17.140625" style="19" customWidth="1"/>
    <col min="144" max="16384" width="9.140625" style="19"/>
  </cols>
  <sheetData>
    <row r="1" spans="2:79" ht="16.5" thickBot="1" x14ac:dyDescent="0.3">
      <c r="E1" s="81" t="s">
        <v>515</v>
      </c>
      <c r="F1" s="82"/>
      <c r="I1" s="83" t="s">
        <v>394</v>
      </c>
      <c r="J1" s="84"/>
      <c r="K1" s="84"/>
      <c r="L1" s="84"/>
      <c r="M1" s="84"/>
      <c r="N1" s="85"/>
      <c r="R1" s="86" t="s">
        <v>393</v>
      </c>
      <c r="S1" s="87"/>
      <c r="T1" s="87"/>
      <c r="U1" s="87"/>
      <c r="V1" s="87"/>
      <c r="W1" s="87"/>
      <c r="X1" s="88"/>
      <c r="Y1" s="89" t="s">
        <v>645</v>
      </c>
      <c r="Z1" s="90"/>
      <c r="AA1" s="90"/>
      <c r="AB1" s="90"/>
      <c r="AC1" s="90"/>
      <c r="AD1" s="91"/>
    </row>
    <row r="2" spans="2:79" ht="45" x14ac:dyDescent="0.25">
      <c r="B2" s="42" t="s">
        <v>0</v>
      </c>
      <c r="C2" s="42" t="s">
        <v>1</v>
      </c>
      <c r="D2" s="43" t="s">
        <v>2</v>
      </c>
      <c r="E2" s="48" t="s">
        <v>212</v>
      </c>
      <c r="F2" s="48" t="s">
        <v>431</v>
      </c>
      <c r="G2" s="46" t="s">
        <v>396</v>
      </c>
      <c r="H2" s="46" t="s">
        <v>394</v>
      </c>
      <c r="I2" s="50" t="s">
        <v>397</v>
      </c>
      <c r="J2" s="50" t="s">
        <v>398</v>
      </c>
      <c r="K2" s="50" t="s">
        <v>399</v>
      </c>
      <c r="L2" s="49" t="s">
        <v>400</v>
      </c>
      <c r="M2" s="50" t="s">
        <v>401</v>
      </c>
      <c r="N2" s="49" t="s">
        <v>402</v>
      </c>
      <c r="O2" s="47" t="s">
        <v>626</v>
      </c>
      <c r="P2" s="47" t="s">
        <v>395</v>
      </c>
      <c r="Q2" s="46" t="s">
        <v>393</v>
      </c>
      <c r="R2" s="49" t="s">
        <v>424</v>
      </c>
      <c r="S2" s="49" t="s">
        <v>425</v>
      </c>
      <c r="T2" s="49" t="s">
        <v>426</v>
      </c>
      <c r="U2" s="49" t="s">
        <v>427</v>
      </c>
      <c r="V2" s="49" t="s">
        <v>428</v>
      </c>
      <c r="W2" s="49" t="s">
        <v>429</v>
      </c>
      <c r="X2" s="49" t="s">
        <v>430</v>
      </c>
      <c r="Y2" s="49" t="s">
        <v>370</v>
      </c>
      <c r="Z2" s="50" t="s">
        <v>381</v>
      </c>
      <c r="AA2" s="49" t="s">
        <v>360</v>
      </c>
      <c r="AB2" s="49" t="s">
        <v>379</v>
      </c>
      <c r="AC2" s="49" t="s">
        <v>366</v>
      </c>
      <c r="AD2" s="49" t="s">
        <v>376</v>
      </c>
      <c r="AE2" s="47" t="s">
        <v>386</v>
      </c>
      <c r="AF2" s="47" t="s">
        <v>628</v>
      </c>
      <c r="AG2" s="47" t="s">
        <v>513</v>
      </c>
      <c r="AH2" s="44" t="s">
        <v>670</v>
      </c>
      <c r="AI2" s="44" t="s">
        <v>693</v>
      </c>
      <c r="AJ2" s="44" t="s">
        <v>671</v>
      </c>
      <c r="AK2" s="55" t="s">
        <v>665</v>
      </c>
      <c r="AL2" s="47" t="s">
        <v>759</v>
      </c>
      <c r="AM2" s="47" t="s">
        <v>666</v>
      </c>
      <c r="AN2" s="47" t="s">
        <v>654</v>
      </c>
      <c r="AO2" s="55" t="s">
        <v>667</v>
      </c>
      <c r="AP2" s="47" t="s">
        <v>668</v>
      </c>
      <c r="AQ2" s="47" t="s">
        <v>695</v>
      </c>
      <c r="AR2" s="47" t="s">
        <v>669</v>
      </c>
      <c r="AS2" s="47" t="s">
        <v>678</v>
      </c>
      <c r="AT2" s="44" t="s">
        <v>679</v>
      </c>
      <c r="AU2" s="47" t="s">
        <v>694</v>
      </c>
      <c r="AV2" s="47" t="s">
        <v>731</v>
      </c>
      <c r="AW2" s="55"/>
      <c r="AX2" s="55"/>
      <c r="AY2" s="47"/>
      <c r="AZ2" s="47"/>
      <c r="BA2" s="47"/>
      <c r="BB2" s="47"/>
      <c r="BC2" s="55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</row>
    <row r="3" spans="2:79" ht="15.75" hidden="1" x14ac:dyDescent="0.25">
      <c r="B3" s="39" t="str" cm="1">
        <f t="array" aca="1" ref="B3:D113" ca="1">OFFSET('TALLY BOX DUMP'!$A$1,1,0,COUNTA('TALLY KG DUMP'!A:A)-1,3)</f>
        <v/>
      </c>
      <c r="C3" s="39" t="str">
        <f ca="1"/>
        <v/>
      </c>
      <c r="D3" s="40" t="str">
        <f ca="1"/>
        <v/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</row>
    <row r="4" spans="2:79" x14ac:dyDescent="0.25">
      <c r="B4" s="21" t="str">
        <f ca="1"/>
        <v>1</v>
      </c>
      <c r="C4" s="21" t="str">
        <f ca="1"/>
        <v>SUN04702</v>
      </c>
      <c r="D4" s="21" t="str">
        <f ca="1"/>
        <v>CHENGAM - A B AGENCIES</v>
      </c>
      <c r="E4" s="21">
        <f ca="1">IF($D4="","",(SUMIF('TALLY KG DUMP'!$2:$2,"Qty",'TALLY KG DUMP'!3:3)/1000)-(SUMIF('TALLY KG DUMP'!$1:$1,"GL",'TALLY KG DUMP'!3:3)/1000))</f>
        <v>0</v>
      </c>
      <c r="F4" s="21">
        <f ca="1">IF($D4="","",(SUMIF('TALLY KG DUMP'!$1:$1,'ACH CALC'!F$2,'TALLY KG DUMP'!3:3)/1000))</f>
        <v>0</v>
      </c>
      <c r="G4" s="21">
        <f ca="1">IF($D4="","",SUMIF('TALLY BOX DUMP'!$1:$1,'ACH CALC'!G$2,'TALLY BOX DUMP'!3:3)+Y4)</f>
        <v>0</v>
      </c>
      <c r="H4" s="21">
        <f ca="1">IF($D4="","",SUM(I4:N4))</f>
        <v>0</v>
      </c>
      <c r="I4" s="21">
        <f ca="1">IF($D4="","",SUMIF('TALLY BOX DUMP'!$1:$1,'ACH CALC'!I$2,'TALLY BOX DUMP'!3:3)+AA4)</f>
        <v>0</v>
      </c>
      <c r="J4" s="21">
        <f ca="1">IF($D4="","",SUMIF('TALLY BOX DUMP'!$1:$1,'ACH CALC'!J$2,'TALLY BOX DUMP'!3:3)+AB4)</f>
        <v>0</v>
      </c>
      <c r="K4" s="21">
        <f ca="1">IF($D4="","",SUMIF('TALLY BOX DUMP'!$1:$1,'ACH CALC'!K$2,'TALLY BOX DUMP'!3:3)+AC4)</f>
        <v>0</v>
      </c>
      <c r="L4" s="21">
        <f ca="1">IF($D4="","",SUMIF('TALLY BOX DUMP'!$1:$1,'ACH CALC'!L$2,'TALLY BOX DUMP'!3:3))</f>
        <v>0</v>
      </c>
      <c r="M4" s="21">
        <f ca="1">IF($D4="","",SUMIF('TALLY BOX DUMP'!$1:$1,'ACH CALC'!M$2,'TALLY BOX DUMP'!3:3)+AD4)</f>
        <v>0</v>
      </c>
      <c r="N4" s="21">
        <f ca="1">IF($D4="","",SUMIF('TALLY BOX DUMP'!$1:$1,'ACH CALC'!N$2,'TALLY BOX DUMP'!3:3))</f>
        <v>0</v>
      </c>
      <c r="O4" s="21">
        <f ca="1">IF($D4="","",SUMIF('TALLY BOX DUMP'!$1:$1,'ACH CALC'!O$2,'TALLY BOX DUMP'!3:3))</f>
        <v>0</v>
      </c>
      <c r="P4" s="21">
        <f ca="1">IF($D4="","",SUMIF('TALLY BOX DUMP'!$1:$1,'ACH CALC'!P$2,'TALLY BOX DUMP'!3:3))</f>
        <v>0</v>
      </c>
      <c r="Q4" s="21">
        <f ca="1">IF($D4="","",SUM(R4:X4))</f>
        <v>0</v>
      </c>
      <c r="R4" s="21">
        <f ca="1">IF($D4="","",SUMIF('TALLY BOX DUMP'!$1:$1,'ACH CALC'!R$2,'TALLY BOX DUMP'!3:3))</f>
        <v>0</v>
      </c>
      <c r="S4" s="21">
        <f ca="1">IF($D4="","",SUMIF('TALLY BOX DUMP'!$1:$1,'ACH CALC'!S$2,'TALLY BOX DUMP'!3:3))</f>
        <v>0</v>
      </c>
      <c r="T4" s="21">
        <f ca="1">IF($D4="","",SUMIF('TALLY BOX DUMP'!$1:$1,'ACH CALC'!T$2,'TALLY BOX DUMP'!3:3))</f>
        <v>0</v>
      </c>
      <c r="U4" s="21">
        <f ca="1">IF($D4="","",SUMIF('TALLY BOX DUMP'!$1:$1,'ACH CALC'!U$2,'TALLY BOX DUMP'!3:3))</f>
        <v>0</v>
      </c>
      <c r="V4" s="21">
        <f ca="1">IF($D4="","",SUMIF('TALLY BOX DUMP'!$1:$1,'ACH CALC'!V$2,'TALLY BOX DUMP'!3:3))</f>
        <v>0</v>
      </c>
      <c r="W4" s="21">
        <f ca="1">IF($D4="","",SUMIF('TALLY BOX DUMP'!$1:$1,'ACH CALC'!W$2,'TALLY BOX DUMP'!3:3))</f>
        <v>0</v>
      </c>
      <c r="X4" s="21">
        <f ca="1">IF($D4="","",SUMIF('TALLY BOX DUMP'!$1:$1,'ACH CALC'!X$2,'TALLY BOX DUMP'!3:3))</f>
        <v>0</v>
      </c>
      <c r="Y4" s="21">
        <f ca="1">IF($D4="","",SUMIF('TALLY BOX DUMP'!$1:$1,'ACH CALC'!Y$2,'TALLY BOX DUMP'!3:3))</f>
        <v>0</v>
      </c>
      <c r="Z4" s="21">
        <f ca="1">IF($D4="","",SUMIF('TALLY BOX DUMP'!$1:$1,'ACH CALC'!Z$2,'TALLY BOX DUMP'!3:3)+AE4)</f>
        <v>0</v>
      </c>
      <c r="AA4" s="21">
        <f ca="1">IF($D4="","",SUMIF('TALLY BOX DUMP'!$1:$1,'ACH CALC'!AA$2,'TALLY BOX DUMP'!3:3))</f>
        <v>0</v>
      </c>
      <c r="AB4" s="21">
        <f ca="1">IF($D4="","",SUMIF('TALLY BOX DUMP'!$1:$1,'ACH CALC'!AB$2,'TALLY BOX DUMP'!3:3))</f>
        <v>0</v>
      </c>
      <c r="AC4" s="21">
        <f ca="1">IF($D4="","",SUMIF('TALLY BOX DUMP'!$1:$1,'ACH CALC'!AC$2,'TALLY BOX DUMP'!3:3))</f>
        <v>0</v>
      </c>
      <c r="AD4" s="21">
        <f ca="1">IF($D4="","",SUMIF('TALLY BOX DUMP'!$1:$1,'ACH CALC'!AD$2,'TALLY BOX DUMP'!3:3))</f>
        <v>0</v>
      </c>
      <c r="AE4" s="21">
        <f ca="1">IF($D4="","",SUMIF('TALLY BOX DUMP'!$1:$1,'ACH CALC'!AE$2,'TALLY BOX DUMP'!3:3))</f>
        <v>0</v>
      </c>
      <c r="AF4" s="21">
        <f ca="1">IF($D4="","",SUMIF('TALLY BOX DUMP'!$1:$1,'ACH CALC'!AF$2,'TALLY BOX DUMP'!3:3))</f>
        <v>0</v>
      </c>
      <c r="AG4" s="21">
        <f ca="1">IF($D4="","",SUMIF('TALLY BOX DUMP'!$1:$1,'ACH CALC'!AG$2,'TALLY BOX DUMP'!3:3))</f>
        <v>0</v>
      </c>
      <c r="AH4" s="21">
        <f ca="1">IF($D4="","",SUMIF('TALLY BOX DUMP'!$1:$1,'ACH CALC'!AH$2,'TALLY BOX DUMP'!3:3))</f>
        <v>0</v>
      </c>
      <c r="AI4" s="21">
        <f ca="1">IF($D4="","",SUMIF('TALLY BOX DUMP'!$1:$1,'ACH CALC'!AI$2,'TALLY BOX DUMP'!3:3))</f>
        <v>0</v>
      </c>
      <c r="AJ4" s="21">
        <f ca="1">IF($D4="","",SUMIF('TALLY BOX DUMP'!$1:$1,'ACH CALC'!AJ$2,'TALLY BOX DUMP'!3:3))</f>
        <v>0</v>
      </c>
      <c r="AK4" s="21">
        <f ca="1">IF($D4="","",SUMIF('TALLY BOX DUMP'!$1:$1,'ACH CALC'!AK$2,'TALLY BOX DUMP'!3:3))</f>
        <v>0</v>
      </c>
      <c r="AL4" s="21">
        <f ca="1">IF($D4="","",ROUND(SUMIF('TALLY KG DUMP'!$1:$1,'ACH CALC'!AL$2,'TALLY KG DUMP'!3:3)/30,1))</f>
        <v>0</v>
      </c>
      <c r="AM4" s="21">
        <f ca="1">IF($D4="","",SUMIF('TALLY BOX DUMP'!$1:$1,'ACH CALC'!AM$2,'TALLY BOX DUMP'!3:3))</f>
        <v>0</v>
      </c>
      <c r="AN4" s="21">
        <f ca="1">IF($D4="","",SUMIF('TALLY BOX DUMP'!$1:$1,'ACH CALC'!AN$2,'TALLY BOX DUMP'!3:3))</f>
        <v>0</v>
      </c>
      <c r="AO4" s="21">
        <f ca="1">IF($D4="","",SUMIF('TALLY BOX DUMP'!$1:$1,'ACH CALC'!AO$2,'TALLY BOX DUMP'!3:3))</f>
        <v>0</v>
      </c>
      <c r="AP4" s="21">
        <f ca="1">IF($D4="","",SUMIF('TALLY BOX DUMP'!$1:$1,'ACH CALC'!AP$2,'TALLY BOX DUMP'!3:3))</f>
        <v>0</v>
      </c>
      <c r="AQ4" s="21">
        <f ca="1">IF($D4="","",ROUND(SUMIF('TALLY KG DUMP'!$1:$1,'ACH CALC'!AQ$2,'TALLY KG DUMP'!3:3)/30,1))</f>
        <v>0</v>
      </c>
      <c r="AR4" s="21">
        <f ca="1">IF($D4="","",SUMIF('TALLY BOX DUMP'!$1:$1,'ACH CALC'!AR$2,'TALLY BOX DUMP'!3:3))</f>
        <v>0</v>
      </c>
      <c r="AS4" s="21">
        <f ca="1">IF($D4="","",SUMIF('TALLY BOX DUMP'!$1:$1,'ACH CALC'!AS$2,'TALLY BOX DUMP'!3:3))</f>
        <v>0</v>
      </c>
      <c r="AT4" s="21">
        <f ca="1">IF($D4="","",SUMIF('TALLY BOX DUMP'!$1:$1,'ACH CALC'!AT$2,'TALLY BOX DUMP'!3:3))</f>
        <v>0</v>
      </c>
      <c r="AU4" s="21">
        <f ca="1">IF($D4="","",SUMIF('TALLY BOX DUMP'!$1:$1,'ACH CALC'!AU$2,'TALLY BOX DUMP'!3:3))</f>
        <v>0</v>
      </c>
      <c r="AV4" s="21">
        <f ca="1">IF($D4="","",SUMIF('TALLY BOX DUMP'!$1:$1,'ACH CALC'!AV$2,'TALLY BOX DUMP'!3:3))</f>
        <v>0</v>
      </c>
      <c r="AW4" s="21">
        <f ca="1">IF($D4="","",SUMIF('TALLY BOX DUMP'!$1:$1,'ACH CALC'!AW$2,'TALLY BOX DUMP'!3:3))</f>
        <v>0</v>
      </c>
      <c r="AX4" s="21">
        <f ca="1">IF($D4="","",SUMIF('TALLY BOX DUMP'!$1:$1,'ACH CALC'!AX$2,'TALLY BOX DUMP'!3:3))</f>
        <v>0</v>
      </c>
      <c r="AY4" s="21">
        <f ca="1">IF($D4="","",SUMIF('TALLY BOX DUMP'!$1:$1,'ACH CALC'!AY$2,'TALLY BOX DUMP'!3:3))</f>
        <v>0</v>
      </c>
      <c r="AZ4" s="21">
        <f ca="1">IF($D4="","",SUMIF('TALLY BOX DUMP'!$1:$1,'ACH CALC'!AZ$2,'TALLY BOX DUMP'!3:3))</f>
        <v>0</v>
      </c>
      <c r="BA4" s="69">
        <f>(SUMIF('TALLY KG DUMP'!$2:$2,"Qty",'TALLY KG DUMP'!3:3)/1000)-(SUMIF('TALLY KG DUMP'!$1:$1,"GL",'TALLY KG DUMP'!3:3)/1000)</f>
        <v>0</v>
      </c>
      <c r="BB4" s="21" t="b">
        <f ca="1">BA4=E4</f>
        <v>1</v>
      </c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CA4" s="19">
        <v>1</v>
      </c>
    </row>
    <row r="5" spans="2:79" x14ac:dyDescent="0.25">
      <c r="B5" s="21" t="str">
        <f ca="1"/>
        <v>2</v>
      </c>
      <c r="C5" s="21" t="str">
        <f ca="1"/>
        <v>SUN04712</v>
      </c>
      <c r="D5" s="21" t="str">
        <f ca="1"/>
        <v>TIRUVANNAMALAI- G.K.M.TRADERS</v>
      </c>
      <c r="E5" s="21">
        <f ca="1">IF($D5="","",(SUMIF('TALLY KG DUMP'!$2:$2,"Qty",'TALLY KG DUMP'!4:4)/1000)-(SUMIF('TALLY KG DUMP'!$1:$1,"GL",'TALLY KG DUMP'!4:4)/1000))</f>
        <v>2.0459999999999998</v>
      </c>
      <c r="F5" s="21">
        <f ca="1">IF($D5="","",(SUMIF('TALLY KG DUMP'!$1:$1,'ACH CALC'!F$2,'TALLY KG DUMP'!4:4)/1000))</f>
        <v>0</v>
      </c>
      <c r="G5" s="21">
        <f ca="1">IF($D5="","",SUMIF('TALLY BOX DUMP'!$1:$1,'ACH CALC'!G$2,'TALLY BOX DUMP'!4:4)+Y5)</f>
        <v>0</v>
      </c>
      <c r="H5" s="21">
        <f t="shared" ref="H5:H68" ca="1" si="0">IF($D5="","",SUM(I5:N5))</f>
        <v>0</v>
      </c>
      <c r="I5" s="21">
        <f ca="1">IF($D5="","",SUMIF('TALLY BOX DUMP'!$1:$1,'ACH CALC'!I$2,'TALLY BOX DUMP'!4:4)+AA5)</f>
        <v>0</v>
      </c>
      <c r="J5" s="21">
        <f ca="1">IF($D5="","",SUMIF('TALLY BOX DUMP'!$1:$1,'ACH CALC'!J$2,'TALLY BOX DUMP'!4:4)+AB5)</f>
        <v>0</v>
      </c>
      <c r="K5" s="21">
        <f ca="1">IF($D5="","",SUMIF('TALLY BOX DUMP'!$1:$1,'ACH CALC'!K$2,'TALLY BOX DUMP'!4:4)+AC5)</f>
        <v>0</v>
      </c>
      <c r="L5" s="21">
        <f ca="1">IF($D5="","",SUMIF('TALLY BOX DUMP'!$1:$1,'ACH CALC'!L$2,'TALLY BOX DUMP'!4:4))</f>
        <v>0</v>
      </c>
      <c r="M5" s="21">
        <f ca="1">IF($D5="","",SUMIF('TALLY BOX DUMP'!$1:$1,'ACH CALC'!M$2,'TALLY BOX DUMP'!4:4)+AD5)</f>
        <v>0</v>
      </c>
      <c r="N5" s="21">
        <f ca="1">IF($D5="","",SUMIF('TALLY BOX DUMP'!$1:$1,'ACH CALC'!N$2,'TALLY BOX DUMP'!4:4))</f>
        <v>0</v>
      </c>
      <c r="O5" s="21">
        <f ca="1">IF($D5="","",SUMIF('TALLY BOX DUMP'!$1:$1,'ACH CALC'!O$2,'TALLY BOX DUMP'!4:4))</f>
        <v>0</v>
      </c>
      <c r="P5" s="21">
        <f ca="1">IF($D5="","",SUMIF('TALLY BOX DUMP'!$1:$1,'ACH CALC'!P$2,'TALLY BOX DUMP'!4:4))</f>
        <v>0</v>
      </c>
      <c r="Q5" s="21">
        <f t="shared" ref="Q5:Q68" ca="1" si="1">IF($D5="","",SUM(R5:X5))</f>
        <v>0</v>
      </c>
      <c r="R5" s="21">
        <f ca="1">IF($D5="","",SUMIF('TALLY BOX DUMP'!$1:$1,'ACH CALC'!R$2,'TALLY BOX DUMP'!4:4))</f>
        <v>0</v>
      </c>
      <c r="S5" s="21">
        <f ca="1">IF($D5="","",SUMIF('TALLY BOX DUMP'!$1:$1,'ACH CALC'!S$2,'TALLY BOX DUMP'!4:4))</f>
        <v>0</v>
      </c>
      <c r="T5" s="21">
        <f ca="1">IF($D5="","",SUMIF('TALLY BOX DUMP'!$1:$1,'ACH CALC'!T$2,'TALLY BOX DUMP'!4:4))</f>
        <v>0</v>
      </c>
      <c r="U5" s="21">
        <f ca="1">IF($D5="","",SUMIF('TALLY BOX DUMP'!$1:$1,'ACH CALC'!U$2,'TALLY BOX DUMP'!4:4))</f>
        <v>0</v>
      </c>
      <c r="V5" s="21">
        <f ca="1">IF($D5="","",SUMIF('TALLY BOX DUMP'!$1:$1,'ACH CALC'!V$2,'TALLY BOX DUMP'!4:4))</f>
        <v>0</v>
      </c>
      <c r="W5" s="21">
        <f ca="1">IF($D5="","",SUMIF('TALLY BOX DUMP'!$1:$1,'ACH CALC'!W$2,'TALLY BOX DUMP'!4:4))</f>
        <v>0</v>
      </c>
      <c r="X5" s="21">
        <f ca="1">IF($D5="","",SUMIF('TALLY BOX DUMP'!$1:$1,'ACH CALC'!X$2,'TALLY BOX DUMP'!4:4))</f>
        <v>0</v>
      </c>
      <c r="Y5" s="21">
        <f ca="1">IF($D5="","",SUMIF('TALLY BOX DUMP'!$1:$1,'ACH CALC'!Y$2,'TALLY BOX DUMP'!4:4))</f>
        <v>0</v>
      </c>
      <c r="Z5" s="21">
        <f ca="1">IF($D5="","",SUMIF('TALLY BOX DUMP'!$1:$1,'ACH CALC'!Z$2,'TALLY BOX DUMP'!4:4)+AE5)</f>
        <v>0</v>
      </c>
      <c r="AA5" s="21">
        <f ca="1">IF($D5="","",SUMIF('TALLY BOX DUMP'!$1:$1,'ACH CALC'!AA$2,'TALLY BOX DUMP'!4:4))</f>
        <v>0</v>
      </c>
      <c r="AB5" s="21">
        <f ca="1">IF($D5="","",SUMIF('TALLY BOX DUMP'!$1:$1,'ACH CALC'!AB$2,'TALLY BOX DUMP'!4:4))</f>
        <v>0</v>
      </c>
      <c r="AC5" s="21">
        <f ca="1">IF($D5="","",SUMIF('TALLY BOX DUMP'!$1:$1,'ACH CALC'!AC$2,'TALLY BOX DUMP'!4:4))</f>
        <v>0</v>
      </c>
      <c r="AD5" s="21">
        <f ca="1">IF($D5="","",SUMIF('TALLY BOX DUMP'!$1:$1,'ACH CALC'!AD$2,'TALLY BOX DUMP'!4:4))</f>
        <v>0</v>
      </c>
      <c r="AE5" s="21">
        <f ca="1">IF($D5="","",SUMIF('TALLY BOX DUMP'!$1:$1,'ACH CALC'!AE$2,'TALLY BOX DUMP'!4:4))</f>
        <v>0</v>
      </c>
      <c r="AF5" s="21">
        <f ca="1">IF($D5="","",SUMIF('TALLY BOX DUMP'!$1:$1,'ACH CALC'!AF$2,'TALLY BOX DUMP'!4:4))</f>
        <v>0</v>
      </c>
      <c r="AG5" s="21">
        <f ca="1">IF($D5="","",SUMIF('TALLY BOX DUMP'!$1:$1,'ACH CALC'!AG$2,'TALLY BOX DUMP'!4:4))</f>
        <v>0</v>
      </c>
      <c r="AH5" s="21">
        <f ca="1">IF($D5="","",SUMIF('TALLY BOX DUMP'!$1:$1,'ACH CALC'!AH$2,'TALLY BOX DUMP'!4:4))</f>
        <v>0</v>
      </c>
      <c r="AI5" s="21">
        <f ca="1">IF($D5="","",SUMIF('TALLY BOX DUMP'!$1:$1,'ACH CALC'!AI$2,'TALLY BOX DUMP'!4:4))</f>
        <v>0</v>
      </c>
      <c r="AJ5" s="21">
        <f ca="1">IF($D5="","",SUMIF('TALLY BOX DUMP'!$1:$1,'ACH CALC'!AJ$2,'TALLY BOX DUMP'!4:4))</f>
        <v>0</v>
      </c>
      <c r="AK5" s="21">
        <f ca="1">IF($D5="","",SUMIF('TALLY BOX DUMP'!$1:$1,'ACH CALC'!AK$2,'TALLY BOX DUMP'!4:4))</f>
        <v>0</v>
      </c>
      <c r="AL5" s="21">
        <f ca="1">IF($D5="","",ROUND(SUMIF('TALLY KG DUMP'!$1:$1,'ACH CALC'!AL$2,'TALLY KG DUMP'!4:4)/30,1))</f>
        <v>0</v>
      </c>
      <c r="AM5" s="21">
        <f ca="1">IF($D5="","",SUMIF('TALLY BOX DUMP'!$1:$1,'ACH CALC'!AM$2,'TALLY BOX DUMP'!4:4))</f>
        <v>0</v>
      </c>
      <c r="AN5" s="21">
        <f ca="1">IF($D5="","",SUMIF('TALLY BOX DUMP'!$1:$1,'ACH CALC'!AN$2,'TALLY BOX DUMP'!4:4))</f>
        <v>0</v>
      </c>
      <c r="AO5" s="21">
        <f ca="1">IF($D5="","",SUMIF('TALLY BOX DUMP'!$1:$1,'ACH CALC'!AO$2,'TALLY BOX DUMP'!4:4))</f>
        <v>0</v>
      </c>
      <c r="AP5" s="21">
        <f ca="1">IF($D5="","",SUMIF('TALLY BOX DUMP'!$1:$1,'ACH CALC'!AP$2,'TALLY BOX DUMP'!4:4))</f>
        <v>0</v>
      </c>
      <c r="AQ5" s="21">
        <f ca="1">IF($D5="","",ROUND(SUMIF('TALLY KG DUMP'!$1:$1,'ACH CALC'!AQ$2,'TALLY KG DUMP'!4:4)/30,1))</f>
        <v>0</v>
      </c>
      <c r="AR5" s="21">
        <f ca="1">IF($D5="","",SUMIF('TALLY BOX DUMP'!$1:$1,'ACH CALC'!AR$2,'TALLY BOX DUMP'!4:4))</f>
        <v>0</v>
      </c>
      <c r="AS5" s="21">
        <f ca="1">IF($D5="","",SUMIF('TALLY BOX DUMP'!$1:$1,'ACH CALC'!AS$2,'TALLY BOX DUMP'!4:4))</f>
        <v>0</v>
      </c>
      <c r="AT5" s="21">
        <f ca="1">IF($D5="","",SUMIF('TALLY BOX DUMP'!$1:$1,'ACH CALC'!AT$2,'TALLY BOX DUMP'!4:4))</f>
        <v>0</v>
      </c>
      <c r="AU5" s="21">
        <f ca="1">IF($D5="","",SUMIF('TALLY BOX DUMP'!$1:$1,'ACH CALC'!AU$2,'TALLY BOX DUMP'!4:4))</f>
        <v>0</v>
      </c>
      <c r="AV5" s="21">
        <f ca="1">IF($D5="","",SUMIF('TALLY BOX DUMP'!$1:$1,'ACH CALC'!AV$2,'TALLY BOX DUMP'!4:4))</f>
        <v>0</v>
      </c>
      <c r="AW5" s="21">
        <f ca="1">IF($D5="","",SUMIF('TALLY BOX DUMP'!$1:$1,'ACH CALC'!AW$2,'TALLY BOX DUMP'!4:4))</f>
        <v>0</v>
      </c>
      <c r="AX5" s="21">
        <f ca="1">IF($D5="","",SUMIF('TALLY BOX DUMP'!$1:$1,'ACH CALC'!AX$2,'TALLY BOX DUMP'!4:4))</f>
        <v>0</v>
      </c>
      <c r="AY5" s="21">
        <f ca="1">IF($D5="","",SUMIF('TALLY BOX DUMP'!$1:$1,'ACH CALC'!AY$2,'TALLY BOX DUMP'!4:4))</f>
        <v>0</v>
      </c>
      <c r="AZ5" s="21">
        <f ca="1">IF($D5="","",SUMIF('TALLY BOX DUMP'!$1:$1,'ACH CALC'!AZ$2,'TALLY BOX DUMP'!4:4))</f>
        <v>0</v>
      </c>
      <c r="BA5" s="69">
        <f>(SUMIF('TALLY KG DUMP'!$2:$2,"Qty",'TALLY KG DUMP'!4:4)/1000)-(SUMIF('TALLY KG DUMP'!$1:$1,"GL",'TALLY KG DUMP'!4:4)/1000)</f>
        <v>2.0459999999999998</v>
      </c>
      <c r="BB5" s="21" t="b">
        <f t="shared" ref="BB5:BB68" ca="1" si="2">BA5=E5</f>
        <v>1</v>
      </c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</row>
    <row r="6" spans="2:79" x14ac:dyDescent="0.25">
      <c r="B6" s="21" t="str">
        <f ca="1"/>
        <v>3</v>
      </c>
      <c r="C6" s="21" t="str">
        <f ca="1"/>
        <v>SUN06947</v>
      </c>
      <c r="D6" s="21" t="str">
        <f ca="1"/>
        <v>TIRUVANNAMALAI-C.SAMSUDEEN MALIGAI</v>
      </c>
      <c r="E6" s="21">
        <f ca="1">IF($D6="","",(SUMIF('TALLY KG DUMP'!$2:$2,"Qty",'TALLY KG DUMP'!5:5)/1000)-(SUMIF('TALLY KG DUMP'!$1:$1,"GL",'TALLY KG DUMP'!5:5)/1000))</f>
        <v>0</v>
      </c>
      <c r="F6" s="21">
        <f ca="1">IF($D6="","",(SUMIF('TALLY KG DUMP'!$1:$1,'ACH CALC'!F$2,'TALLY KG DUMP'!5:5)/1000))</f>
        <v>0</v>
      </c>
      <c r="G6" s="21">
        <f ca="1">IF($D6="","",SUMIF('TALLY BOX DUMP'!$1:$1,'ACH CALC'!G$2,'TALLY BOX DUMP'!5:5)+Y6)</f>
        <v>0</v>
      </c>
      <c r="H6" s="21">
        <f t="shared" ca="1" si="0"/>
        <v>0</v>
      </c>
      <c r="I6" s="21">
        <f ca="1">IF($D6="","",SUMIF('TALLY BOX DUMP'!$1:$1,'ACH CALC'!I$2,'TALLY BOX DUMP'!5:5)+AA6)</f>
        <v>0</v>
      </c>
      <c r="J6" s="21">
        <f ca="1">IF($D6="","",SUMIF('TALLY BOX DUMP'!$1:$1,'ACH CALC'!J$2,'TALLY BOX DUMP'!5:5)+AB6)</f>
        <v>0</v>
      </c>
      <c r="K6" s="21">
        <f ca="1">IF($D6="","",SUMIF('TALLY BOX DUMP'!$1:$1,'ACH CALC'!K$2,'TALLY BOX DUMP'!5:5)+AC6)</f>
        <v>0</v>
      </c>
      <c r="L6" s="21">
        <f ca="1">IF($D6="","",SUMIF('TALLY BOX DUMP'!$1:$1,'ACH CALC'!L$2,'TALLY BOX DUMP'!5:5))</f>
        <v>0</v>
      </c>
      <c r="M6" s="21">
        <f ca="1">IF($D6="","",SUMIF('TALLY BOX DUMP'!$1:$1,'ACH CALC'!M$2,'TALLY BOX DUMP'!5:5)+AD6)</f>
        <v>0</v>
      </c>
      <c r="N6" s="21">
        <f ca="1">IF($D6="","",SUMIF('TALLY BOX DUMP'!$1:$1,'ACH CALC'!N$2,'TALLY BOX DUMP'!5:5))</f>
        <v>0</v>
      </c>
      <c r="O6" s="21">
        <f ca="1">IF($D6="","",SUMIF('TALLY BOX DUMP'!$1:$1,'ACH CALC'!O$2,'TALLY BOX DUMP'!5:5))</f>
        <v>0</v>
      </c>
      <c r="P6" s="21">
        <f ca="1">IF($D6="","",SUMIF('TALLY BOX DUMP'!$1:$1,'ACH CALC'!P$2,'TALLY BOX DUMP'!5:5))</f>
        <v>0</v>
      </c>
      <c r="Q6" s="21">
        <f t="shared" ca="1" si="1"/>
        <v>0</v>
      </c>
      <c r="R6" s="21">
        <f ca="1">IF($D6="","",SUMIF('TALLY BOX DUMP'!$1:$1,'ACH CALC'!R$2,'TALLY BOX DUMP'!5:5))</f>
        <v>0</v>
      </c>
      <c r="S6" s="21">
        <f ca="1">IF($D6="","",SUMIF('TALLY BOX DUMP'!$1:$1,'ACH CALC'!S$2,'TALLY BOX DUMP'!5:5))</f>
        <v>0</v>
      </c>
      <c r="T6" s="21">
        <f ca="1">IF($D6="","",SUMIF('TALLY BOX DUMP'!$1:$1,'ACH CALC'!T$2,'TALLY BOX DUMP'!5:5))</f>
        <v>0</v>
      </c>
      <c r="U6" s="21">
        <f ca="1">IF($D6="","",SUMIF('TALLY BOX DUMP'!$1:$1,'ACH CALC'!U$2,'TALLY BOX DUMP'!5:5))</f>
        <v>0</v>
      </c>
      <c r="V6" s="21">
        <f ca="1">IF($D6="","",SUMIF('TALLY BOX DUMP'!$1:$1,'ACH CALC'!V$2,'TALLY BOX DUMP'!5:5))</f>
        <v>0</v>
      </c>
      <c r="W6" s="21">
        <f ca="1">IF($D6="","",SUMIF('TALLY BOX DUMP'!$1:$1,'ACH CALC'!W$2,'TALLY BOX DUMP'!5:5))</f>
        <v>0</v>
      </c>
      <c r="X6" s="21">
        <f ca="1">IF($D6="","",SUMIF('TALLY BOX DUMP'!$1:$1,'ACH CALC'!X$2,'TALLY BOX DUMP'!5:5))</f>
        <v>0</v>
      </c>
      <c r="Y6" s="21">
        <f ca="1">IF($D6="","",SUMIF('TALLY BOX DUMP'!$1:$1,'ACH CALC'!Y$2,'TALLY BOX DUMP'!5:5))</f>
        <v>0</v>
      </c>
      <c r="Z6" s="21">
        <f ca="1">IF($D6="","",SUMIF('TALLY BOX DUMP'!$1:$1,'ACH CALC'!Z$2,'TALLY BOX DUMP'!5:5)+AE6)</f>
        <v>0</v>
      </c>
      <c r="AA6" s="21">
        <f ca="1">IF($D6="","",SUMIF('TALLY BOX DUMP'!$1:$1,'ACH CALC'!AA$2,'TALLY BOX DUMP'!5:5))</f>
        <v>0</v>
      </c>
      <c r="AB6" s="21">
        <f ca="1">IF($D6="","",SUMIF('TALLY BOX DUMP'!$1:$1,'ACH CALC'!AB$2,'TALLY BOX DUMP'!5:5))</f>
        <v>0</v>
      </c>
      <c r="AC6" s="21">
        <f ca="1">IF($D6="","",SUMIF('TALLY BOX DUMP'!$1:$1,'ACH CALC'!AC$2,'TALLY BOX DUMP'!5:5))</f>
        <v>0</v>
      </c>
      <c r="AD6" s="21">
        <f ca="1">IF($D6="","",SUMIF('TALLY BOX DUMP'!$1:$1,'ACH CALC'!AD$2,'TALLY BOX DUMP'!5:5))</f>
        <v>0</v>
      </c>
      <c r="AE6" s="21">
        <f ca="1">IF($D6="","",SUMIF('TALLY BOX DUMP'!$1:$1,'ACH CALC'!AE$2,'TALLY BOX DUMP'!5:5))</f>
        <v>0</v>
      </c>
      <c r="AF6" s="21">
        <f ca="1">IF($D6="","",SUMIF('TALLY BOX DUMP'!$1:$1,'ACH CALC'!AF$2,'TALLY BOX DUMP'!5:5))</f>
        <v>0</v>
      </c>
      <c r="AG6" s="21">
        <f ca="1">IF($D6="","",SUMIF('TALLY BOX DUMP'!$1:$1,'ACH CALC'!AG$2,'TALLY BOX DUMP'!5:5))</f>
        <v>0</v>
      </c>
      <c r="AH6" s="21">
        <f ca="1">IF($D6="","",SUMIF('TALLY BOX DUMP'!$1:$1,'ACH CALC'!AH$2,'TALLY BOX DUMP'!5:5))</f>
        <v>0</v>
      </c>
      <c r="AI6" s="21">
        <f ca="1">IF($D6="","",SUMIF('TALLY BOX DUMP'!$1:$1,'ACH CALC'!AI$2,'TALLY BOX DUMP'!5:5))</f>
        <v>0</v>
      </c>
      <c r="AJ6" s="21">
        <f ca="1">IF($D6="","",SUMIF('TALLY BOX DUMP'!$1:$1,'ACH CALC'!AJ$2,'TALLY BOX DUMP'!5:5))</f>
        <v>0</v>
      </c>
      <c r="AK6" s="21">
        <f ca="1">IF($D6="","",SUMIF('TALLY BOX DUMP'!$1:$1,'ACH CALC'!AK$2,'TALLY BOX DUMP'!5:5))</f>
        <v>0</v>
      </c>
      <c r="AL6" s="21">
        <f ca="1">IF($D6="","",ROUND(SUMIF('TALLY KG DUMP'!$1:$1,'ACH CALC'!AL$2,'TALLY KG DUMP'!5:5)/30,1))</f>
        <v>0</v>
      </c>
      <c r="AM6" s="21">
        <f ca="1">IF($D6="","",SUMIF('TALLY BOX DUMP'!$1:$1,'ACH CALC'!AM$2,'TALLY BOX DUMP'!5:5))</f>
        <v>0</v>
      </c>
      <c r="AN6" s="21">
        <f ca="1">IF($D6="","",SUMIF('TALLY BOX DUMP'!$1:$1,'ACH CALC'!AN$2,'TALLY BOX DUMP'!5:5))</f>
        <v>0</v>
      </c>
      <c r="AO6" s="21">
        <f ca="1">IF($D6="","",SUMIF('TALLY BOX DUMP'!$1:$1,'ACH CALC'!AO$2,'TALLY BOX DUMP'!5:5))</f>
        <v>0</v>
      </c>
      <c r="AP6" s="21">
        <f ca="1">IF($D6="","",SUMIF('TALLY BOX DUMP'!$1:$1,'ACH CALC'!AP$2,'TALLY BOX DUMP'!5:5))</f>
        <v>0</v>
      </c>
      <c r="AQ6" s="21">
        <f ca="1">IF($D6="","",ROUND(SUMIF('TALLY KG DUMP'!$1:$1,'ACH CALC'!AQ$2,'TALLY KG DUMP'!5:5)/30,1))</f>
        <v>0</v>
      </c>
      <c r="AR6" s="21">
        <f ca="1">IF($D6="","",SUMIF('TALLY BOX DUMP'!$1:$1,'ACH CALC'!AR$2,'TALLY BOX DUMP'!5:5))</f>
        <v>0</v>
      </c>
      <c r="AS6" s="21">
        <f ca="1">IF($D6="","",SUMIF('TALLY BOX DUMP'!$1:$1,'ACH CALC'!AS$2,'TALLY BOX DUMP'!5:5))</f>
        <v>0</v>
      </c>
      <c r="AT6" s="21">
        <f ca="1">IF($D6="","",SUMIF('TALLY BOX DUMP'!$1:$1,'ACH CALC'!AT$2,'TALLY BOX DUMP'!5:5))</f>
        <v>0</v>
      </c>
      <c r="AU6" s="21">
        <f ca="1">IF($D6="","",SUMIF('TALLY BOX DUMP'!$1:$1,'ACH CALC'!AU$2,'TALLY BOX DUMP'!5:5))</f>
        <v>0</v>
      </c>
      <c r="AV6" s="21">
        <f ca="1">IF($D6="","",SUMIF('TALLY BOX DUMP'!$1:$1,'ACH CALC'!AV$2,'TALLY BOX DUMP'!5:5))</f>
        <v>0</v>
      </c>
      <c r="AW6" s="21">
        <f ca="1">IF($D6="","",SUMIF('TALLY BOX DUMP'!$1:$1,'ACH CALC'!AW$2,'TALLY BOX DUMP'!5:5))</f>
        <v>0</v>
      </c>
      <c r="AX6" s="21">
        <f ca="1">IF($D6="","",SUMIF('TALLY BOX DUMP'!$1:$1,'ACH CALC'!AX$2,'TALLY BOX DUMP'!5:5))</f>
        <v>0</v>
      </c>
      <c r="AY6" s="21">
        <f ca="1">IF($D6="","",SUMIF('TALLY BOX DUMP'!$1:$1,'ACH CALC'!AY$2,'TALLY BOX DUMP'!5:5))</f>
        <v>0</v>
      </c>
      <c r="AZ6" s="21">
        <f ca="1">IF($D6="","",SUMIF('TALLY BOX DUMP'!$1:$1,'ACH CALC'!AZ$2,'TALLY BOX DUMP'!5:5))</f>
        <v>0</v>
      </c>
      <c r="BA6" s="69">
        <f>(SUMIF('TALLY KG DUMP'!$2:$2,"Qty",'TALLY KG DUMP'!5:5)/1000)-(SUMIF('TALLY KG DUMP'!$1:$1,"GL",'TALLY KG DUMP'!5:5)/1000)</f>
        <v>0</v>
      </c>
      <c r="BB6" s="21" t="b">
        <f t="shared" ca="1" si="2"/>
        <v>1</v>
      </c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</row>
    <row r="7" spans="2:79" x14ac:dyDescent="0.25">
      <c r="B7" s="21" t="str">
        <f ca="1"/>
        <v>4</v>
      </c>
      <c r="C7" s="21" t="str">
        <f ca="1"/>
        <v>SUN04873</v>
      </c>
      <c r="D7" s="21" t="str">
        <f ca="1"/>
        <v>TIRUVANNAMALAI-PVS PROVISIONS</v>
      </c>
      <c r="E7" s="21">
        <f ca="1">IF($D7="","",(SUMIF('TALLY KG DUMP'!$2:$2,"Qty",'TALLY KG DUMP'!6:6)/1000)-(SUMIF('TALLY KG DUMP'!$1:$1,"GL",'TALLY KG DUMP'!6:6)/1000))</f>
        <v>0</v>
      </c>
      <c r="F7" s="21">
        <f ca="1">IF($D7="","",(SUMIF('TALLY KG DUMP'!$1:$1,'ACH CALC'!F$2,'TALLY KG DUMP'!6:6)/1000))</f>
        <v>0</v>
      </c>
      <c r="G7" s="21">
        <f ca="1">IF($D7="","",SUMIF('TALLY BOX DUMP'!$1:$1,'ACH CALC'!G$2,'TALLY BOX DUMP'!6:6)+Y7)</f>
        <v>0</v>
      </c>
      <c r="H7" s="21">
        <f t="shared" ca="1" si="0"/>
        <v>0</v>
      </c>
      <c r="I7" s="21">
        <f ca="1">IF($D7="","",SUMIF('TALLY BOX DUMP'!$1:$1,'ACH CALC'!I$2,'TALLY BOX DUMP'!6:6)+AA7)</f>
        <v>0</v>
      </c>
      <c r="J7" s="21">
        <f ca="1">IF($D7="","",SUMIF('TALLY BOX DUMP'!$1:$1,'ACH CALC'!J$2,'TALLY BOX DUMP'!6:6)+AB7)</f>
        <v>0</v>
      </c>
      <c r="K7" s="21">
        <f ca="1">IF($D7="","",SUMIF('TALLY BOX DUMP'!$1:$1,'ACH CALC'!K$2,'TALLY BOX DUMP'!6:6)+AC7)</f>
        <v>0</v>
      </c>
      <c r="L7" s="21">
        <f ca="1">IF($D7="","",SUMIF('TALLY BOX DUMP'!$1:$1,'ACH CALC'!L$2,'TALLY BOX DUMP'!6:6))</f>
        <v>0</v>
      </c>
      <c r="M7" s="21">
        <f ca="1">IF($D7="","",SUMIF('TALLY BOX DUMP'!$1:$1,'ACH CALC'!M$2,'TALLY BOX DUMP'!6:6)+AD7)</f>
        <v>0</v>
      </c>
      <c r="N7" s="21">
        <f ca="1">IF($D7="","",SUMIF('TALLY BOX DUMP'!$1:$1,'ACH CALC'!N$2,'TALLY BOX DUMP'!6:6))</f>
        <v>0</v>
      </c>
      <c r="O7" s="21">
        <f ca="1">IF($D7="","",SUMIF('TALLY BOX DUMP'!$1:$1,'ACH CALC'!O$2,'TALLY BOX DUMP'!6:6))</f>
        <v>0</v>
      </c>
      <c r="P7" s="21">
        <f ca="1">IF($D7="","",SUMIF('TALLY BOX DUMP'!$1:$1,'ACH CALC'!P$2,'TALLY BOX DUMP'!6:6))</f>
        <v>0</v>
      </c>
      <c r="Q7" s="21">
        <f t="shared" ca="1" si="1"/>
        <v>0</v>
      </c>
      <c r="R7" s="21">
        <f ca="1">IF($D7="","",SUMIF('TALLY BOX DUMP'!$1:$1,'ACH CALC'!R$2,'TALLY BOX DUMP'!6:6))</f>
        <v>0</v>
      </c>
      <c r="S7" s="21">
        <f ca="1">IF($D7="","",SUMIF('TALLY BOX DUMP'!$1:$1,'ACH CALC'!S$2,'TALLY BOX DUMP'!6:6))</f>
        <v>0</v>
      </c>
      <c r="T7" s="21">
        <f ca="1">IF($D7="","",SUMIF('TALLY BOX DUMP'!$1:$1,'ACH CALC'!T$2,'TALLY BOX DUMP'!6:6))</f>
        <v>0</v>
      </c>
      <c r="U7" s="21">
        <f ca="1">IF($D7="","",SUMIF('TALLY BOX DUMP'!$1:$1,'ACH CALC'!U$2,'TALLY BOX DUMP'!6:6))</f>
        <v>0</v>
      </c>
      <c r="V7" s="21">
        <f ca="1">IF($D7="","",SUMIF('TALLY BOX DUMP'!$1:$1,'ACH CALC'!V$2,'TALLY BOX DUMP'!6:6))</f>
        <v>0</v>
      </c>
      <c r="W7" s="21">
        <f ca="1">IF($D7="","",SUMIF('TALLY BOX DUMP'!$1:$1,'ACH CALC'!W$2,'TALLY BOX DUMP'!6:6))</f>
        <v>0</v>
      </c>
      <c r="X7" s="21">
        <f ca="1">IF($D7="","",SUMIF('TALLY BOX DUMP'!$1:$1,'ACH CALC'!X$2,'TALLY BOX DUMP'!6:6))</f>
        <v>0</v>
      </c>
      <c r="Y7" s="21">
        <f ca="1">IF($D7="","",SUMIF('TALLY BOX DUMP'!$1:$1,'ACH CALC'!Y$2,'TALLY BOX DUMP'!6:6))</f>
        <v>0</v>
      </c>
      <c r="Z7" s="21">
        <f ca="1">IF($D7="","",SUMIF('TALLY BOX DUMP'!$1:$1,'ACH CALC'!Z$2,'TALLY BOX DUMP'!6:6)+AE7)</f>
        <v>0</v>
      </c>
      <c r="AA7" s="21">
        <f ca="1">IF($D7="","",SUMIF('TALLY BOX DUMP'!$1:$1,'ACH CALC'!AA$2,'TALLY BOX DUMP'!6:6))</f>
        <v>0</v>
      </c>
      <c r="AB7" s="21">
        <f ca="1">IF($D7="","",SUMIF('TALLY BOX DUMP'!$1:$1,'ACH CALC'!AB$2,'TALLY BOX DUMP'!6:6))</f>
        <v>0</v>
      </c>
      <c r="AC7" s="21">
        <f ca="1">IF($D7="","",SUMIF('TALLY BOX DUMP'!$1:$1,'ACH CALC'!AC$2,'TALLY BOX DUMP'!6:6))</f>
        <v>0</v>
      </c>
      <c r="AD7" s="21">
        <f ca="1">IF($D7="","",SUMIF('TALLY BOX DUMP'!$1:$1,'ACH CALC'!AD$2,'TALLY BOX DUMP'!6:6))</f>
        <v>0</v>
      </c>
      <c r="AE7" s="21">
        <f ca="1">IF($D7="","",SUMIF('TALLY BOX DUMP'!$1:$1,'ACH CALC'!AE$2,'TALLY BOX DUMP'!6:6))</f>
        <v>0</v>
      </c>
      <c r="AF7" s="21">
        <f ca="1">IF($D7="","",SUMIF('TALLY BOX DUMP'!$1:$1,'ACH CALC'!AF$2,'TALLY BOX DUMP'!6:6))</f>
        <v>0</v>
      </c>
      <c r="AG7" s="21">
        <f ca="1">IF($D7="","",SUMIF('TALLY BOX DUMP'!$1:$1,'ACH CALC'!AG$2,'TALLY BOX DUMP'!6:6))</f>
        <v>0</v>
      </c>
      <c r="AH7" s="21">
        <f ca="1">IF($D7="","",SUMIF('TALLY BOX DUMP'!$1:$1,'ACH CALC'!AH$2,'TALLY BOX DUMP'!6:6))</f>
        <v>0</v>
      </c>
      <c r="AI7" s="21">
        <f ca="1">IF($D7="","",SUMIF('TALLY BOX DUMP'!$1:$1,'ACH CALC'!AI$2,'TALLY BOX DUMP'!6:6))</f>
        <v>0</v>
      </c>
      <c r="AJ7" s="21">
        <f ca="1">IF($D7="","",SUMIF('TALLY BOX DUMP'!$1:$1,'ACH CALC'!AJ$2,'TALLY BOX DUMP'!6:6))</f>
        <v>0</v>
      </c>
      <c r="AK7" s="21">
        <f ca="1">IF($D7="","",SUMIF('TALLY BOX DUMP'!$1:$1,'ACH CALC'!AK$2,'TALLY BOX DUMP'!6:6))</f>
        <v>0</v>
      </c>
      <c r="AL7" s="21">
        <f ca="1">IF($D7="","",ROUND(SUMIF('TALLY KG DUMP'!$1:$1,'ACH CALC'!AL$2,'TALLY KG DUMP'!6:6)/30,1))</f>
        <v>0</v>
      </c>
      <c r="AM7" s="21">
        <f ca="1">IF($D7="","",SUMIF('TALLY BOX DUMP'!$1:$1,'ACH CALC'!AM$2,'TALLY BOX DUMP'!6:6))</f>
        <v>0</v>
      </c>
      <c r="AN7" s="21">
        <f ca="1">IF($D7="","",SUMIF('TALLY BOX DUMP'!$1:$1,'ACH CALC'!AN$2,'TALLY BOX DUMP'!6:6))</f>
        <v>0</v>
      </c>
      <c r="AO7" s="21">
        <f ca="1">IF($D7="","",SUMIF('TALLY BOX DUMP'!$1:$1,'ACH CALC'!AO$2,'TALLY BOX DUMP'!6:6))</f>
        <v>0</v>
      </c>
      <c r="AP7" s="21">
        <f ca="1">IF($D7="","",SUMIF('TALLY BOX DUMP'!$1:$1,'ACH CALC'!AP$2,'TALLY BOX DUMP'!6:6))</f>
        <v>0</v>
      </c>
      <c r="AQ7" s="21">
        <f ca="1">IF($D7="","",ROUND(SUMIF('TALLY KG DUMP'!$1:$1,'ACH CALC'!AQ$2,'TALLY KG DUMP'!6:6)/30,1))</f>
        <v>0</v>
      </c>
      <c r="AR7" s="21">
        <f ca="1">IF($D7="","",SUMIF('TALLY BOX DUMP'!$1:$1,'ACH CALC'!AR$2,'TALLY BOX DUMP'!6:6))</f>
        <v>0</v>
      </c>
      <c r="AS7" s="21">
        <f ca="1">IF($D7="","",SUMIF('TALLY BOX DUMP'!$1:$1,'ACH CALC'!AS$2,'TALLY BOX DUMP'!6:6))</f>
        <v>0</v>
      </c>
      <c r="AT7" s="21">
        <f ca="1">IF($D7="","",SUMIF('TALLY BOX DUMP'!$1:$1,'ACH CALC'!AT$2,'TALLY BOX DUMP'!6:6))</f>
        <v>0</v>
      </c>
      <c r="AU7" s="21">
        <f ca="1">IF($D7="","",SUMIF('TALLY BOX DUMP'!$1:$1,'ACH CALC'!AU$2,'TALLY BOX DUMP'!6:6))</f>
        <v>0</v>
      </c>
      <c r="AV7" s="21">
        <f ca="1">IF($D7="","",SUMIF('TALLY BOX DUMP'!$1:$1,'ACH CALC'!AV$2,'TALLY BOX DUMP'!6:6))</f>
        <v>0</v>
      </c>
      <c r="AW7" s="21">
        <f ca="1">IF($D7="","",SUMIF('TALLY BOX DUMP'!$1:$1,'ACH CALC'!AW$2,'TALLY BOX DUMP'!6:6))</f>
        <v>0</v>
      </c>
      <c r="AX7" s="21">
        <f ca="1">IF($D7="","",SUMIF('TALLY BOX DUMP'!$1:$1,'ACH CALC'!AX$2,'TALLY BOX DUMP'!6:6))</f>
        <v>0</v>
      </c>
      <c r="AY7" s="21">
        <f ca="1">IF($D7="","",SUMIF('TALLY BOX DUMP'!$1:$1,'ACH CALC'!AY$2,'TALLY BOX DUMP'!6:6))</f>
        <v>0</v>
      </c>
      <c r="AZ7" s="21">
        <f ca="1">IF($D7="","",SUMIF('TALLY BOX DUMP'!$1:$1,'ACH CALC'!AZ$2,'TALLY BOX DUMP'!6:6))</f>
        <v>0</v>
      </c>
      <c r="BA7" s="69">
        <f>(SUMIF('TALLY KG DUMP'!$2:$2,"Qty",'TALLY KG DUMP'!6:6)/1000)-(SUMIF('TALLY KG DUMP'!$1:$1,"GL",'TALLY KG DUMP'!6:6)/1000)</f>
        <v>0</v>
      </c>
      <c r="BB7" s="21" t="b">
        <f t="shared" ca="1" si="2"/>
        <v>1</v>
      </c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</row>
    <row r="8" spans="2:79" x14ac:dyDescent="0.25">
      <c r="B8" s="21" t="str">
        <f ca="1"/>
        <v>5</v>
      </c>
      <c r="C8" s="21" t="str">
        <f ca="1"/>
        <v>SUN04717</v>
      </c>
      <c r="D8" s="21" t="str">
        <f ca="1"/>
        <v>GINGEE - SRI UMAYAL AGENCY</v>
      </c>
      <c r="E8" s="21">
        <f ca="1">IF($D8="","",(SUMIF('TALLY KG DUMP'!$2:$2,"Qty",'TALLY KG DUMP'!7:7)/1000)-(SUMIF('TALLY KG DUMP'!$1:$1,"GL",'TALLY KG DUMP'!7:7)/1000))</f>
        <v>1.002</v>
      </c>
      <c r="F8" s="21">
        <f ca="1">IF($D8="","",(SUMIF('TALLY KG DUMP'!$1:$1,'ACH CALC'!F$2,'TALLY KG DUMP'!7:7)/1000))</f>
        <v>0</v>
      </c>
      <c r="G8" s="21">
        <f ca="1">IF($D8="","",SUMIF('TALLY BOX DUMP'!$1:$1,'ACH CALC'!G$2,'TALLY BOX DUMP'!7:7)+Y8)</f>
        <v>0</v>
      </c>
      <c r="H8" s="21">
        <f t="shared" ca="1" si="0"/>
        <v>0</v>
      </c>
      <c r="I8" s="21">
        <f ca="1">IF($D8="","",SUMIF('TALLY BOX DUMP'!$1:$1,'ACH CALC'!I$2,'TALLY BOX DUMP'!7:7)+AA8)</f>
        <v>0</v>
      </c>
      <c r="J8" s="21">
        <f ca="1">IF($D8="","",SUMIF('TALLY BOX DUMP'!$1:$1,'ACH CALC'!J$2,'TALLY BOX DUMP'!7:7)+AB8)</f>
        <v>0</v>
      </c>
      <c r="K8" s="21">
        <f ca="1">IF($D8="","",SUMIF('TALLY BOX DUMP'!$1:$1,'ACH CALC'!K$2,'TALLY BOX DUMP'!7:7)+AC8)</f>
        <v>0</v>
      </c>
      <c r="L8" s="21">
        <f ca="1">IF($D8="","",SUMIF('TALLY BOX DUMP'!$1:$1,'ACH CALC'!L$2,'TALLY BOX DUMP'!7:7))</f>
        <v>0</v>
      </c>
      <c r="M8" s="21">
        <f ca="1">IF($D8="","",SUMIF('TALLY BOX DUMP'!$1:$1,'ACH CALC'!M$2,'TALLY BOX DUMP'!7:7)+AD8)</f>
        <v>0</v>
      </c>
      <c r="N8" s="21">
        <f ca="1">IF($D8="","",SUMIF('TALLY BOX DUMP'!$1:$1,'ACH CALC'!N$2,'TALLY BOX DUMP'!7:7))</f>
        <v>0</v>
      </c>
      <c r="O8" s="21">
        <f ca="1">IF($D8="","",SUMIF('TALLY BOX DUMP'!$1:$1,'ACH CALC'!O$2,'TALLY BOX DUMP'!7:7))</f>
        <v>0</v>
      </c>
      <c r="P8" s="21">
        <f ca="1">IF($D8="","",SUMIF('TALLY BOX DUMP'!$1:$1,'ACH CALC'!P$2,'TALLY BOX DUMP'!7:7))</f>
        <v>0</v>
      </c>
      <c r="Q8" s="21">
        <f t="shared" ca="1" si="1"/>
        <v>0</v>
      </c>
      <c r="R8" s="21">
        <f ca="1">IF($D8="","",SUMIF('TALLY BOX DUMP'!$1:$1,'ACH CALC'!R$2,'TALLY BOX DUMP'!7:7))</f>
        <v>0</v>
      </c>
      <c r="S8" s="21">
        <f ca="1">IF($D8="","",SUMIF('TALLY BOX DUMP'!$1:$1,'ACH CALC'!S$2,'TALLY BOX DUMP'!7:7))</f>
        <v>0</v>
      </c>
      <c r="T8" s="21">
        <f ca="1">IF($D8="","",SUMIF('TALLY BOX DUMP'!$1:$1,'ACH CALC'!T$2,'TALLY BOX DUMP'!7:7))</f>
        <v>0</v>
      </c>
      <c r="U8" s="21">
        <f ca="1">IF($D8="","",SUMIF('TALLY BOX DUMP'!$1:$1,'ACH CALC'!U$2,'TALLY BOX DUMP'!7:7))</f>
        <v>0</v>
      </c>
      <c r="V8" s="21">
        <f ca="1">IF($D8="","",SUMIF('TALLY BOX DUMP'!$1:$1,'ACH CALC'!V$2,'TALLY BOX DUMP'!7:7))</f>
        <v>0</v>
      </c>
      <c r="W8" s="21">
        <f ca="1">IF($D8="","",SUMIF('TALLY BOX DUMP'!$1:$1,'ACH CALC'!W$2,'TALLY BOX DUMP'!7:7))</f>
        <v>0</v>
      </c>
      <c r="X8" s="21">
        <f ca="1">IF($D8="","",SUMIF('TALLY BOX DUMP'!$1:$1,'ACH CALC'!X$2,'TALLY BOX DUMP'!7:7))</f>
        <v>0</v>
      </c>
      <c r="Y8" s="21">
        <f ca="1">IF($D8="","",SUMIF('TALLY BOX DUMP'!$1:$1,'ACH CALC'!Y$2,'TALLY BOX DUMP'!7:7))</f>
        <v>0</v>
      </c>
      <c r="Z8" s="21">
        <f ca="1">IF($D8="","",SUMIF('TALLY BOX DUMP'!$1:$1,'ACH CALC'!Z$2,'TALLY BOX DUMP'!7:7)+AE8)</f>
        <v>0</v>
      </c>
      <c r="AA8" s="21">
        <f ca="1">IF($D8="","",SUMIF('TALLY BOX DUMP'!$1:$1,'ACH CALC'!AA$2,'TALLY BOX DUMP'!7:7))</f>
        <v>0</v>
      </c>
      <c r="AB8" s="21">
        <f ca="1">IF($D8="","",SUMIF('TALLY BOX DUMP'!$1:$1,'ACH CALC'!AB$2,'TALLY BOX DUMP'!7:7))</f>
        <v>0</v>
      </c>
      <c r="AC8" s="21">
        <f ca="1">IF($D8="","",SUMIF('TALLY BOX DUMP'!$1:$1,'ACH CALC'!AC$2,'TALLY BOX DUMP'!7:7))</f>
        <v>0</v>
      </c>
      <c r="AD8" s="21">
        <f ca="1">IF($D8="","",SUMIF('TALLY BOX DUMP'!$1:$1,'ACH CALC'!AD$2,'TALLY BOX DUMP'!7:7))</f>
        <v>0</v>
      </c>
      <c r="AE8" s="21">
        <f ca="1">IF($D8="","",SUMIF('TALLY BOX DUMP'!$1:$1,'ACH CALC'!AE$2,'TALLY BOX DUMP'!7:7))</f>
        <v>0</v>
      </c>
      <c r="AF8" s="21">
        <f ca="1">IF($D8="","",SUMIF('TALLY BOX DUMP'!$1:$1,'ACH CALC'!AF$2,'TALLY BOX DUMP'!7:7))</f>
        <v>0</v>
      </c>
      <c r="AG8" s="21">
        <f ca="1">IF($D8="","",SUMIF('TALLY BOX DUMP'!$1:$1,'ACH CALC'!AG$2,'TALLY BOX DUMP'!7:7))</f>
        <v>0</v>
      </c>
      <c r="AH8" s="21">
        <f ca="1">IF($D8="","",SUMIF('TALLY BOX DUMP'!$1:$1,'ACH CALC'!AH$2,'TALLY BOX DUMP'!7:7))</f>
        <v>0</v>
      </c>
      <c r="AI8" s="21">
        <f ca="1">IF($D8="","",SUMIF('TALLY BOX DUMP'!$1:$1,'ACH CALC'!AI$2,'TALLY BOX DUMP'!7:7))</f>
        <v>0</v>
      </c>
      <c r="AJ8" s="21">
        <f ca="1">IF($D8="","",SUMIF('TALLY BOX DUMP'!$1:$1,'ACH CALC'!AJ$2,'TALLY BOX DUMP'!7:7))</f>
        <v>0</v>
      </c>
      <c r="AK8" s="21">
        <f ca="1">IF($D8="","",SUMIF('TALLY BOX DUMP'!$1:$1,'ACH CALC'!AK$2,'TALLY BOX DUMP'!7:7))</f>
        <v>0</v>
      </c>
      <c r="AL8" s="21">
        <f ca="1">IF($D8="","",ROUND(SUMIF('TALLY KG DUMP'!$1:$1,'ACH CALC'!AL$2,'TALLY KG DUMP'!7:7)/30,1))</f>
        <v>0</v>
      </c>
      <c r="AM8" s="21">
        <f ca="1">IF($D8="","",SUMIF('TALLY BOX DUMP'!$1:$1,'ACH CALC'!AM$2,'TALLY BOX DUMP'!7:7))</f>
        <v>0</v>
      </c>
      <c r="AN8" s="21">
        <f ca="1">IF($D8="","",SUMIF('TALLY BOX DUMP'!$1:$1,'ACH CALC'!AN$2,'TALLY BOX DUMP'!7:7))</f>
        <v>0</v>
      </c>
      <c r="AO8" s="21">
        <f ca="1">IF($D8="","",SUMIF('TALLY BOX DUMP'!$1:$1,'ACH CALC'!AO$2,'TALLY BOX DUMP'!7:7))</f>
        <v>0</v>
      </c>
      <c r="AP8" s="21">
        <f ca="1">IF($D8="","",SUMIF('TALLY BOX DUMP'!$1:$1,'ACH CALC'!AP$2,'TALLY BOX DUMP'!7:7))</f>
        <v>0</v>
      </c>
      <c r="AQ8" s="21">
        <f ca="1">IF($D8="","",ROUND(SUMIF('TALLY KG DUMP'!$1:$1,'ACH CALC'!AQ$2,'TALLY KG DUMP'!7:7)/30,1))</f>
        <v>0</v>
      </c>
      <c r="AR8" s="21">
        <f ca="1">IF($D8="","",SUMIF('TALLY BOX DUMP'!$1:$1,'ACH CALC'!AR$2,'TALLY BOX DUMP'!7:7))</f>
        <v>0</v>
      </c>
      <c r="AS8" s="21">
        <f ca="1">IF($D8="","",SUMIF('TALLY BOX DUMP'!$1:$1,'ACH CALC'!AS$2,'TALLY BOX DUMP'!7:7))</f>
        <v>0</v>
      </c>
      <c r="AT8" s="21">
        <f ca="1">IF($D8="","",SUMIF('TALLY BOX DUMP'!$1:$1,'ACH CALC'!AT$2,'TALLY BOX DUMP'!7:7))</f>
        <v>0</v>
      </c>
      <c r="AU8" s="21">
        <f ca="1">IF($D8="","",SUMIF('TALLY BOX DUMP'!$1:$1,'ACH CALC'!AU$2,'TALLY BOX DUMP'!7:7))</f>
        <v>0</v>
      </c>
      <c r="AV8" s="21">
        <f ca="1">IF($D8="","",SUMIF('TALLY BOX DUMP'!$1:$1,'ACH CALC'!AV$2,'TALLY BOX DUMP'!7:7))</f>
        <v>0</v>
      </c>
      <c r="AW8" s="21">
        <f ca="1">IF($D8="","",SUMIF('TALLY BOX DUMP'!$1:$1,'ACH CALC'!AW$2,'TALLY BOX DUMP'!7:7))</f>
        <v>0</v>
      </c>
      <c r="AX8" s="21">
        <f ca="1">IF($D8="","",SUMIF('TALLY BOX DUMP'!$1:$1,'ACH CALC'!AX$2,'TALLY BOX DUMP'!7:7))</f>
        <v>0</v>
      </c>
      <c r="AY8" s="21">
        <f ca="1">IF($D8="","",SUMIF('TALLY BOX DUMP'!$1:$1,'ACH CALC'!AY$2,'TALLY BOX DUMP'!7:7))</f>
        <v>0</v>
      </c>
      <c r="AZ8" s="21">
        <f ca="1">IF($D8="","",SUMIF('TALLY BOX DUMP'!$1:$1,'ACH CALC'!AZ$2,'TALLY BOX DUMP'!7:7))</f>
        <v>0</v>
      </c>
      <c r="BA8" s="69">
        <f>(SUMIF('TALLY KG DUMP'!$2:$2,"Qty",'TALLY KG DUMP'!7:7)/1000)-(SUMIF('TALLY KG DUMP'!$1:$1,"GL",'TALLY KG DUMP'!7:7)/1000)</f>
        <v>1.002</v>
      </c>
      <c r="BB8" s="21" t="b">
        <f t="shared" ca="1" si="2"/>
        <v>1</v>
      </c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</row>
    <row r="9" spans="2:79" x14ac:dyDescent="0.25">
      <c r="B9" s="21" t="str">
        <f ca="1"/>
        <v>6</v>
      </c>
      <c r="C9" s="21" t="str">
        <f ca="1"/>
        <v>SUN06342</v>
      </c>
      <c r="D9" s="21" t="str">
        <f ca="1"/>
        <v>ATTUR - M R AGENCY</v>
      </c>
      <c r="E9" s="21">
        <f ca="1">IF($D9="","",(SUMIF('TALLY KG DUMP'!$2:$2,"Qty",'TALLY KG DUMP'!8:8)/1000)-(SUMIF('TALLY KG DUMP'!$1:$1,"GL",'TALLY KG DUMP'!8:8)/1000))</f>
        <v>0.79</v>
      </c>
      <c r="F9" s="21">
        <f ca="1">IF($D9="","",(SUMIF('TALLY KG DUMP'!$1:$1,'ACH CALC'!F$2,'TALLY KG DUMP'!8:8)/1000))</f>
        <v>0</v>
      </c>
      <c r="G9" s="21">
        <f ca="1">IF($D9="","",SUMIF('TALLY BOX DUMP'!$1:$1,'ACH CALC'!G$2,'TALLY BOX DUMP'!8:8)+Y9)</f>
        <v>0</v>
      </c>
      <c r="H9" s="21">
        <f t="shared" ca="1" si="0"/>
        <v>0</v>
      </c>
      <c r="I9" s="21">
        <f ca="1">IF($D9="","",SUMIF('TALLY BOX DUMP'!$1:$1,'ACH CALC'!I$2,'TALLY BOX DUMP'!8:8)+AA9)</f>
        <v>0</v>
      </c>
      <c r="J9" s="21">
        <f ca="1">IF($D9="","",SUMIF('TALLY BOX DUMP'!$1:$1,'ACH CALC'!J$2,'TALLY BOX DUMP'!8:8)+AB9)</f>
        <v>0</v>
      </c>
      <c r="K9" s="21">
        <f ca="1">IF($D9="","",SUMIF('TALLY BOX DUMP'!$1:$1,'ACH CALC'!K$2,'TALLY BOX DUMP'!8:8)+AC9)</f>
        <v>0</v>
      </c>
      <c r="L9" s="21">
        <f ca="1">IF($D9="","",SUMIF('TALLY BOX DUMP'!$1:$1,'ACH CALC'!L$2,'TALLY BOX DUMP'!8:8))</f>
        <v>0</v>
      </c>
      <c r="M9" s="21">
        <f ca="1">IF($D9="","",SUMIF('TALLY BOX DUMP'!$1:$1,'ACH CALC'!M$2,'TALLY BOX DUMP'!8:8)+AD9)</f>
        <v>0</v>
      </c>
      <c r="N9" s="21">
        <f ca="1">IF($D9="","",SUMIF('TALLY BOX DUMP'!$1:$1,'ACH CALC'!N$2,'TALLY BOX DUMP'!8:8))</f>
        <v>0</v>
      </c>
      <c r="O9" s="21">
        <f ca="1">IF($D9="","",SUMIF('TALLY BOX DUMP'!$1:$1,'ACH CALC'!O$2,'TALLY BOX DUMP'!8:8))</f>
        <v>0</v>
      </c>
      <c r="P9" s="21">
        <f ca="1">IF($D9="","",SUMIF('TALLY BOX DUMP'!$1:$1,'ACH CALC'!P$2,'TALLY BOX DUMP'!8:8))</f>
        <v>0</v>
      </c>
      <c r="Q9" s="21">
        <f t="shared" ca="1" si="1"/>
        <v>0</v>
      </c>
      <c r="R9" s="21">
        <f ca="1">IF($D9="","",SUMIF('TALLY BOX DUMP'!$1:$1,'ACH CALC'!R$2,'TALLY BOX DUMP'!8:8))</f>
        <v>0</v>
      </c>
      <c r="S9" s="21">
        <f ca="1">IF($D9="","",SUMIF('TALLY BOX DUMP'!$1:$1,'ACH CALC'!S$2,'TALLY BOX DUMP'!8:8))</f>
        <v>0</v>
      </c>
      <c r="T9" s="21">
        <f ca="1">IF($D9="","",SUMIF('TALLY BOX DUMP'!$1:$1,'ACH CALC'!T$2,'TALLY BOX DUMP'!8:8))</f>
        <v>0</v>
      </c>
      <c r="U9" s="21">
        <f ca="1">IF($D9="","",SUMIF('TALLY BOX DUMP'!$1:$1,'ACH CALC'!U$2,'TALLY BOX DUMP'!8:8))</f>
        <v>0</v>
      </c>
      <c r="V9" s="21">
        <f ca="1">IF($D9="","",SUMIF('TALLY BOX DUMP'!$1:$1,'ACH CALC'!V$2,'TALLY BOX DUMP'!8:8))</f>
        <v>0</v>
      </c>
      <c r="W9" s="21">
        <f ca="1">IF($D9="","",SUMIF('TALLY BOX DUMP'!$1:$1,'ACH CALC'!W$2,'TALLY BOX DUMP'!8:8))</f>
        <v>0</v>
      </c>
      <c r="X9" s="21">
        <f ca="1">IF($D9="","",SUMIF('TALLY BOX DUMP'!$1:$1,'ACH CALC'!X$2,'TALLY BOX DUMP'!8:8))</f>
        <v>0</v>
      </c>
      <c r="Y9" s="21">
        <f ca="1">IF($D9="","",SUMIF('TALLY BOX DUMP'!$1:$1,'ACH CALC'!Y$2,'TALLY BOX DUMP'!8:8))</f>
        <v>0</v>
      </c>
      <c r="Z9" s="21">
        <f ca="1">IF($D9="","",SUMIF('TALLY BOX DUMP'!$1:$1,'ACH CALC'!Z$2,'TALLY BOX DUMP'!8:8)+AE9)</f>
        <v>0</v>
      </c>
      <c r="AA9" s="21">
        <f ca="1">IF($D9="","",SUMIF('TALLY BOX DUMP'!$1:$1,'ACH CALC'!AA$2,'TALLY BOX DUMP'!8:8))</f>
        <v>0</v>
      </c>
      <c r="AB9" s="21">
        <f ca="1">IF($D9="","",SUMIF('TALLY BOX DUMP'!$1:$1,'ACH CALC'!AB$2,'TALLY BOX DUMP'!8:8))</f>
        <v>0</v>
      </c>
      <c r="AC9" s="21">
        <f ca="1">IF($D9="","",SUMIF('TALLY BOX DUMP'!$1:$1,'ACH CALC'!AC$2,'TALLY BOX DUMP'!8:8))</f>
        <v>0</v>
      </c>
      <c r="AD9" s="21">
        <f ca="1">IF($D9="","",SUMIF('TALLY BOX DUMP'!$1:$1,'ACH CALC'!AD$2,'TALLY BOX DUMP'!8:8))</f>
        <v>0</v>
      </c>
      <c r="AE9" s="21">
        <f ca="1">IF($D9="","",SUMIF('TALLY BOX DUMP'!$1:$1,'ACH CALC'!AE$2,'TALLY BOX DUMP'!8:8))</f>
        <v>0</v>
      </c>
      <c r="AF9" s="21">
        <f ca="1">IF($D9="","",SUMIF('TALLY BOX DUMP'!$1:$1,'ACH CALC'!AF$2,'TALLY BOX DUMP'!8:8))</f>
        <v>0</v>
      </c>
      <c r="AG9" s="21">
        <f ca="1">IF($D9="","",SUMIF('TALLY BOX DUMP'!$1:$1,'ACH CALC'!AG$2,'TALLY BOX DUMP'!8:8))</f>
        <v>0</v>
      </c>
      <c r="AH9" s="21">
        <f ca="1">IF($D9="","",SUMIF('TALLY BOX DUMP'!$1:$1,'ACH CALC'!AH$2,'TALLY BOX DUMP'!8:8))</f>
        <v>0</v>
      </c>
      <c r="AI9" s="21">
        <f ca="1">IF($D9="","",SUMIF('TALLY BOX DUMP'!$1:$1,'ACH CALC'!AI$2,'TALLY BOX DUMP'!8:8))</f>
        <v>0</v>
      </c>
      <c r="AJ9" s="21">
        <f ca="1">IF($D9="","",SUMIF('TALLY BOX DUMP'!$1:$1,'ACH CALC'!AJ$2,'TALLY BOX DUMP'!8:8))</f>
        <v>0</v>
      </c>
      <c r="AK9" s="21">
        <f ca="1">IF($D9="","",SUMIF('TALLY BOX DUMP'!$1:$1,'ACH CALC'!AK$2,'TALLY BOX DUMP'!8:8))</f>
        <v>0</v>
      </c>
      <c r="AL9" s="21">
        <f ca="1">IF($D9="","",ROUND(SUMIF('TALLY KG DUMP'!$1:$1,'ACH CALC'!AL$2,'TALLY KG DUMP'!8:8)/30,1))</f>
        <v>0</v>
      </c>
      <c r="AM9" s="21">
        <f ca="1">IF($D9="","",SUMIF('TALLY BOX DUMP'!$1:$1,'ACH CALC'!AM$2,'TALLY BOX DUMP'!8:8))</f>
        <v>0</v>
      </c>
      <c r="AN9" s="21">
        <f ca="1">IF($D9="","",SUMIF('TALLY BOX DUMP'!$1:$1,'ACH CALC'!AN$2,'TALLY BOX DUMP'!8:8))</f>
        <v>0</v>
      </c>
      <c r="AO9" s="21">
        <f ca="1">IF($D9="","",SUMIF('TALLY BOX DUMP'!$1:$1,'ACH CALC'!AO$2,'TALLY BOX DUMP'!8:8))</f>
        <v>0</v>
      </c>
      <c r="AP9" s="21">
        <f ca="1">IF($D9="","",SUMIF('TALLY BOX DUMP'!$1:$1,'ACH CALC'!AP$2,'TALLY BOX DUMP'!8:8))</f>
        <v>0</v>
      </c>
      <c r="AQ9" s="21">
        <f ca="1">IF($D9="","",ROUND(SUMIF('TALLY KG DUMP'!$1:$1,'ACH CALC'!AQ$2,'TALLY KG DUMP'!8:8)/30,1))</f>
        <v>0</v>
      </c>
      <c r="AR9" s="21">
        <f ca="1">IF($D9="","",SUMIF('TALLY BOX DUMP'!$1:$1,'ACH CALC'!AR$2,'TALLY BOX DUMP'!8:8))</f>
        <v>0</v>
      </c>
      <c r="AS9" s="21">
        <f ca="1">IF($D9="","",SUMIF('TALLY BOX DUMP'!$1:$1,'ACH CALC'!AS$2,'TALLY BOX DUMP'!8:8))</f>
        <v>0</v>
      </c>
      <c r="AT9" s="21">
        <f ca="1">IF($D9="","",SUMIF('TALLY BOX DUMP'!$1:$1,'ACH CALC'!AT$2,'TALLY BOX DUMP'!8:8))</f>
        <v>0</v>
      </c>
      <c r="AU9" s="21">
        <f ca="1">IF($D9="","",SUMIF('TALLY BOX DUMP'!$1:$1,'ACH CALC'!AU$2,'TALLY BOX DUMP'!8:8))</f>
        <v>0</v>
      </c>
      <c r="AV9" s="21">
        <f ca="1">IF($D9="","",SUMIF('TALLY BOX DUMP'!$1:$1,'ACH CALC'!AV$2,'TALLY BOX DUMP'!8:8))</f>
        <v>0</v>
      </c>
      <c r="AW9" s="21">
        <f ca="1">IF($D9="","",SUMIF('TALLY BOX DUMP'!$1:$1,'ACH CALC'!AW$2,'TALLY BOX DUMP'!8:8))</f>
        <v>0</v>
      </c>
      <c r="AX9" s="21">
        <f ca="1">IF($D9="","",SUMIF('TALLY BOX DUMP'!$1:$1,'ACH CALC'!AX$2,'TALLY BOX DUMP'!8:8))</f>
        <v>0</v>
      </c>
      <c r="AY9" s="21">
        <f ca="1">IF($D9="","",SUMIF('TALLY BOX DUMP'!$1:$1,'ACH CALC'!AY$2,'TALLY BOX DUMP'!8:8))</f>
        <v>0</v>
      </c>
      <c r="AZ9" s="21">
        <f ca="1">IF($D9="","",SUMIF('TALLY BOX DUMP'!$1:$1,'ACH CALC'!AZ$2,'TALLY BOX DUMP'!8:8))</f>
        <v>0</v>
      </c>
      <c r="BA9" s="69">
        <f>(SUMIF('TALLY KG DUMP'!$2:$2,"Qty",'TALLY KG DUMP'!8:8)/1000)-(SUMIF('TALLY KG DUMP'!$1:$1,"GL",'TALLY KG DUMP'!8:8)/1000)</f>
        <v>0.79</v>
      </c>
      <c r="BB9" s="21" t="b">
        <f t="shared" ca="1" si="2"/>
        <v>1</v>
      </c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</row>
    <row r="10" spans="2:79" x14ac:dyDescent="0.25">
      <c r="B10" s="21" t="str">
        <f ca="1"/>
        <v>7</v>
      </c>
      <c r="C10" s="21" t="str">
        <f ca="1"/>
        <v>SUN06029</v>
      </c>
      <c r="D10" s="21" t="str">
        <f ca="1"/>
        <v>TIRUKKOYILUR-SRINITHI ENTERPRISES</v>
      </c>
      <c r="E10" s="21">
        <f ca="1">IF($D10="","",(SUMIF('TALLY KG DUMP'!$2:$2,"Qty",'TALLY KG DUMP'!9:9)/1000)-(SUMIF('TALLY KG DUMP'!$1:$1,"GL",'TALLY KG DUMP'!9:9)/1000))</f>
        <v>1.546</v>
      </c>
      <c r="F10" s="21">
        <f ca="1">IF($D10="","",(SUMIF('TALLY KG DUMP'!$1:$1,'ACH CALC'!F$2,'TALLY KG DUMP'!9:9)/1000))</f>
        <v>0</v>
      </c>
      <c r="G10" s="21">
        <f ca="1">IF($D10="","",SUMIF('TALLY BOX DUMP'!$1:$1,'ACH CALC'!G$2,'TALLY BOX DUMP'!9:9)+Y10)</f>
        <v>0</v>
      </c>
      <c r="H10" s="21">
        <f t="shared" ca="1" si="0"/>
        <v>16</v>
      </c>
      <c r="I10" s="21">
        <f ca="1">IF($D10="","",SUMIF('TALLY BOX DUMP'!$1:$1,'ACH CALC'!I$2,'TALLY BOX DUMP'!9:9)+AA10)</f>
        <v>0</v>
      </c>
      <c r="J10" s="21">
        <f ca="1">IF($D10="","",SUMIF('TALLY BOX DUMP'!$1:$1,'ACH CALC'!J$2,'TALLY BOX DUMP'!9:9)+AB10)</f>
        <v>0</v>
      </c>
      <c r="K10" s="21">
        <f ca="1">IF($D10="","",SUMIF('TALLY BOX DUMP'!$1:$1,'ACH CALC'!K$2,'TALLY BOX DUMP'!9:9)+AC10)</f>
        <v>16</v>
      </c>
      <c r="L10" s="21">
        <f ca="1">IF($D10="","",SUMIF('TALLY BOX DUMP'!$1:$1,'ACH CALC'!L$2,'TALLY BOX DUMP'!9:9))</f>
        <v>0</v>
      </c>
      <c r="M10" s="21">
        <f ca="1">IF($D10="","",SUMIF('TALLY BOX DUMP'!$1:$1,'ACH CALC'!M$2,'TALLY BOX DUMP'!9:9)+AD10)</f>
        <v>0</v>
      </c>
      <c r="N10" s="21">
        <f ca="1">IF($D10="","",SUMIF('TALLY BOX DUMP'!$1:$1,'ACH CALC'!N$2,'TALLY BOX DUMP'!9:9))</f>
        <v>0</v>
      </c>
      <c r="O10" s="21">
        <f ca="1">IF($D10="","",SUMIF('TALLY BOX DUMP'!$1:$1,'ACH CALC'!O$2,'TALLY BOX DUMP'!9:9))</f>
        <v>0</v>
      </c>
      <c r="P10" s="21">
        <f ca="1">IF($D10="","",SUMIF('TALLY BOX DUMP'!$1:$1,'ACH CALC'!P$2,'TALLY BOX DUMP'!9:9))</f>
        <v>0</v>
      </c>
      <c r="Q10" s="21">
        <f t="shared" ca="1" si="1"/>
        <v>0</v>
      </c>
      <c r="R10" s="21">
        <f ca="1">IF($D10="","",SUMIF('TALLY BOX DUMP'!$1:$1,'ACH CALC'!R$2,'TALLY BOX DUMP'!9:9))</f>
        <v>0</v>
      </c>
      <c r="S10" s="21">
        <f ca="1">IF($D10="","",SUMIF('TALLY BOX DUMP'!$1:$1,'ACH CALC'!S$2,'TALLY BOX DUMP'!9:9))</f>
        <v>0</v>
      </c>
      <c r="T10" s="21">
        <f ca="1">IF($D10="","",SUMIF('TALLY BOX DUMP'!$1:$1,'ACH CALC'!T$2,'TALLY BOX DUMP'!9:9))</f>
        <v>0</v>
      </c>
      <c r="U10" s="21">
        <f ca="1">IF($D10="","",SUMIF('TALLY BOX DUMP'!$1:$1,'ACH CALC'!U$2,'TALLY BOX DUMP'!9:9))</f>
        <v>0</v>
      </c>
      <c r="V10" s="21">
        <f ca="1">IF($D10="","",SUMIF('TALLY BOX DUMP'!$1:$1,'ACH CALC'!V$2,'TALLY BOX DUMP'!9:9))</f>
        <v>0</v>
      </c>
      <c r="W10" s="21">
        <f ca="1">IF($D10="","",SUMIF('TALLY BOX DUMP'!$1:$1,'ACH CALC'!W$2,'TALLY BOX DUMP'!9:9))</f>
        <v>0</v>
      </c>
      <c r="X10" s="21">
        <f ca="1">IF($D10="","",SUMIF('TALLY BOX DUMP'!$1:$1,'ACH CALC'!X$2,'TALLY BOX DUMP'!9:9))</f>
        <v>0</v>
      </c>
      <c r="Y10" s="21">
        <f ca="1">IF($D10="","",SUMIF('TALLY BOX DUMP'!$1:$1,'ACH CALC'!Y$2,'TALLY BOX DUMP'!9:9))</f>
        <v>0</v>
      </c>
      <c r="Z10" s="21">
        <f ca="1">IF($D10="","",SUMIF('TALLY BOX DUMP'!$1:$1,'ACH CALC'!Z$2,'TALLY BOX DUMP'!9:9)+AE10)</f>
        <v>0</v>
      </c>
      <c r="AA10" s="21">
        <f ca="1">IF($D10="","",SUMIF('TALLY BOX DUMP'!$1:$1,'ACH CALC'!AA$2,'TALLY BOX DUMP'!9:9))</f>
        <v>0</v>
      </c>
      <c r="AB10" s="21">
        <f ca="1">IF($D10="","",SUMIF('TALLY BOX DUMP'!$1:$1,'ACH CALC'!AB$2,'TALLY BOX DUMP'!9:9))</f>
        <v>0</v>
      </c>
      <c r="AC10" s="21">
        <f ca="1">IF($D10="","",SUMIF('TALLY BOX DUMP'!$1:$1,'ACH CALC'!AC$2,'TALLY BOX DUMP'!9:9))</f>
        <v>0</v>
      </c>
      <c r="AD10" s="21">
        <f ca="1">IF($D10="","",SUMIF('TALLY BOX DUMP'!$1:$1,'ACH CALC'!AD$2,'TALLY BOX DUMP'!9:9))</f>
        <v>0</v>
      </c>
      <c r="AE10" s="21">
        <f ca="1">IF($D10="","",SUMIF('TALLY BOX DUMP'!$1:$1,'ACH CALC'!AE$2,'TALLY BOX DUMP'!9:9))</f>
        <v>0</v>
      </c>
      <c r="AF10" s="21">
        <f ca="1">IF($D10="","",SUMIF('TALLY BOX DUMP'!$1:$1,'ACH CALC'!AF$2,'TALLY BOX DUMP'!9:9))</f>
        <v>0</v>
      </c>
      <c r="AG10" s="21">
        <f ca="1">IF($D10="","",SUMIF('TALLY BOX DUMP'!$1:$1,'ACH CALC'!AG$2,'TALLY BOX DUMP'!9:9))</f>
        <v>0</v>
      </c>
      <c r="AH10" s="21">
        <f ca="1">IF($D10="","",SUMIF('TALLY BOX DUMP'!$1:$1,'ACH CALC'!AH$2,'TALLY BOX DUMP'!9:9))</f>
        <v>0</v>
      </c>
      <c r="AI10" s="21">
        <f ca="1">IF($D10="","",SUMIF('TALLY BOX DUMP'!$1:$1,'ACH CALC'!AI$2,'TALLY BOX DUMP'!9:9))</f>
        <v>0</v>
      </c>
      <c r="AJ10" s="21">
        <f ca="1">IF($D10="","",SUMIF('TALLY BOX DUMP'!$1:$1,'ACH CALC'!AJ$2,'TALLY BOX DUMP'!9:9))</f>
        <v>0</v>
      </c>
      <c r="AK10" s="21">
        <f ca="1">IF($D10="","",SUMIF('TALLY BOX DUMP'!$1:$1,'ACH CALC'!AK$2,'TALLY BOX DUMP'!9:9))</f>
        <v>0</v>
      </c>
      <c r="AL10" s="21">
        <f ca="1">IF($D10="","",ROUND(SUMIF('TALLY KG DUMP'!$1:$1,'ACH CALC'!AL$2,'TALLY KG DUMP'!9:9)/30,1))</f>
        <v>0</v>
      </c>
      <c r="AM10" s="21">
        <f ca="1">IF($D10="","",SUMIF('TALLY BOX DUMP'!$1:$1,'ACH CALC'!AM$2,'TALLY BOX DUMP'!9:9))</f>
        <v>40</v>
      </c>
      <c r="AN10" s="21">
        <f ca="1">IF($D10="","",SUMIF('TALLY BOX DUMP'!$1:$1,'ACH CALC'!AN$2,'TALLY BOX DUMP'!9:9))</f>
        <v>0</v>
      </c>
      <c r="AO10" s="21">
        <f ca="1">IF($D10="","",SUMIF('TALLY BOX DUMP'!$1:$1,'ACH CALC'!AO$2,'TALLY BOX DUMP'!9:9))</f>
        <v>0</v>
      </c>
      <c r="AP10" s="21">
        <f ca="1">IF($D10="","",SUMIF('TALLY BOX DUMP'!$1:$1,'ACH CALC'!AP$2,'TALLY BOX DUMP'!9:9))</f>
        <v>0</v>
      </c>
      <c r="AQ10" s="21">
        <f ca="1">IF($D10="","",ROUND(SUMIF('TALLY KG DUMP'!$1:$1,'ACH CALC'!AQ$2,'TALLY KG DUMP'!9:9)/30,1))</f>
        <v>0</v>
      </c>
      <c r="AR10" s="21">
        <f ca="1">IF($D10="","",SUMIF('TALLY BOX DUMP'!$1:$1,'ACH CALC'!AR$2,'TALLY BOX DUMP'!9:9))</f>
        <v>0</v>
      </c>
      <c r="AS10" s="21">
        <f ca="1">IF($D10="","",SUMIF('TALLY BOX DUMP'!$1:$1,'ACH CALC'!AS$2,'TALLY BOX DUMP'!9:9))</f>
        <v>0</v>
      </c>
      <c r="AT10" s="21">
        <f ca="1">IF($D10="","",SUMIF('TALLY BOX DUMP'!$1:$1,'ACH CALC'!AT$2,'TALLY BOX DUMP'!9:9))</f>
        <v>0</v>
      </c>
      <c r="AU10" s="21">
        <f ca="1">IF($D10="","",SUMIF('TALLY BOX DUMP'!$1:$1,'ACH CALC'!AU$2,'TALLY BOX DUMP'!9:9))</f>
        <v>0</v>
      </c>
      <c r="AV10" s="21">
        <f ca="1">IF($D10="","",SUMIF('TALLY BOX DUMP'!$1:$1,'ACH CALC'!AV$2,'TALLY BOX DUMP'!9:9))</f>
        <v>0</v>
      </c>
      <c r="AW10" s="21">
        <f ca="1">IF($D10="","",SUMIF('TALLY BOX DUMP'!$1:$1,'ACH CALC'!AW$2,'TALLY BOX DUMP'!9:9))</f>
        <v>0</v>
      </c>
      <c r="AX10" s="21">
        <f ca="1">IF($D10="","",SUMIF('TALLY BOX DUMP'!$1:$1,'ACH CALC'!AX$2,'TALLY BOX DUMP'!9:9))</f>
        <v>0</v>
      </c>
      <c r="AY10" s="21">
        <f ca="1">IF($D10="","",SUMIF('TALLY BOX DUMP'!$1:$1,'ACH CALC'!AY$2,'TALLY BOX DUMP'!9:9))</f>
        <v>0</v>
      </c>
      <c r="AZ10" s="21">
        <f ca="1">IF($D10="","",SUMIF('TALLY BOX DUMP'!$1:$1,'ACH CALC'!AZ$2,'TALLY BOX DUMP'!9:9))</f>
        <v>0</v>
      </c>
      <c r="BA10" s="69">
        <f>(SUMIF('TALLY KG DUMP'!$2:$2,"Qty",'TALLY KG DUMP'!9:9)/1000)-(SUMIF('TALLY KG DUMP'!$1:$1,"GL",'TALLY KG DUMP'!9:9)/1000)</f>
        <v>1.546</v>
      </c>
      <c r="BB10" s="21" t="b">
        <f t="shared" ca="1" si="2"/>
        <v>1</v>
      </c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</row>
    <row r="11" spans="2:79" x14ac:dyDescent="0.25">
      <c r="B11" s="21" t="str">
        <f ca="1"/>
        <v>8</v>
      </c>
      <c r="C11" s="21" t="str">
        <f ca="1"/>
        <v>SUN06870</v>
      </c>
      <c r="D11" s="21" t="str">
        <f ca="1"/>
        <v>GINGEE-YUVARAJ</v>
      </c>
      <c r="E11" s="21">
        <f ca="1">IF($D11="","",(SUMIF('TALLY KG DUMP'!$2:$2,"Qty",'TALLY KG DUMP'!10:10)/1000)-(SUMIF('TALLY KG DUMP'!$1:$1,"GL",'TALLY KG DUMP'!10:10)/1000))</f>
        <v>0</v>
      </c>
      <c r="F11" s="21">
        <f ca="1">IF($D11="","",(SUMIF('TALLY KG DUMP'!$1:$1,'ACH CALC'!F$2,'TALLY KG DUMP'!10:10)/1000))</f>
        <v>0</v>
      </c>
      <c r="G11" s="21">
        <f ca="1">IF($D11="","",SUMIF('TALLY BOX DUMP'!$1:$1,'ACH CALC'!G$2,'TALLY BOX DUMP'!10:10)+Y11)</f>
        <v>0</v>
      </c>
      <c r="H11" s="21">
        <f t="shared" ca="1" si="0"/>
        <v>0</v>
      </c>
      <c r="I11" s="21">
        <f ca="1">IF($D11="","",SUMIF('TALLY BOX DUMP'!$1:$1,'ACH CALC'!I$2,'TALLY BOX DUMP'!10:10)+AA11)</f>
        <v>0</v>
      </c>
      <c r="J11" s="21">
        <f ca="1">IF($D11="","",SUMIF('TALLY BOX DUMP'!$1:$1,'ACH CALC'!J$2,'TALLY BOX DUMP'!10:10)+AB11)</f>
        <v>0</v>
      </c>
      <c r="K11" s="21">
        <f ca="1">IF($D11="","",SUMIF('TALLY BOX DUMP'!$1:$1,'ACH CALC'!K$2,'TALLY BOX DUMP'!10:10)+AC11)</f>
        <v>0</v>
      </c>
      <c r="L11" s="21">
        <f ca="1">IF($D11="","",SUMIF('TALLY BOX DUMP'!$1:$1,'ACH CALC'!L$2,'TALLY BOX DUMP'!10:10))</f>
        <v>0</v>
      </c>
      <c r="M11" s="21">
        <f ca="1">IF($D11="","",SUMIF('TALLY BOX DUMP'!$1:$1,'ACH CALC'!M$2,'TALLY BOX DUMP'!10:10)+AD11)</f>
        <v>0</v>
      </c>
      <c r="N11" s="21">
        <f ca="1">IF($D11="","",SUMIF('TALLY BOX DUMP'!$1:$1,'ACH CALC'!N$2,'TALLY BOX DUMP'!10:10))</f>
        <v>0</v>
      </c>
      <c r="O11" s="21">
        <f ca="1">IF($D11="","",SUMIF('TALLY BOX DUMP'!$1:$1,'ACH CALC'!O$2,'TALLY BOX DUMP'!10:10))</f>
        <v>0</v>
      </c>
      <c r="P11" s="21">
        <f ca="1">IF($D11="","",SUMIF('TALLY BOX DUMP'!$1:$1,'ACH CALC'!P$2,'TALLY BOX DUMP'!10:10))</f>
        <v>0</v>
      </c>
      <c r="Q11" s="21">
        <f t="shared" ca="1" si="1"/>
        <v>0</v>
      </c>
      <c r="R11" s="21">
        <f ca="1">IF($D11="","",SUMIF('TALLY BOX DUMP'!$1:$1,'ACH CALC'!R$2,'TALLY BOX DUMP'!10:10))</f>
        <v>0</v>
      </c>
      <c r="S11" s="21">
        <f ca="1">IF($D11="","",SUMIF('TALLY BOX DUMP'!$1:$1,'ACH CALC'!S$2,'TALLY BOX DUMP'!10:10))</f>
        <v>0</v>
      </c>
      <c r="T11" s="21">
        <f ca="1">IF($D11="","",SUMIF('TALLY BOX DUMP'!$1:$1,'ACH CALC'!T$2,'TALLY BOX DUMP'!10:10))</f>
        <v>0</v>
      </c>
      <c r="U11" s="21">
        <f ca="1">IF($D11="","",SUMIF('TALLY BOX DUMP'!$1:$1,'ACH CALC'!U$2,'TALLY BOX DUMP'!10:10))</f>
        <v>0</v>
      </c>
      <c r="V11" s="21">
        <f ca="1">IF($D11="","",SUMIF('TALLY BOX DUMP'!$1:$1,'ACH CALC'!V$2,'TALLY BOX DUMP'!10:10))</f>
        <v>0</v>
      </c>
      <c r="W11" s="21">
        <f ca="1">IF($D11="","",SUMIF('TALLY BOX DUMP'!$1:$1,'ACH CALC'!W$2,'TALLY BOX DUMP'!10:10))</f>
        <v>0</v>
      </c>
      <c r="X11" s="21">
        <f ca="1">IF($D11="","",SUMIF('TALLY BOX DUMP'!$1:$1,'ACH CALC'!X$2,'TALLY BOX DUMP'!10:10))</f>
        <v>0</v>
      </c>
      <c r="Y11" s="21">
        <f ca="1">IF($D11="","",SUMIF('TALLY BOX DUMP'!$1:$1,'ACH CALC'!Y$2,'TALLY BOX DUMP'!10:10))</f>
        <v>0</v>
      </c>
      <c r="Z11" s="21">
        <f ca="1">IF($D11="","",SUMIF('TALLY BOX DUMP'!$1:$1,'ACH CALC'!Z$2,'TALLY BOX DUMP'!10:10)+AE11)</f>
        <v>0</v>
      </c>
      <c r="AA11" s="21">
        <f ca="1">IF($D11="","",SUMIF('TALLY BOX DUMP'!$1:$1,'ACH CALC'!AA$2,'TALLY BOX DUMP'!10:10))</f>
        <v>0</v>
      </c>
      <c r="AB11" s="21">
        <f ca="1">IF($D11="","",SUMIF('TALLY BOX DUMP'!$1:$1,'ACH CALC'!AB$2,'TALLY BOX DUMP'!10:10))</f>
        <v>0</v>
      </c>
      <c r="AC11" s="21">
        <f ca="1">IF($D11="","",SUMIF('TALLY BOX DUMP'!$1:$1,'ACH CALC'!AC$2,'TALLY BOX DUMP'!10:10))</f>
        <v>0</v>
      </c>
      <c r="AD11" s="21">
        <f ca="1">IF($D11="","",SUMIF('TALLY BOX DUMP'!$1:$1,'ACH CALC'!AD$2,'TALLY BOX DUMP'!10:10))</f>
        <v>0</v>
      </c>
      <c r="AE11" s="21">
        <f ca="1">IF($D11="","",SUMIF('TALLY BOX DUMP'!$1:$1,'ACH CALC'!AE$2,'TALLY BOX DUMP'!10:10))</f>
        <v>0</v>
      </c>
      <c r="AF11" s="21">
        <f ca="1">IF($D11="","",SUMIF('TALLY BOX DUMP'!$1:$1,'ACH CALC'!AF$2,'TALLY BOX DUMP'!10:10))</f>
        <v>0</v>
      </c>
      <c r="AG11" s="21">
        <f ca="1">IF($D11="","",SUMIF('TALLY BOX DUMP'!$1:$1,'ACH CALC'!AG$2,'TALLY BOX DUMP'!10:10))</f>
        <v>0</v>
      </c>
      <c r="AH11" s="21">
        <f ca="1">IF($D11="","",SUMIF('TALLY BOX DUMP'!$1:$1,'ACH CALC'!AH$2,'TALLY BOX DUMP'!10:10))</f>
        <v>0</v>
      </c>
      <c r="AI11" s="21">
        <f ca="1">IF($D11="","",SUMIF('TALLY BOX DUMP'!$1:$1,'ACH CALC'!AI$2,'TALLY BOX DUMP'!10:10))</f>
        <v>0</v>
      </c>
      <c r="AJ11" s="21">
        <f ca="1">IF($D11="","",SUMIF('TALLY BOX DUMP'!$1:$1,'ACH CALC'!AJ$2,'TALLY BOX DUMP'!10:10))</f>
        <v>0</v>
      </c>
      <c r="AK11" s="21">
        <f ca="1">IF($D11="","",SUMIF('TALLY BOX DUMP'!$1:$1,'ACH CALC'!AK$2,'TALLY BOX DUMP'!10:10))</f>
        <v>0</v>
      </c>
      <c r="AL11" s="21">
        <f ca="1">IF($D11="","",ROUND(SUMIF('TALLY KG DUMP'!$1:$1,'ACH CALC'!AL$2,'TALLY KG DUMP'!10:10)/30,1))</f>
        <v>0</v>
      </c>
      <c r="AM11" s="21">
        <f ca="1">IF($D11="","",SUMIF('TALLY BOX DUMP'!$1:$1,'ACH CALC'!AM$2,'TALLY BOX DUMP'!10:10))</f>
        <v>0</v>
      </c>
      <c r="AN11" s="21">
        <f ca="1">IF($D11="","",SUMIF('TALLY BOX DUMP'!$1:$1,'ACH CALC'!AN$2,'TALLY BOX DUMP'!10:10))</f>
        <v>0</v>
      </c>
      <c r="AO11" s="21">
        <f ca="1">IF($D11="","",SUMIF('TALLY BOX DUMP'!$1:$1,'ACH CALC'!AO$2,'TALLY BOX DUMP'!10:10))</f>
        <v>0</v>
      </c>
      <c r="AP11" s="21">
        <f ca="1">IF($D11="","",SUMIF('TALLY BOX DUMP'!$1:$1,'ACH CALC'!AP$2,'TALLY BOX DUMP'!10:10))</f>
        <v>0</v>
      </c>
      <c r="AQ11" s="21">
        <f ca="1">IF($D11="","",ROUND(SUMIF('TALLY KG DUMP'!$1:$1,'ACH CALC'!AQ$2,'TALLY KG DUMP'!10:10)/30,1))</f>
        <v>0</v>
      </c>
      <c r="AR11" s="21">
        <f ca="1">IF($D11="","",SUMIF('TALLY BOX DUMP'!$1:$1,'ACH CALC'!AR$2,'TALLY BOX DUMP'!10:10))</f>
        <v>0</v>
      </c>
      <c r="AS11" s="21">
        <f ca="1">IF($D11="","",SUMIF('TALLY BOX DUMP'!$1:$1,'ACH CALC'!AS$2,'TALLY BOX DUMP'!10:10))</f>
        <v>0</v>
      </c>
      <c r="AT11" s="21">
        <f ca="1">IF($D11="","",SUMIF('TALLY BOX DUMP'!$1:$1,'ACH CALC'!AT$2,'TALLY BOX DUMP'!10:10))</f>
        <v>0</v>
      </c>
      <c r="AU11" s="21">
        <f ca="1">IF($D11="","",SUMIF('TALLY BOX DUMP'!$1:$1,'ACH CALC'!AU$2,'TALLY BOX DUMP'!10:10))</f>
        <v>0</v>
      </c>
      <c r="AV11" s="21">
        <f ca="1">IF($D11="","",SUMIF('TALLY BOX DUMP'!$1:$1,'ACH CALC'!AV$2,'TALLY BOX DUMP'!10:10))</f>
        <v>0</v>
      </c>
      <c r="AW11" s="21">
        <f ca="1">IF($D11="","",SUMIF('TALLY BOX DUMP'!$1:$1,'ACH CALC'!AW$2,'TALLY BOX DUMP'!10:10))</f>
        <v>0</v>
      </c>
      <c r="AX11" s="21">
        <f ca="1">IF($D11="","",SUMIF('TALLY BOX DUMP'!$1:$1,'ACH CALC'!AX$2,'TALLY BOX DUMP'!10:10))</f>
        <v>0</v>
      </c>
      <c r="AY11" s="21">
        <f ca="1">IF($D11="","",SUMIF('TALLY BOX DUMP'!$1:$1,'ACH CALC'!AY$2,'TALLY BOX DUMP'!10:10))</f>
        <v>0</v>
      </c>
      <c r="AZ11" s="21">
        <f ca="1">IF($D11="","",SUMIF('TALLY BOX DUMP'!$1:$1,'ACH CALC'!AZ$2,'TALLY BOX DUMP'!10:10))</f>
        <v>0</v>
      </c>
      <c r="BA11" s="69">
        <f>(SUMIF('TALLY KG DUMP'!$2:$2,"Qty",'TALLY KG DUMP'!10:10)/1000)-(SUMIF('TALLY KG DUMP'!$1:$1,"GL",'TALLY KG DUMP'!10:10)/1000)</f>
        <v>0</v>
      </c>
      <c r="BB11" s="21" t="b">
        <f t="shared" ca="1" si="2"/>
        <v>1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</row>
    <row r="12" spans="2:79" x14ac:dyDescent="0.25">
      <c r="B12" s="21" t="str">
        <f ca="1"/>
        <v>9</v>
      </c>
      <c r="C12" s="21" t="str">
        <f ca="1"/>
        <v>SUN01151</v>
      </c>
      <c r="D12" s="21" t="str">
        <f ca="1"/>
        <v>GINGEE VRG AGENCY</v>
      </c>
      <c r="E12" s="21">
        <f ca="1">IF($D12="","",(SUMIF('TALLY KG DUMP'!$2:$2,"Qty",'TALLY KG DUMP'!11:11)/1000)-(SUMIF('TALLY KG DUMP'!$1:$1,"GL",'TALLY KG DUMP'!11:11)/1000))</f>
        <v>0</v>
      </c>
      <c r="F12" s="21">
        <f ca="1">IF($D12="","",(SUMIF('TALLY KG DUMP'!$1:$1,'ACH CALC'!F$2,'TALLY KG DUMP'!11:11)/1000))</f>
        <v>0</v>
      </c>
      <c r="G12" s="21">
        <f ca="1">IF($D12="","",SUMIF('TALLY BOX DUMP'!$1:$1,'ACH CALC'!G$2,'TALLY BOX DUMP'!11:11)+Y12)</f>
        <v>0</v>
      </c>
      <c r="H12" s="21">
        <f t="shared" ca="1" si="0"/>
        <v>0</v>
      </c>
      <c r="I12" s="21">
        <f ca="1">IF($D12="","",SUMIF('TALLY BOX DUMP'!$1:$1,'ACH CALC'!I$2,'TALLY BOX DUMP'!11:11)+AA12)</f>
        <v>0</v>
      </c>
      <c r="J12" s="21">
        <f ca="1">IF($D12="","",SUMIF('TALLY BOX DUMP'!$1:$1,'ACH CALC'!J$2,'TALLY BOX DUMP'!11:11)+AB12)</f>
        <v>0</v>
      </c>
      <c r="K12" s="21">
        <f ca="1">IF($D12="","",SUMIF('TALLY BOX DUMP'!$1:$1,'ACH CALC'!K$2,'TALLY BOX DUMP'!11:11)+AC12)</f>
        <v>0</v>
      </c>
      <c r="L12" s="21">
        <f ca="1">IF($D12="","",SUMIF('TALLY BOX DUMP'!$1:$1,'ACH CALC'!L$2,'TALLY BOX DUMP'!11:11))</f>
        <v>0</v>
      </c>
      <c r="M12" s="21">
        <f ca="1">IF($D12="","",SUMIF('TALLY BOX DUMP'!$1:$1,'ACH CALC'!M$2,'TALLY BOX DUMP'!11:11)+AD12)</f>
        <v>0</v>
      </c>
      <c r="N12" s="21">
        <f ca="1">IF($D12="","",SUMIF('TALLY BOX DUMP'!$1:$1,'ACH CALC'!N$2,'TALLY BOX DUMP'!11:11))</f>
        <v>0</v>
      </c>
      <c r="O12" s="21">
        <f ca="1">IF($D12="","",SUMIF('TALLY BOX DUMP'!$1:$1,'ACH CALC'!O$2,'TALLY BOX DUMP'!11:11))</f>
        <v>0</v>
      </c>
      <c r="P12" s="21">
        <f ca="1">IF($D12="","",SUMIF('TALLY BOX DUMP'!$1:$1,'ACH CALC'!P$2,'TALLY BOX DUMP'!11:11))</f>
        <v>0</v>
      </c>
      <c r="Q12" s="21">
        <f t="shared" ca="1" si="1"/>
        <v>0</v>
      </c>
      <c r="R12" s="21">
        <f ca="1">IF($D12="","",SUMIF('TALLY BOX DUMP'!$1:$1,'ACH CALC'!R$2,'TALLY BOX DUMP'!11:11))</f>
        <v>0</v>
      </c>
      <c r="S12" s="21">
        <f ca="1">IF($D12="","",SUMIF('TALLY BOX DUMP'!$1:$1,'ACH CALC'!S$2,'TALLY BOX DUMP'!11:11))</f>
        <v>0</v>
      </c>
      <c r="T12" s="21">
        <f ca="1">IF($D12="","",SUMIF('TALLY BOX DUMP'!$1:$1,'ACH CALC'!T$2,'TALLY BOX DUMP'!11:11))</f>
        <v>0</v>
      </c>
      <c r="U12" s="21">
        <f ca="1">IF($D12="","",SUMIF('TALLY BOX DUMP'!$1:$1,'ACH CALC'!U$2,'TALLY BOX DUMP'!11:11))</f>
        <v>0</v>
      </c>
      <c r="V12" s="21">
        <f ca="1">IF($D12="","",SUMIF('TALLY BOX DUMP'!$1:$1,'ACH CALC'!V$2,'TALLY BOX DUMP'!11:11))</f>
        <v>0</v>
      </c>
      <c r="W12" s="21">
        <f ca="1">IF($D12="","",SUMIF('TALLY BOX DUMP'!$1:$1,'ACH CALC'!W$2,'TALLY BOX DUMP'!11:11))</f>
        <v>0</v>
      </c>
      <c r="X12" s="21">
        <f ca="1">IF($D12="","",SUMIF('TALLY BOX DUMP'!$1:$1,'ACH CALC'!X$2,'TALLY BOX DUMP'!11:11))</f>
        <v>0</v>
      </c>
      <c r="Y12" s="21">
        <f ca="1">IF($D12="","",SUMIF('TALLY BOX DUMP'!$1:$1,'ACH CALC'!Y$2,'TALLY BOX DUMP'!11:11))</f>
        <v>0</v>
      </c>
      <c r="Z12" s="21">
        <f ca="1">IF($D12="","",SUMIF('TALLY BOX DUMP'!$1:$1,'ACH CALC'!Z$2,'TALLY BOX DUMP'!11:11)+AE12)</f>
        <v>0</v>
      </c>
      <c r="AA12" s="21">
        <f ca="1">IF($D12="","",SUMIF('TALLY BOX DUMP'!$1:$1,'ACH CALC'!AA$2,'TALLY BOX DUMP'!11:11))</f>
        <v>0</v>
      </c>
      <c r="AB12" s="21">
        <f ca="1">IF($D12="","",SUMIF('TALLY BOX DUMP'!$1:$1,'ACH CALC'!AB$2,'TALLY BOX DUMP'!11:11))</f>
        <v>0</v>
      </c>
      <c r="AC12" s="21">
        <f ca="1">IF($D12="","",SUMIF('TALLY BOX DUMP'!$1:$1,'ACH CALC'!AC$2,'TALLY BOX DUMP'!11:11))</f>
        <v>0</v>
      </c>
      <c r="AD12" s="21">
        <f ca="1">IF($D12="","",SUMIF('TALLY BOX DUMP'!$1:$1,'ACH CALC'!AD$2,'TALLY BOX DUMP'!11:11))</f>
        <v>0</v>
      </c>
      <c r="AE12" s="21">
        <f ca="1">IF($D12="","",SUMIF('TALLY BOX DUMP'!$1:$1,'ACH CALC'!AE$2,'TALLY BOX DUMP'!11:11))</f>
        <v>0</v>
      </c>
      <c r="AF12" s="21">
        <f ca="1">IF($D12="","",SUMIF('TALLY BOX DUMP'!$1:$1,'ACH CALC'!AF$2,'TALLY BOX DUMP'!11:11))</f>
        <v>0</v>
      </c>
      <c r="AG12" s="21">
        <f ca="1">IF($D12="","",SUMIF('TALLY BOX DUMP'!$1:$1,'ACH CALC'!AG$2,'TALLY BOX DUMP'!11:11))</f>
        <v>0</v>
      </c>
      <c r="AH12" s="21">
        <f ca="1">IF($D12="","",SUMIF('TALLY BOX DUMP'!$1:$1,'ACH CALC'!AH$2,'TALLY BOX DUMP'!11:11))</f>
        <v>0</v>
      </c>
      <c r="AI12" s="21">
        <f ca="1">IF($D12="","",SUMIF('TALLY BOX DUMP'!$1:$1,'ACH CALC'!AI$2,'TALLY BOX DUMP'!11:11))</f>
        <v>0</v>
      </c>
      <c r="AJ12" s="21">
        <f ca="1">IF($D12="","",SUMIF('TALLY BOX DUMP'!$1:$1,'ACH CALC'!AJ$2,'TALLY BOX DUMP'!11:11))</f>
        <v>0</v>
      </c>
      <c r="AK12" s="21">
        <f ca="1">IF($D12="","",SUMIF('TALLY BOX DUMP'!$1:$1,'ACH CALC'!AK$2,'TALLY BOX DUMP'!11:11))</f>
        <v>0</v>
      </c>
      <c r="AL12" s="21">
        <f ca="1">IF($D12="","",ROUND(SUMIF('TALLY KG DUMP'!$1:$1,'ACH CALC'!AL$2,'TALLY KG DUMP'!11:11)/30,1))</f>
        <v>0</v>
      </c>
      <c r="AM12" s="21">
        <f ca="1">IF($D12="","",SUMIF('TALLY BOX DUMP'!$1:$1,'ACH CALC'!AM$2,'TALLY BOX DUMP'!11:11))</f>
        <v>0</v>
      </c>
      <c r="AN12" s="21">
        <f ca="1">IF($D12="","",SUMIF('TALLY BOX DUMP'!$1:$1,'ACH CALC'!AN$2,'TALLY BOX DUMP'!11:11))</f>
        <v>0</v>
      </c>
      <c r="AO12" s="21">
        <f ca="1">IF($D12="","",SUMIF('TALLY BOX DUMP'!$1:$1,'ACH CALC'!AO$2,'TALLY BOX DUMP'!11:11))</f>
        <v>0</v>
      </c>
      <c r="AP12" s="21">
        <f ca="1">IF($D12="","",SUMIF('TALLY BOX DUMP'!$1:$1,'ACH CALC'!AP$2,'TALLY BOX DUMP'!11:11))</f>
        <v>0</v>
      </c>
      <c r="AQ12" s="21">
        <f ca="1">IF($D12="","",ROUND(SUMIF('TALLY KG DUMP'!$1:$1,'ACH CALC'!AQ$2,'TALLY KG DUMP'!11:11)/30,1))</f>
        <v>0</v>
      </c>
      <c r="AR12" s="21">
        <f ca="1">IF($D12="","",SUMIF('TALLY BOX DUMP'!$1:$1,'ACH CALC'!AR$2,'TALLY BOX DUMP'!11:11))</f>
        <v>0</v>
      </c>
      <c r="AS12" s="21">
        <f ca="1">IF($D12="","",SUMIF('TALLY BOX DUMP'!$1:$1,'ACH CALC'!AS$2,'TALLY BOX DUMP'!11:11))</f>
        <v>0</v>
      </c>
      <c r="AT12" s="21">
        <f ca="1">IF($D12="","",SUMIF('TALLY BOX DUMP'!$1:$1,'ACH CALC'!AT$2,'TALLY BOX DUMP'!11:11))</f>
        <v>0</v>
      </c>
      <c r="AU12" s="21">
        <f ca="1">IF($D12="","",SUMIF('TALLY BOX DUMP'!$1:$1,'ACH CALC'!AU$2,'TALLY BOX DUMP'!11:11))</f>
        <v>0</v>
      </c>
      <c r="AV12" s="21">
        <f ca="1">IF($D12="","",SUMIF('TALLY BOX DUMP'!$1:$1,'ACH CALC'!AV$2,'TALLY BOX DUMP'!11:11))</f>
        <v>0</v>
      </c>
      <c r="AW12" s="21">
        <f ca="1">IF($D12="","",SUMIF('TALLY BOX DUMP'!$1:$1,'ACH CALC'!AW$2,'TALLY BOX DUMP'!11:11))</f>
        <v>0</v>
      </c>
      <c r="AX12" s="21">
        <f ca="1">IF($D12="","",SUMIF('TALLY BOX DUMP'!$1:$1,'ACH CALC'!AX$2,'TALLY BOX DUMP'!11:11))</f>
        <v>0</v>
      </c>
      <c r="AY12" s="21">
        <f ca="1">IF($D12="","",SUMIF('TALLY BOX DUMP'!$1:$1,'ACH CALC'!AY$2,'TALLY BOX DUMP'!11:11))</f>
        <v>0</v>
      </c>
      <c r="AZ12" s="21">
        <f ca="1">IF($D12="","",SUMIF('TALLY BOX DUMP'!$1:$1,'ACH CALC'!AZ$2,'TALLY BOX DUMP'!11:11))</f>
        <v>0</v>
      </c>
      <c r="BA12" s="69">
        <f>(SUMIF('TALLY KG DUMP'!$2:$2,"Qty",'TALLY KG DUMP'!11:11)/1000)-(SUMIF('TALLY KG DUMP'!$1:$1,"GL",'TALLY KG DUMP'!11:11)/1000)</f>
        <v>0</v>
      </c>
      <c r="BB12" s="21" t="b">
        <f t="shared" ca="1" si="2"/>
        <v>1</v>
      </c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</row>
    <row r="13" spans="2:79" x14ac:dyDescent="0.25">
      <c r="B13" s="21" t="str">
        <f ca="1"/>
        <v>10</v>
      </c>
      <c r="C13" s="21" t="str">
        <f ca="1"/>
        <v>SUN06631</v>
      </c>
      <c r="D13" s="21" t="str">
        <f ca="1"/>
        <v>GINGEE-B H K MALIGAI STORE</v>
      </c>
      <c r="E13" s="21">
        <f ca="1">IF($D13="","",(SUMIF('TALLY KG DUMP'!$2:$2,"Qty",'TALLY KG DUMP'!12:12)/1000)-(SUMIF('TALLY KG DUMP'!$1:$1,"GL",'TALLY KG DUMP'!12:12)/1000))</f>
        <v>0</v>
      </c>
      <c r="F13" s="21">
        <f ca="1">IF($D13="","",(SUMIF('TALLY KG DUMP'!$1:$1,'ACH CALC'!F$2,'TALLY KG DUMP'!12:12)/1000))</f>
        <v>0</v>
      </c>
      <c r="G13" s="21">
        <f ca="1">IF($D13="","",SUMIF('TALLY BOX DUMP'!$1:$1,'ACH CALC'!G$2,'TALLY BOX DUMP'!12:12)+Y13)</f>
        <v>0</v>
      </c>
      <c r="H13" s="21">
        <f t="shared" ca="1" si="0"/>
        <v>0</v>
      </c>
      <c r="I13" s="21">
        <f ca="1">IF($D13="","",SUMIF('TALLY BOX DUMP'!$1:$1,'ACH CALC'!I$2,'TALLY BOX DUMP'!12:12)+AA13)</f>
        <v>0</v>
      </c>
      <c r="J13" s="21">
        <f ca="1">IF($D13="","",SUMIF('TALLY BOX DUMP'!$1:$1,'ACH CALC'!J$2,'TALLY BOX DUMP'!12:12)+AB13)</f>
        <v>0</v>
      </c>
      <c r="K13" s="21">
        <f ca="1">IF($D13="","",SUMIF('TALLY BOX DUMP'!$1:$1,'ACH CALC'!K$2,'TALLY BOX DUMP'!12:12)+AC13)</f>
        <v>0</v>
      </c>
      <c r="L13" s="21">
        <f ca="1">IF($D13="","",SUMIF('TALLY BOX DUMP'!$1:$1,'ACH CALC'!L$2,'TALLY BOX DUMP'!12:12))</f>
        <v>0</v>
      </c>
      <c r="M13" s="21">
        <f ca="1">IF($D13="","",SUMIF('TALLY BOX DUMP'!$1:$1,'ACH CALC'!M$2,'TALLY BOX DUMP'!12:12)+AD13)</f>
        <v>0</v>
      </c>
      <c r="N13" s="21">
        <f ca="1">IF($D13="","",SUMIF('TALLY BOX DUMP'!$1:$1,'ACH CALC'!N$2,'TALLY BOX DUMP'!12:12))</f>
        <v>0</v>
      </c>
      <c r="O13" s="21">
        <f ca="1">IF($D13="","",SUMIF('TALLY BOX DUMP'!$1:$1,'ACH CALC'!O$2,'TALLY BOX DUMP'!12:12))</f>
        <v>0</v>
      </c>
      <c r="P13" s="21">
        <f ca="1">IF($D13="","",SUMIF('TALLY BOX DUMP'!$1:$1,'ACH CALC'!P$2,'TALLY BOX DUMP'!12:12))</f>
        <v>0</v>
      </c>
      <c r="Q13" s="21">
        <f t="shared" ca="1" si="1"/>
        <v>0</v>
      </c>
      <c r="R13" s="21">
        <f ca="1">IF($D13="","",SUMIF('TALLY BOX DUMP'!$1:$1,'ACH CALC'!R$2,'TALLY BOX DUMP'!12:12))</f>
        <v>0</v>
      </c>
      <c r="S13" s="21">
        <f ca="1">IF($D13="","",SUMIF('TALLY BOX DUMP'!$1:$1,'ACH CALC'!S$2,'TALLY BOX DUMP'!12:12))</f>
        <v>0</v>
      </c>
      <c r="T13" s="21">
        <f ca="1">IF($D13="","",SUMIF('TALLY BOX DUMP'!$1:$1,'ACH CALC'!T$2,'TALLY BOX DUMP'!12:12))</f>
        <v>0</v>
      </c>
      <c r="U13" s="21">
        <f ca="1">IF($D13="","",SUMIF('TALLY BOX DUMP'!$1:$1,'ACH CALC'!U$2,'TALLY BOX DUMP'!12:12))</f>
        <v>0</v>
      </c>
      <c r="V13" s="21">
        <f ca="1">IF($D13="","",SUMIF('TALLY BOX DUMP'!$1:$1,'ACH CALC'!V$2,'TALLY BOX DUMP'!12:12))</f>
        <v>0</v>
      </c>
      <c r="W13" s="21">
        <f ca="1">IF($D13="","",SUMIF('TALLY BOX DUMP'!$1:$1,'ACH CALC'!W$2,'TALLY BOX DUMP'!12:12))</f>
        <v>0</v>
      </c>
      <c r="X13" s="21">
        <f ca="1">IF($D13="","",SUMIF('TALLY BOX DUMP'!$1:$1,'ACH CALC'!X$2,'TALLY BOX DUMP'!12:12))</f>
        <v>0</v>
      </c>
      <c r="Y13" s="21">
        <f ca="1">IF($D13="","",SUMIF('TALLY BOX DUMP'!$1:$1,'ACH CALC'!Y$2,'TALLY BOX DUMP'!12:12))</f>
        <v>0</v>
      </c>
      <c r="Z13" s="21">
        <f ca="1">IF($D13="","",SUMIF('TALLY BOX DUMP'!$1:$1,'ACH CALC'!Z$2,'TALLY BOX DUMP'!12:12)+AE13)</f>
        <v>0</v>
      </c>
      <c r="AA13" s="21">
        <f ca="1">IF($D13="","",SUMIF('TALLY BOX DUMP'!$1:$1,'ACH CALC'!AA$2,'TALLY BOX DUMP'!12:12))</f>
        <v>0</v>
      </c>
      <c r="AB13" s="21">
        <f ca="1">IF($D13="","",SUMIF('TALLY BOX DUMP'!$1:$1,'ACH CALC'!AB$2,'TALLY BOX DUMP'!12:12))</f>
        <v>0</v>
      </c>
      <c r="AC13" s="21">
        <f ca="1">IF($D13="","",SUMIF('TALLY BOX DUMP'!$1:$1,'ACH CALC'!AC$2,'TALLY BOX DUMP'!12:12))</f>
        <v>0</v>
      </c>
      <c r="AD13" s="21">
        <f ca="1">IF($D13="","",SUMIF('TALLY BOX DUMP'!$1:$1,'ACH CALC'!AD$2,'TALLY BOX DUMP'!12:12))</f>
        <v>0</v>
      </c>
      <c r="AE13" s="21">
        <f ca="1">IF($D13="","",SUMIF('TALLY BOX DUMP'!$1:$1,'ACH CALC'!AE$2,'TALLY BOX DUMP'!12:12))</f>
        <v>0</v>
      </c>
      <c r="AF13" s="21">
        <f ca="1">IF($D13="","",SUMIF('TALLY BOX DUMP'!$1:$1,'ACH CALC'!AF$2,'TALLY BOX DUMP'!12:12))</f>
        <v>0</v>
      </c>
      <c r="AG13" s="21">
        <f ca="1">IF($D13="","",SUMIF('TALLY BOX DUMP'!$1:$1,'ACH CALC'!AG$2,'TALLY BOX DUMP'!12:12))</f>
        <v>0</v>
      </c>
      <c r="AH13" s="21">
        <f ca="1">IF($D13="","",SUMIF('TALLY BOX DUMP'!$1:$1,'ACH CALC'!AH$2,'TALLY BOX DUMP'!12:12))</f>
        <v>0</v>
      </c>
      <c r="AI13" s="21">
        <f ca="1">IF($D13="","",SUMIF('TALLY BOX DUMP'!$1:$1,'ACH CALC'!AI$2,'TALLY BOX DUMP'!12:12))</f>
        <v>0</v>
      </c>
      <c r="AJ13" s="21">
        <f ca="1">IF($D13="","",SUMIF('TALLY BOX DUMP'!$1:$1,'ACH CALC'!AJ$2,'TALLY BOX DUMP'!12:12))</f>
        <v>0</v>
      </c>
      <c r="AK13" s="21">
        <f ca="1">IF($D13="","",SUMIF('TALLY BOX DUMP'!$1:$1,'ACH CALC'!AK$2,'TALLY BOX DUMP'!12:12))</f>
        <v>0</v>
      </c>
      <c r="AL13" s="21">
        <f ca="1">IF($D13="","",ROUND(SUMIF('TALLY KG DUMP'!$1:$1,'ACH CALC'!AL$2,'TALLY KG DUMP'!12:12)/30,1))</f>
        <v>0</v>
      </c>
      <c r="AM13" s="21">
        <f ca="1">IF($D13="","",SUMIF('TALLY BOX DUMP'!$1:$1,'ACH CALC'!AM$2,'TALLY BOX DUMP'!12:12))</f>
        <v>0</v>
      </c>
      <c r="AN13" s="21">
        <f ca="1">IF($D13="","",SUMIF('TALLY BOX DUMP'!$1:$1,'ACH CALC'!AN$2,'TALLY BOX DUMP'!12:12))</f>
        <v>0</v>
      </c>
      <c r="AO13" s="21">
        <f ca="1">IF($D13="","",SUMIF('TALLY BOX DUMP'!$1:$1,'ACH CALC'!AO$2,'TALLY BOX DUMP'!12:12))</f>
        <v>0</v>
      </c>
      <c r="AP13" s="21">
        <f ca="1">IF($D13="","",SUMIF('TALLY BOX DUMP'!$1:$1,'ACH CALC'!AP$2,'TALLY BOX DUMP'!12:12))</f>
        <v>0</v>
      </c>
      <c r="AQ13" s="21">
        <f ca="1">IF($D13="","",ROUND(SUMIF('TALLY KG DUMP'!$1:$1,'ACH CALC'!AQ$2,'TALLY KG DUMP'!12:12)/30,1))</f>
        <v>0</v>
      </c>
      <c r="AR13" s="21">
        <f ca="1">IF($D13="","",SUMIF('TALLY BOX DUMP'!$1:$1,'ACH CALC'!AR$2,'TALLY BOX DUMP'!12:12))</f>
        <v>0</v>
      </c>
      <c r="AS13" s="21">
        <f ca="1">IF($D13="","",SUMIF('TALLY BOX DUMP'!$1:$1,'ACH CALC'!AS$2,'TALLY BOX DUMP'!12:12))</f>
        <v>0</v>
      </c>
      <c r="AT13" s="21">
        <f ca="1">IF($D13="","",SUMIF('TALLY BOX DUMP'!$1:$1,'ACH CALC'!AT$2,'TALLY BOX DUMP'!12:12))</f>
        <v>0</v>
      </c>
      <c r="AU13" s="21">
        <f ca="1">IF($D13="","",SUMIF('TALLY BOX DUMP'!$1:$1,'ACH CALC'!AU$2,'TALLY BOX DUMP'!12:12))</f>
        <v>0</v>
      </c>
      <c r="AV13" s="21">
        <f ca="1">IF($D13="","",SUMIF('TALLY BOX DUMP'!$1:$1,'ACH CALC'!AV$2,'TALLY BOX DUMP'!12:12))</f>
        <v>0</v>
      </c>
      <c r="AW13" s="21">
        <f ca="1">IF($D13="","",SUMIF('TALLY BOX DUMP'!$1:$1,'ACH CALC'!AW$2,'TALLY BOX DUMP'!12:12))</f>
        <v>0</v>
      </c>
      <c r="AX13" s="21">
        <f ca="1">IF($D13="","",SUMIF('TALLY BOX DUMP'!$1:$1,'ACH CALC'!AX$2,'TALLY BOX DUMP'!12:12))</f>
        <v>0</v>
      </c>
      <c r="AY13" s="21">
        <f ca="1">IF($D13="","",SUMIF('TALLY BOX DUMP'!$1:$1,'ACH CALC'!AY$2,'TALLY BOX DUMP'!12:12))</f>
        <v>0</v>
      </c>
      <c r="AZ13" s="21">
        <f ca="1">IF($D13="","",SUMIF('TALLY BOX DUMP'!$1:$1,'ACH CALC'!AZ$2,'TALLY BOX DUMP'!12:12))</f>
        <v>0</v>
      </c>
      <c r="BA13" s="69">
        <f>(SUMIF('TALLY KG DUMP'!$2:$2,"Qty",'TALLY KG DUMP'!12:12)/1000)-(SUMIF('TALLY KG DUMP'!$1:$1,"GL",'TALLY KG DUMP'!12:12)/1000)</f>
        <v>0</v>
      </c>
      <c r="BB13" s="21" t="b">
        <f t="shared" ca="1" si="2"/>
        <v>1</v>
      </c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</row>
    <row r="14" spans="2:79" x14ac:dyDescent="0.25">
      <c r="B14" s="21" t="str">
        <f ca="1"/>
        <v>11</v>
      </c>
      <c r="C14" s="21" t="str">
        <f ca="1"/>
        <v>SUN07443</v>
      </c>
      <c r="D14" s="21" t="str">
        <f ca="1"/>
        <v>SANKARAPURAM-MADURA MARKETTING</v>
      </c>
      <c r="E14" s="21">
        <f ca="1">IF($D14="","",(SUMIF('TALLY KG DUMP'!$2:$2,"Qty",'TALLY KG DUMP'!13:13)/1000)-(SUMIF('TALLY KG DUMP'!$1:$1,"GL",'TALLY KG DUMP'!13:13)/1000))</f>
        <v>3.5000000000000003E-2</v>
      </c>
      <c r="F14" s="21">
        <f ca="1">IF($D14="","",(SUMIF('TALLY KG DUMP'!$1:$1,'ACH CALC'!F$2,'TALLY KG DUMP'!13:13)/1000))</f>
        <v>0</v>
      </c>
      <c r="G14" s="21">
        <f ca="1">IF($D14="","",SUMIF('TALLY BOX DUMP'!$1:$1,'ACH CALC'!G$2,'TALLY BOX DUMP'!13:13)+Y14)</f>
        <v>0</v>
      </c>
      <c r="H14" s="21">
        <f t="shared" ca="1" si="0"/>
        <v>0</v>
      </c>
      <c r="I14" s="21">
        <f ca="1">IF($D14="","",SUMIF('TALLY BOX DUMP'!$1:$1,'ACH CALC'!I$2,'TALLY BOX DUMP'!13:13)+AA14)</f>
        <v>0</v>
      </c>
      <c r="J14" s="21">
        <f ca="1">IF($D14="","",SUMIF('TALLY BOX DUMP'!$1:$1,'ACH CALC'!J$2,'TALLY BOX DUMP'!13:13)+AB14)</f>
        <v>0</v>
      </c>
      <c r="K14" s="21">
        <f ca="1">IF($D14="","",SUMIF('TALLY BOX DUMP'!$1:$1,'ACH CALC'!K$2,'TALLY BOX DUMP'!13:13)+AC14)</f>
        <v>0</v>
      </c>
      <c r="L14" s="21">
        <f ca="1">IF($D14="","",SUMIF('TALLY BOX DUMP'!$1:$1,'ACH CALC'!L$2,'TALLY BOX DUMP'!13:13))</f>
        <v>0</v>
      </c>
      <c r="M14" s="21">
        <f ca="1">IF($D14="","",SUMIF('TALLY BOX DUMP'!$1:$1,'ACH CALC'!M$2,'TALLY BOX DUMP'!13:13)+AD14)</f>
        <v>0</v>
      </c>
      <c r="N14" s="21">
        <f ca="1">IF($D14="","",SUMIF('TALLY BOX DUMP'!$1:$1,'ACH CALC'!N$2,'TALLY BOX DUMP'!13:13))</f>
        <v>0</v>
      </c>
      <c r="O14" s="21">
        <f ca="1">IF($D14="","",SUMIF('TALLY BOX DUMP'!$1:$1,'ACH CALC'!O$2,'TALLY BOX DUMP'!13:13))</f>
        <v>0</v>
      </c>
      <c r="P14" s="21">
        <f ca="1">IF($D14="","",SUMIF('TALLY BOX DUMP'!$1:$1,'ACH CALC'!P$2,'TALLY BOX DUMP'!13:13))</f>
        <v>0</v>
      </c>
      <c r="Q14" s="21">
        <f t="shared" ca="1" si="1"/>
        <v>0</v>
      </c>
      <c r="R14" s="21">
        <f ca="1">IF($D14="","",SUMIF('TALLY BOX DUMP'!$1:$1,'ACH CALC'!R$2,'TALLY BOX DUMP'!13:13))</f>
        <v>0</v>
      </c>
      <c r="S14" s="21">
        <f ca="1">IF($D14="","",SUMIF('TALLY BOX DUMP'!$1:$1,'ACH CALC'!S$2,'TALLY BOX DUMP'!13:13))</f>
        <v>0</v>
      </c>
      <c r="T14" s="21">
        <f ca="1">IF($D14="","",SUMIF('TALLY BOX DUMP'!$1:$1,'ACH CALC'!T$2,'TALLY BOX DUMP'!13:13))</f>
        <v>0</v>
      </c>
      <c r="U14" s="21">
        <f ca="1">IF($D14="","",SUMIF('TALLY BOX DUMP'!$1:$1,'ACH CALC'!U$2,'TALLY BOX DUMP'!13:13))</f>
        <v>0</v>
      </c>
      <c r="V14" s="21">
        <f ca="1">IF($D14="","",SUMIF('TALLY BOX DUMP'!$1:$1,'ACH CALC'!V$2,'TALLY BOX DUMP'!13:13))</f>
        <v>0</v>
      </c>
      <c r="W14" s="21">
        <f ca="1">IF($D14="","",SUMIF('TALLY BOX DUMP'!$1:$1,'ACH CALC'!W$2,'TALLY BOX DUMP'!13:13))</f>
        <v>0</v>
      </c>
      <c r="X14" s="21">
        <f ca="1">IF($D14="","",SUMIF('TALLY BOX DUMP'!$1:$1,'ACH CALC'!X$2,'TALLY BOX DUMP'!13:13))</f>
        <v>0</v>
      </c>
      <c r="Y14" s="21">
        <f ca="1">IF($D14="","",SUMIF('TALLY BOX DUMP'!$1:$1,'ACH CALC'!Y$2,'TALLY BOX DUMP'!13:13))</f>
        <v>0</v>
      </c>
      <c r="Z14" s="21">
        <f ca="1">IF($D14="","",SUMIF('TALLY BOX DUMP'!$1:$1,'ACH CALC'!Z$2,'TALLY BOX DUMP'!13:13)+AE14)</f>
        <v>0</v>
      </c>
      <c r="AA14" s="21">
        <f ca="1">IF($D14="","",SUMIF('TALLY BOX DUMP'!$1:$1,'ACH CALC'!AA$2,'TALLY BOX DUMP'!13:13))</f>
        <v>0</v>
      </c>
      <c r="AB14" s="21">
        <f ca="1">IF($D14="","",SUMIF('TALLY BOX DUMP'!$1:$1,'ACH CALC'!AB$2,'TALLY BOX DUMP'!13:13))</f>
        <v>0</v>
      </c>
      <c r="AC14" s="21">
        <f ca="1">IF($D14="","",SUMIF('TALLY BOX DUMP'!$1:$1,'ACH CALC'!AC$2,'TALLY BOX DUMP'!13:13))</f>
        <v>0</v>
      </c>
      <c r="AD14" s="21">
        <f ca="1">IF($D14="","",SUMIF('TALLY BOX DUMP'!$1:$1,'ACH CALC'!AD$2,'TALLY BOX DUMP'!13:13))</f>
        <v>0</v>
      </c>
      <c r="AE14" s="21">
        <f ca="1">IF($D14="","",SUMIF('TALLY BOX DUMP'!$1:$1,'ACH CALC'!AE$2,'TALLY BOX DUMP'!13:13))</f>
        <v>0</v>
      </c>
      <c r="AF14" s="21">
        <f ca="1">IF($D14="","",SUMIF('TALLY BOX DUMP'!$1:$1,'ACH CALC'!AF$2,'TALLY BOX DUMP'!13:13))</f>
        <v>0</v>
      </c>
      <c r="AG14" s="21">
        <f ca="1">IF($D14="","",SUMIF('TALLY BOX DUMP'!$1:$1,'ACH CALC'!AG$2,'TALLY BOX DUMP'!13:13))</f>
        <v>0</v>
      </c>
      <c r="AH14" s="21">
        <f ca="1">IF($D14="","",SUMIF('TALLY BOX DUMP'!$1:$1,'ACH CALC'!AH$2,'TALLY BOX DUMP'!13:13))</f>
        <v>0</v>
      </c>
      <c r="AI14" s="21">
        <f ca="1">IF($D14="","",SUMIF('TALLY BOX DUMP'!$1:$1,'ACH CALC'!AI$2,'TALLY BOX DUMP'!13:13))</f>
        <v>0</v>
      </c>
      <c r="AJ14" s="21">
        <f ca="1">IF($D14="","",SUMIF('TALLY BOX DUMP'!$1:$1,'ACH CALC'!AJ$2,'TALLY BOX DUMP'!13:13))</f>
        <v>0</v>
      </c>
      <c r="AK14" s="21">
        <f ca="1">IF($D14="","",SUMIF('TALLY BOX DUMP'!$1:$1,'ACH CALC'!AK$2,'TALLY BOX DUMP'!13:13))</f>
        <v>0</v>
      </c>
      <c r="AL14" s="21">
        <f ca="1">IF($D14="","",ROUND(SUMIF('TALLY KG DUMP'!$1:$1,'ACH CALC'!AL$2,'TALLY KG DUMP'!13:13)/30,1))</f>
        <v>0</v>
      </c>
      <c r="AM14" s="21">
        <f ca="1">IF($D14="","",SUMIF('TALLY BOX DUMP'!$1:$1,'ACH CALC'!AM$2,'TALLY BOX DUMP'!13:13))</f>
        <v>4</v>
      </c>
      <c r="AN14" s="21">
        <f ca="1">IF($D14="","",SUMIF('TALLY BOX DUMP'!$1:$1,'ACH CALC'!AN$2,'TALLY BOX DUMP'!13:13))</f>
        <v>0</v>
      </c>
      <c r="AO14" s="21">
        <f ca="1">IF($D14="","",SUMIF('TALLY BOX DUMP'!$1:$1,'ACH CALC'!AO$2,'TALLY BOX DUMP'!13:13))</f>
        <v>2</v>
      </c>
      <c r="AP14" s="21">
        <f ca="1">IF($D14="","",SUMIF('TALLY BOX DUMP'!$1:$1,'ACH CALC'!AP$2,'TALLY BOX DUMP'!13:13))</f>
        <v>0</v>
      </c>
      <c r="AQ14" s="21">
        <f ca="1">IF($D14="","",ROUND(SUMIF('TALLY KG DUMP'!$1:$1,'ACH CALC'!AQ$2,'TALLY KG DUMP'!13:13)/30,1))</f>
        <v>0</v>
      </c>
      <c r="AR14" s="21">
        <f ca="1">IF($D14="","",SUMIF('TALLY BOX DUMP'!$1:$1,'ACH CALC'!AR$2,'TALLY BOX DUMP'!13:13))</f>
        <v>0</v>
      </c>
      <c r="AS14" s="21">
        <f ca="1">IF($D14="","",SUMIF('TALLY BOX DUMP'!$1:$1,'ACH CALC'!AS$2,'TALLY BOX DUMP'!13:13))</f>
        <v>0</v>
      </c>
      <c r="AT14" s="21">
        <f ca="1">IF($D14="","",SUMIF('TALLY BOX DUMP'!$1:$1,'ACH CALC'!AT$2,'TALLY BOX DUMP'!13:13))</f>
        <v>0</v>
      </c>
      <c r="AU14" s="21">
        <f ca="1">IF($D14="","",SUMIF('TALLY BOX DUMP'!$1:$1,'ACH CALC'!AU$2,'TALLY BOX DUMP'!13:13))</f>
        <v>0</v>
      </c>
      <c r="AV14" s="21">
        <f ca="1">IF($D14="","",SUMIF('TALLY BOX DUMP'!$1:$1,'ACH CALC'!AV$2,'TALLY BOX DUMP'!13:13))</f>
        <v>0</v>
      </c>
      <c r="AW14" s="21">
        <f ca="1">IF($D14="","",SUMIF('TALLY BOX DUMP'!$1:$1,'ACH CALC'!AW$2,'TALLY BOX DUMP'!13:13))</f>
        <v>0</v>
      </c>
      <c r="AX14" s="21">
        <f ca="1">IF($D14="","",SUMIF('TALLY BOX DUMP'!$1:$1,'ACH CALC'!AX$2,'TALLY BOX DUMP'!13:13))</f>
        <v>0</v>
      </c>
      <c r="AY14" s="21">
        <f ca="1">IF($D14="","",SUMIF('TALLY BOX DUMP'!$1:$1,'ACH CALC'!AY$2,'TALLY BOX DUMP'!13:13))</f>
        <v>0</v>
      </c>
      <c r="AZ14" s="21">
        <f ca="1">IF($D14="","",SUMIF('TALLY BOX DUMP'!$1:$1,'ACH CALC'!AZ$2,'TALLY BOX DUMP'!13:13))</f>
        <v>0</v>
      </c>
      <c r="BA14" s="69">
        <f>(SUMIF('TALLY KG DUMP'!$2:$2,"Qty",'TALLY KG DUMP'!13:13)/1000)-(SUMIF('TALLY KG DUMP'!$1:$1,"GL",'TALLY KG DUMP'!13:13)/1000)</f>
        <v>3.5000000000000003E-2</v>
      </c>
      <c r="BB14" s="21" t="b">
        <f t="shared" ca="1" si="2"/>
        <v>1</v>
      </c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</row>
    <row r="15" spans="2:79" x14ac:dyDescent="0.25">
      <c r="B15" s="21" t="str">
        <f ca="1"/>
        <v>12</v>
      </c>
      <c r="C15" s="21" t="str">
        <f ca="1"/>
        <v>SUN05998</v>
      </c>
      <c r="D15" s="21" t="str">
        <f ca="1"/>
        <v>TIRUVANNAMALAI-ARKA SUPER STORE</v>
      </c>
      <c r="E15" s="21">
        <f ca="1">IF($D15="","",(SUMIF('TALLY KG DUMP'!$2:$2,"Qty",'TALLY KG DUMP'!14:14)/1000)-(SUMIF('TALLY KG DUMP'!$1:$1,"GL",'TALLY KG DUMP'!14:14)/1000))</f>
        <v>5.1539999999999999</v>
      </c>
      <c r="F15" s="21">
        <f ca="1">IF($D15="","",(SUMIF('TALLY KG DUMP'!$1:$1,'ACH CALC'!F$2,'TALLY KG DUMP'!14:14)/1000))</f>
        <v>0</v>
      </c>
      <c r="G15" s="21">
        <f ca="1">IF($D15="","",SUMIF('TALLY BOX DUMP'!$1:$1,'ACH CALC'!G$2,'TALLY BOX DUMP'!14:14)+Y15)</f>
        <v>0</v>
      </c>
      <c r="H15" s="21">
        <f t="shared" ca="1" si="0"/>
        <v>0</v>
      </c>
      <c r="I15" s="21">
        <f ca="1">IF($D15="","",SUMIF('TALLY BOX DUMP'!$1:$1,'ACH CALC'!I$2,'TALLY BOX DUMP'!14:14)+AA15)</f>
        <v>0</v>
      </c>
      <c r="J15" s="21">
        <f ca="1">IF($D15="","",SUMIF('TALLY BOX DUMP'!$1:$1,'ACH CALC'!J$2,'TALLY BOX DUMP'!14:14)+AB15)</f>
        <v>0</v>
      </c>
      <c r="K15" s="21">
        <f ca="1">IF($D15="","",SUMIF('TALLY BOX DUMP'!$1:$1,'ACH CALC'!K$2,'TALLY BOX DUMP'!14:14)+AC15)</f>
        <v>0</v>
      </c>
      <c r="L15" s="21">
        <f ca="1">IF($D15="","",SUMIF('TALLY BOX DUMP'!$1:$1,'ACH CALC'!L$2,'TALLY BOX DUMP'!14:14))</f>
        <v>0</v>
      </c>
      <c r="M15" s="21">
        <f ca="1">IF($D15="","",SUMIF('TALLY BOX DUMP'!$1:$1,'ACH CALC'!M$2,'TALLY BOX DUMP'!14:14)+AD15)</f>
        <v>0</v>
      </c>
      <c r="N15" s="21">
        <f ca="1">IF($D15="","",SUMIF('TALLY BOX DUMP'!$1:$1,'ACH CALC'!N$2,'TALLY BOX DUMP'!14:14))</f>
        <v>0</v>
      </c>
      <c r="O15" s="21">
        <f ca="1">IF($D15="","",SUMIF('TALLY BOX DUMP'!$1:$1,'ACH CALC'!O$2,'TALLY BOX DUMP'!14:14))</f>
        <v>0</v>
      </c>
      <c r="P15" s="21">
        <f ca="1">IF($D15="","",SUMIF('TALLY BOX DUMP'!$1:$1,'ACH CALC'!P$2,'TALLY BOX DUMP'!14:14))</f>
        <v>0</v>
      </c>
      <c r="Q15" s="21">
        <f t="shared" ca="1" si="1"/>
        <v>0</v>
      </c>
      <c r="R15" s="21">
        <f ca="1">IF($D15="","",SUMIF('TALLY BOX DUMP'!$1:$1,'ACH CALC'!R$2,'TALLY BOX DUMP'!14:14))</f>
        <v>0</v>
      </c>
      <c r="S15" s="21">
        <f ca="1">IF($D15="","",SUMIF('TALLY BOX DUMP'!$1:$1,'ACH CALC'!S$2,'TALLY BOX DUMP'!14:14))</f>
        <v>0</v>
      </c>
      <c r="T15" s="21">
        <f ca="1">IF($D15="","",SUMIF('TALLY BOX DUMP'!$1:$1,'ACH CALC'!T$2,'TALLY BOX DUMP'!14:14))</f>
        <v>0</v>
      </c>
      <c r="U15" s="21">
        <f ca="1">IF($D15="","",SUMIF('TALLY BOX DUMP'!$1:$1,'ACH CALC'!U$2,'TALLY BOX DUMP'!14:14))</f>
        <v>0</v>
      </c>
      <c r="V15" s="21">
        <f ca="1">IF($D15="","",SUMIF('TALLY BOX DUMP'!$1:$1,'ACH CALC'!V$2,'TALLY BOX DUMP'!14:14))</f>
        <v>0</v>
      </c>
      <c r="W15" s="21">
        <f ca="1">IF($D15="","",SUMIF('TALLY BOX DUMP'!$1:$1,'ACH CALC'!W$2,'TALLY BOX DUMP'!14:14))</f>
        <v>0</v>
      </c>
      <c r="X15" s="21">
        <f ca="1">IF($D15="","",SUMIF('TALLY BOX DUMP'!$1:$1,'ACH CALC'!X$2,'TALLY BOX DUMP'!14:14))</f>
        <v>0</v>
      </c>
      <c r="Y15" s="21">
        <f ca="1">IF($D15="","",SUMIF('TALLY BOX DUMP'!$1:$1,'ACH CALC'!Y$2,'TALLY BOX DUMP'!14:14))</f>
        <v>0</v>
      </c>
      <c r="Z15" s="21">
        <f ca="1">IF($D15="","",SUMIF('TALLY BOX DUMP'!$1:$1,'ACH CALC'!Z$2,'TALLY BOX DUMP'!14:14)+AE15)</f>
        <v>0</v>
      </c>
      <c r="AA15" s="21">
        <f ca="1">IF($D15="","",SUMIF('TALLY BOX DUMP'!$1:$1,'ACH CALC'!AA$2,'TALLY BOX DUMP'!14:14))</f>
        <v>0</v>
      </c>
      <c r="AB15" s="21">
        <f ca="1">IF($D15="","",SUMIF('TALLY BOX DUMP'!$1:$1,'ACH CALC'!AB$2,'TALLY BOX DUMP'!14:14))</f>
        <v>0</v>
      </c>
      <c r="AC15" s="21">
        <f ca="1">IF($D15="","",SUMIF('TALLY BOX DUMP'!$1:$1,'ACH CALC'!AC$2,'TALLY BOX DUMP'!14:14))</f>
        <v>0</v>
      </c>
      <c r="AD15" s="21">
        <f ca="1">IF($D15="","",SUMIF('TALLY BOX DUMP'!$1:$1,'ACH CALC'!AD$2,'TALLY BOX DUMP'!14:14))</f>
        <v>0</v>
      </c>
      <c r="AE15" s="21">
        <f ca="1">IF($D15="","",SUMIF('TALLY BOX DUMP'!$1:$1,'ACH CALC'!AE$2,'TALLY BOX DUMP'!14:14))</f>
        <v>0</v>
      </c>
      <c r="AF15" s="21">
        <f ca="1">IF($D15="","",SUMIF('TALLY BOX DUMP'!$1:$1,'ACH CALC'!AF$2,'TALLY BOX DUMP'!14:14))</f>
        <v>0</v>
      </c>
      <c r="AG15" s="21">
        <f ca="1">IF($D15="","",SUMIF('TALLY BOX DUMP'!$1:$1,'ACH CALC'!AG$2,'TALLY BOX DUMP'!14:14))</f>
        <v>0</v>
      </c>
      <c r="AH15" s="21">
        <f ca="1">IF($D15="","",SUMIF('TALLY BOX DUMP'!$1:$1,'ACH CALC'!AH$2,'TALLY BOX DUMP'!14:14))</f>
        <v>0</v>
      </c>
      <c r="AI15" s="21">
        <f ca="1">IF($D15="","",SUMIF('TALLY BOX DUMP'!$1:$1,'ACH CALC'!AI$2,'TALLY BOX DUMP'!14:14))</f>
        <v>0</v>
      </c>
      <c r="AJ15" s="21">
        <f ca="1">IF($D15="","",SUMIF('TALLY BOX DUMP'!$1:$1,'ACH CALC'!AJ$2,'TALLY BOX DUMP'!14:14))</f>
        <v>0</v>
      </c>
      <c r="AK15" s="21">
        <f ca="1">IF($D15="","",SUMIF('TALLY BOX DUMP'!$1:$1,'ACH CALC'!AK$2,'TALLY BOX DUMP'!14:14))</f>
        <v>0</v>
      </c>
      <c r="AL15" s="21">
        <f ca="1">IF($D15="","",ROUND(SUMIF('TALLY KG DUMP'!$1:$1,'ACH CALC'!AL$2,'TALLY KG DUMP'!14:14)/30,1))</f>
        <v>0</v>
      </c>
      <c r="AM15" s="21">
        <f ca="1">IF($D15="","",SUMIF('TALLY BOX DUMP'!$1:$1,'ACH CALC'!AM$2,'TALLY BOX DUMP'!14:14))</f>
        <v>1</v>
      </c>
      <c r="AN15" s="21">
        <f ca="1">IF($D15="","",SUMIF('TALLY BOX DUMP'!$1:$1,'ACH CALC'!AN$2,'TALLY BOX DUMP'!14:14))</f>
        <v>0</v>
      </c>
      <c r="AO15" s="21">
        <f ca="1">IF($D15="","",SUMIF('TALLY BOX DUMP'!$1:$1,'ACH CALC'!AO$2,'TALLY BOX DUMP'!14:14))</f>
        <v>1</v>
      </c>
      <c r="AP15" s="21">
        <f ca="1">IF($D15="","",SUMIF('TALLY BOX DUMP'!$1:$1,'ACH CALC'!AP$2,'TALLY BOX DUMP'!14:14))</f>
        <v>0</v>
      </c>
      <c r="AQ15" s="21">
        <f ca="1">IF($D15="","",ROUND(SUMIF('TALLY KG DUMP'!$1:$1,'ACH CALC'!AQ$2,'TALLY KG DUMP'!14:14)/30,1))</f>
        <v>0</v>
      </c>
      <c r="AR15" s="21">
        <f ca="1">IF($D15="","",SUMIF('TALLY BOX DUMP'!$1:$1,'ACH CALC'!AR$2,'TALLY BOX DUMP'!14:14))</f>
        <v>0</v>
      </c>
      <c r="AS15" s="21">
        <f ca="1">IF($D15="","",SUMIF('TALLY BOX DUMP'!$1:$1,'ACH CALC'!AS$2,'TALLY BOX DUMP'!14:14))</f>
        <v>0</v>
      </c>
      <c r="AT15" s="21">
        <f ca="1">IF($D15="","",SUMIF('TALLY BOX DUMP'!$1:$1,'ACH CALC'!AT$2,'TALLY BOX DUMP'!14:14))</f>
        <v>0</v>
      </c>
      <c r="AU15" s="21">
        <f ca="1">IF($D15="","",SUMIF('TALLY BOX DUMP'!$1:$1,'ACH CALC'!AU$2,'TALLY BOX DUMP'!14:14))</f>
        <v>0</v>
      </c>
      <c r="AV15" s="21">
        <f ca="1">IF($D15="","",SUMIF('TALLY BOX DUMP'!$1:$1,'ACH CALC'!AV$2,'TALLY BOX DUMP'!14:14))</f>
        <v>0</v>
      </c>
      <c r="AW15" s="21">
        <f ca="1">IF($D15="","",SUMIF('TALLY BOX DUMP'!$1:$1,'ACH CALC'!AW$2,'TALLY BOX DUMP'!14:14))</f>
        <v>0</v>
      </c>
      <c r="AX15" s="21">
        <f ca="1">IF($D15="","",SUMIF('TALLY BOX DUMP'!$1:$1,'ACH CALC'!AX$2,'TALLY BOX DUMP'!14:14))</f>
        <v>0</v>
      </c>
      <c r="AY15" s="21">
        <f ca="1">IF($D15="","",SUMIF('TALLY BOX DUMP'!$1:$1,'ACH CALC'!AY$2,'TALLY BOX DUMP'!14:14))</f>
        <v>0</v>
      </c>
      <c r="AZ15" s="21">
        <f ca="1">IF($D15="","",SUMIF('TALLY BOX DUMP'!$1:$1,'ACH CALC'!AZ$2,'TALLY BOX DUMP'!14:14))</f>
        <v>0</v>
      </c>
      <c r="BA15" s="69">
        <f>(SUMIF('TALLY KG DUMP'!$2:$2,"Qty",'TALLY KG DUMP'!14:14)/1000)-(SUMIF('TALLY KG DUMP'!$1:$1,"GL",'TALLY KG DUMP'!14:14)/1000)</f>
        <v>5.1539999999999999</v>
      </c>
      <c r="BB15" s="21" t="b">
        <f t="shared" ca="1" si="2"/>
        <v>1</v>
      </c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</row>
    <row r="16" spans="2:79" x14ac:dyDescent="0.25">
      <c r="B16" s="21" t="str">
        <f ca="1"/>
        <v>13</v>
      </c>
      <c r="C16" s="21" t="str">
        <f ca="1"/>
        <v>SUN05496</v>
      </c>
      <c r="D16" s="21" t="str">
        <f ca="1"/>
        <v>SALEM-SRI PATHMAVATHI AGENCIES</v>
      </c>
      <c r="E16" s="21">
        <f ca="1">IF($D16="","",(SUMIF('TALLY KG DUMP'!$2:$2,"Qty",'TALLY KG DUMP'!15:15)/1000)-(SUMIF('TALLY KG DUMP'!$1:$1,"GL",'TALLY KG DUMP'!15:15)/1000))</f>
        <v>9.6720000000000006</v>
      </c>
      <c r="F16" s="21">
        <f ca="1">IF($D16="","",(SUMIF('TALLY KG DUMP'!$1:$1,'ACH CALC'!F$2,'TALLY KG DUMP'!15:15)/1000))</f>
        <v>0</v>
      </c>
      <c r="G16" s="21">
        <f ca="1">IF($D16="","",SUMIF('TALLY BOX DUMP'!$1:$1,'ACH CALC'!G$2,'TALLY BOX DUMP'!15:15)+Y16)</f>
        <v>0</v>
      </c>
      <c r="H16" s="21">
        <f t="shared" ca="1" si="0"/>
        <v>0</v>
      </c>
      <c r="I16" s="21">
        <f ca="1">IF($D16="","",SUMIF('TALLY BOX DUMP'!$1:$1,'ACH CALC'!I$2,'TALLY BOX DUMP'!15:15)+AA16)</f>
        <v>0</v>
      </c>
      <c r="J16" s="21">
        <f ca="1">IF($D16="","",SUMIF('TALLY BOX DUMP'!$1:$1,'ACH CALC'!J$2,'TALLY BOX DUMP'!15:15)+AB16)</f>
        <v>0</v>
      </c>
      <c r="K16" s="21">
        <f ca="1">IF($D16="","",SUMIF('TALLY BOX DUMP'!$1:$1,'ACH CALC'!K$2,'TALLY BOX DUMP'!15:15)+AC16)</f>
        <v>0</v>
      </c>
      <c r="L16" s="21">
        <f ca="1">IF($D16="","",SUMIF('TALLY BOX DUMP'!$1:$1,'ACH CALC'!L$2,'TALLY BOX DUMP'!15:15))</f>
        <v>0</v>
      </c>
      <c r="M16" s="21">
        <f ca="1">IF($D16="","",SUMIF('TALLY BOX DUMP'!$1:$1,'ACH CALC'!M$2,'TALLY BOX DUMP'!15:15)+AD16)</f>
        <v>0</v>
      </c>
      <c r="N16" s="21">
        <f ca="1">IF($D16="","",SUMIF('TALLY BOX DUMP'!$1:$1,'ACH CALC'!N$2,'TALLY BOX DUMP'!15:15))</f>
        <v>0</v>
      </c>
      <c r="O16" s="21">
        <f ca="1">IF($D16="","",SUMIF('TALLY BOX DUMP'!$1:$1,'ACH CALC'!O$2,'TALLY BOX DUMP'!15:15))</f>
        <v>0</v>
      </c>
      <c r="P16" s="21">
        <f ca="1">IF($D16="","",SUMIF('TALLY BOX DUMP'!$1:$1,'ACH CALC'!P$2,'TALLY BOX DUMP'!15:15))</f>
        <v>0</v>
      </c>
      <c r="Q16" s="21">
        <f t="shared" ca="1" si="1"/>
        <v>0</v>
      </c>
      <c r="R16" s="21">
        <f ca="1">IF($D16="","",SUMIF('TALLY BOX DUMP'!$1:$1,'ACH CALC'!R$2,'TALLY BOX DUMP'!15:15))</f>
        <v>0</v>
      </c>
      <c r="S16" s="21">
        <f ca="1">IF($D16="","",SUMIF('TALLY BOX DUMP'!$1:$1,'ACH CALC'!S$2,'TALLY BOX DUMP'!15:15))</f>
        <v>0</v>
      </c>
      <c r="T16" s="21">
        <f ca="1">IF($D16="","",SUMIF('TALLY BOX DUMP'!$1:$1,'ACH CALC'!T$2,'TALLY BOX DUMP'!15:15))</f>
        <v>0</v>
      </c>
      <c r="U16" s="21">
        <f ca="1">IF($D16="","",SUMIF('TALLY BOX DUMP'!$1:$1,'ACH CALC'!U$2,'TALLY BOX DUMP'!15:15))</f>
        <v>0</v>
      </c>
      <c r="V16" s="21">
        <f ca="1">IF($D16="","",SUMIF('TALLY BOX DUMP'!$1:$1,'ACH CALC'!V$2,'TALLY BOX DUMP'!15:15))</f>
        <v>0</v>
      </c>
      <c r="W16" s="21">
        <f ca="1">IF($D16="","",SUMIF('TALLY BOX DUMP'!$1:$1,'ACH CALC'!W$2,'TALLY BOX DUMP'!15:15))</f>
        <v>0</v>
      </c>
      <c r="X16" s="21">
        <f ca="1">IF($D16="","",SUMIF('TALLY BOX DUMP'!$1:$1,'ACH CALC'!X$2,'TALLY BOX DUMP'!15:15))</f>
        <v>0</v>
      </c>
      <c r="Y16" s="21">
        <f ca="1">IF($D16="","",SUMIF('TALLY BOX DUMP'!$1:$1,'ACH CALC'!Y$2,'TALLY BOX DUMP'!15:15))</f>
        <v>0</v>
      </c>
      <c r="Z16" s="21">
        <f ca="1">IF($D16="","",SUMIF('TALLY BOX DUMP'!$1:$1,'ACH CALC'!Z$2,'TALLY BOX DUMP'!15:15)+AE16)</f>
        <v>0</v>
      </c>
      <c r="AA16" s="21">
        <f ca="1">IF($D16="","",SUMIF('TALLY BOX DUMP'!$1:$1,'ACH CALC'!AA$2,'TALLY BOX DUMP'!15:15))</f>
        <v>0</v>
      </c>
      <c r="AB16" s="21">
        <f ca="1">IF($D16="","",SUMIF('TALLY BOX DUMP'!$1:$1,'ACH CALC'!AB$2,'TALLY BOX DUMP'!15:15))</f>
        <v>0</v>
      </c>
      <c r="AC16" s="21">
        <f ca="1">IF($D16="","",SUMIF('TALLY BOX DUMP'!$1:$1,'ACH CALC'!AC$2,'TALLY BOX DUMP'!15:15))</f>
        <v>0</v>
      </c>
      <c r="AD16" s="21">
        <f ca="1">IF($D16="","",SUMIF('TALLY BOX DUMP'!$1:$1,'ACH CALC'!AD$2,'TALLY BOX DUMP'!15:15))</f>
        <v>0</v>
      </c>
      <c r="AE16" s="21">
        <f ca="1">IF($D16="","",SUMIF('TALLY BOX DUMP'!$1:$1,'ACH CALC'!AE$2,'TALLY BOX DUMP'!15:15))</f>
        <v>0</v>
      </c>
      <c r="AF16" s="21">
        <f ca="1">IF($D16="","",SUMIF('TALLY BOX DUMP'!$1:$1,'ACH CALC'!AF$2,'TALLY BOX DUMP'!15:15))</f>
        <v>0</v>
      </c>
      <c r="AG16" s="21">
        <f ca="1">IF($D16="","",SUMIF('TALLY BOX DUMP'!$1:$1,'ACH CALC'!AG$2,'TALLY BOX DUMP'!15:15))</f>
        <v>0</v>
      </c>
      <c r="AH16" s="21">
        <f ca="1">IF($D16="","",SUMIF('TALLY BOX DUMP'!$1:$1,'ACH CALC'!AH$2,'TALLY BOX DUMP'!15:15))</f>
        <v>0</v>
      </c>
      <c r="AI16" s="21">
        <f ca="1">IF($D16="","",SUMIF('TALLY BOX DUMP'!$1:$1,'ACH CALC'!AI$2,'TALLY BOX DUMP'!15:15))</f>
        <v>0</v>
      </c>
      <c r="AJ16" s="21">
        <f ca="1">IF($D16="","",SUMIF('TALLY BOX DUMP'!$1:$1,'ACH CALC'!AJ$2,'TALLY BOX DUMP'!15:15))</f>
        <v>0</v>
      </c>
      <c r="AK16" s="21">
        <f ca="1">IF($D16="","",SUMIF('TALLY BOX DUMP'!$1:$1,'ACH CALC'!AK$2,'TALLY BOX DUMP'!15:15))</f>
        <v>0</v>
      </c>
      <c r="AL16" s="21">
        <f ca="1">IF($D16="","",ROUND(SUMIF('TALLY KG DUMP'!$1:$1,'ACH CALC'!AL$2,'TALLY KG DUMP'!15:15)/30,1))</f>
        <v>0</v>
      </c>
      <c r="AM16" s="21">
        <f ca="1">IF($D16="","",SUMIF('TALLY BOX DUMP'!$1:$1,'ACH CALC'!AM$2,'TALLY BOX DUMP'!15:15))</f>
        <v>0</v>
      </c>
      <c r="AN16" s="21">
        <f ca="1">IF($D16="","",SUMIF('TALLY BOX DUMP'!$1:$1,'ACH CALC'!AN$2,'TALLY BOX DUMP'!15:15))</f>
        <v>0</v>
      </c>
      <c r="AO16" s="21">
        <f ca="1">IF($D16="","",SUMIF('TALLY BOX DUMP'!$1:$1,'ACH CALC'!AO$2,'TALLY BOX DUMP'!15:15))</f>
        <v>0</v>
      </c>
      <c r="AP16" s="21">
        <f ca="1">IF($D16="","",SUMIF('TALLY BOX DUMP'!$1:$1,'ACH CALC'!AP$2,'TALLY BOX DUMP'!15:15))</f>
        <v>0</v>
      </c>
      <c r="AQ16" s="21">
        <f ca="1">IF($D16="","",ROUND(SUMIF('TALLY KG DUMP'!$1:$1,'ACH CALC'!AQ$2,'TALLY KG DUMP'!15:15)/30,1))</f>
        <v>0</v>
      </c>
      <c r="AR16" s="21">
        <f ca="1">IF($D16="","",SUMIF('TALLY BOX DUMP'!$1:$1,'ACH CALC'!AR$2,'TALLY BOX DUMP'!15:15))</f>
        <v>0</v>
      </c>
      <c r="AS16" s="21">
        <f ca="1">IF($D16="","",SUMIF('TALLY BOX DUMP'!$1:$1,'ACH CALC'!AS$2,'TALLY BOX DUMP'!15:15))</f>
        <v>0</v>
      </c>
      <c r="AT16" s="21">
        <f ca="1">IF($D16="","",SUMIF('TALLY BOX DUMP'!$1:$1,'ACH CALC'!AT$2,'TALLY BOX DUMP'!15:15))</f>
        <v>0</v>
      </c>
      <c r="AU16" s="21">
        <f ca="1">IF($D16="","",SUMIF('TALLY BOX DUMP'!$1:$1,'ACH CALC'!AU$2,'TALLY BOX DUMP'!15:15))</f>
        <v>0</v>
      </c>
      <c r="AV16" s="21">
        <f ca="1">IF($D16="","",SUMIF('TALLY BOX DUMP'!$1:$1,'ACH CALC'!AV$2,'TALLY BOX DUMP'!15:15))</f>
        <v>0</v>
      </c>
      <c r="AW16" s="21">
        <f ca="1">IF($D16="","",SUMIF('TALLY BOX DUMP'!$1:$1,'ACH CALC'!AW$2,'TALLY BOX DUMP'!15:15))</f>
        <v>0</v>
      </c>
      <c r="AX16" s="21">
        <f ca="1">IF($D16="","",SUMIF('TALLY BOX DUMP'!$1:$1,'ACH CALC'!AX$2,'TALLY BOX DUMP'!15:15))</f>
        <v>0</v>
      </c>
      <c r="AY16" s="21">
        <f ca="1">IF($D16="","",SUMIF('TALLY BOX DUMP'!$1:$1,'ACH CALC'!AY$2,'TALLY BOX DUMP'!15:15))</f>
        <v>0</v>
      </c>
      <c r="AZ16" s="21">
        <f ca="1">IF($D16="","",SUMIF('TALLY BOX DUMP'!$1:$1,'ACH CALC'!AZ$2,'TALLY BOX DUMP'!15:15))</f>
        <v>0</v>
      </c>
      <c r="BA16" s="69">
        <f>(SUMIF('TALLY KG DUMP'!$2:$2,"Qty",'TALLY KG DUMP'!15:15)/1000)-(SUMIF('TALLY KG DUMP'!$1:$1,"GL",'TALLY KG DUMP'!15:15)/1000)</f>
        <v>9.6720000000000006</v>
      </c>
      <c r="BB16" s="21" t="b">
        <f t="shared" ca="1" si="2"/>
        <v>1</v>
      </c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</row>
    <row r="17" spans="2:75" x14ac:dyDescent="0.25">
      <c r="B17" s="21" t="str">
        <f ca="1"/>
        <v>14</v>
      </c>
      <c r="C17" s="21" t="str">
        <f ca="1"/>
        <v>SUN07783</v>
      </c>
      <c r="D17" s="21" t="str">
        <f ca="1"/>
        <v>KURNOOL - ABDULLA TRADERS</v>
      </c>
      <c r="E17" s="21">
        <f ca="1">IF($D17="","",(SUMIF('TALLY KG DUMP'!$2:$2,"Qty",'TALLY KG DUMP'!16:16)/1000)-(SUMIF('TALLY KG DUMP'!$1:$1,"GL",'TALLY KG DUMP'!16:16)/1000))</f>
        <v>0</v>
      </c>
      <c r="F17" s="21">
        <f ca="1">IF($D17="","",(SUMIF('TALLY KG DUMP'!$1:$1,'ACH CALC'!F$2,'TALLY KG DUMP'!16:16)/1000))</f>
        <v>0</v>
      </c>
      <c r="G17" s="21">
        <f ca="1">IF($D17="","",SUMIF('TALLY BOX DUMP'!$1:$1,'ACH CALC'!G$2,'TALLY BOX DUMP'!16:16)+Y17)</f>
        <v>0</v>
      </c>
      <c r="H17" s="21">
        <f t="shared" ca="1" si="0"/>
        <v>0</v>
      </c>
      <c r="I17" s="21">
        <f ca="1">IF($D17="","",SUMIF('TALLY BOX DUMP'!$1:$1,'ACH CALC'!I$2,'TALLY BOX DUMP'!16:16)+AA17)</f>
        <v>0</v>
      </c>
      <c r="J17" s="21">
        <f ca="1">IF($D17="","",SUMIF('TALLY BOX DUMP'!$1:$1,'ACH CALC'!J$2,'TALLY BOX DUMP'!16:16)+AB17)</f>
        <v>0</v>
      </c>
      <c r="K17" s="21">
        <f ca="1">IF($D17="","",SUMIF('TALLY BOX DUMP'!$1:$1,'ACH CALC'!K$2,'TALLY BOX DUMP'!16:16)+AC17)</f>
        <v>0</v>
      </c>
      <c r="L17" s="21">
        <f ca="1">IF($D17="","",SUMIF('TALLY BOX DUMP'!$1:$1,'ACH CALC'!L$2,'TALLY BOX DUMP'!16:16))</f>
        <v>0</v>
      </c>
      <c r="M17" s="21">
        <f ca="1">IF($D17="","",SUMIF('TALLY BOX DUMP'!$1:$1,'ACH CALC'!M$2,'TALLY BOX DUMP'!16:16)+AD17)</f>
        <v>0</v>
      </c>
      <c r="N17" s="21">
        <f ca="1">IF($D17="","",SUMIF('TALLY BOX DUMP'!$1:$1,'ACH CALC'!N$2,'TALLY BOX DUMP'!16:16))</f>
        <v>0</v>
      </c>
      <c r="O17" s="21">
        <f ca="1">IF($D17="","",SUMIF('TALLY BOX DUMP'!$1:$1,'ACH CALC'!O$2,'TALLY BOX DUMP'!16:16))</f>
        <v>0</v>
      </c>
      <c r="P17" s="21">
        <f ca="1">IF($D17="","",SUMIF('TALLY BOX DUMP'!$1:$1,'ACH CALC'!P$2,'TALLY BOX DUMP'!16:16))</f>
        <v>0</v>
      </c>
      <c r="Q17" s="21">
        <f t="shared" ca="1" si="1"/>
        <v>0</v>
      </c>
      <c r="R17" s="21">
        <f ca="1">IF($D17="","",SUMIF('TALLY BOX DUMP'!$1:$1,'ACH CALC'!R$2,'TALLY BOX DUMP'!16:16))</f>
        <v>0</v>
      </c>
      <c r="S17" s="21">
        <f ca="1">IF($D17="","",SUMIF('TALLY BOX DUMP'!$1:$1,'ACH CALC'!S$2,'TALLY BOX DUMP'!16:16))</f>
        <v>0</v>
      </c>
      <c r="T17" s="21">
        <f ca="1">IF($D17="","",SUMIF('TALLY BOX DUMP'!$1:$1,'ACH CALC'!T$2,'TALLY BOX DUMP'!16:16))</f>
        <v>0</v>
      </c>
      <c r="U17" s="21">
        <f ca="1">IF($D17="","",SUMIF('TALLY BOX DUMP'!$1:$1,'ACH CALC'!U$2,'TALLY BOX DUMP'!16:16))</f>
        <v>0</v>
      </c>
      <c r="V17" s="21">
        <f ca="1">IF($D17="","",SUMIF('TALLY BOX DUMP'!$1:$1,'ACH CALC'!V$2,'TALLY BOX DUMP'!16:16))</f>
        <v>0</v>
      </c>
      <c r="W17" s="21">
        <f ca="1">IF($D17="","",SUMIF('TALLY BOX DUMP'!$1:$1,'ACH CALC'!W$2,'TALLY BOX DUMP'!16:16))</f>
        <v>0</v>
      </c>
      <c r="X17" s="21">
        <f ca="1">IF($D17="","",SUMIF('TALLY BOX DUMP'!$1:$1,'ACH CALC'!X$2,'TALLY BOX DUMP'!16:16))</f>
        <v>0</v>
      </c>
      <c r="Y17" s="21">
        <f ca="1">IF($D17="","",SUMIF('TALLY BOX DUMP'!$1:$1,'ACH CALC'!Y$2,'TALLY BOX DUMP'!16:16))</f>
        <v>0</v>
      </c>
      <c r="Z17" s="21">
        <f ca="1">IF($D17="","",SUMIF('TALLY BOX DUMP'!$1:$1,'ACH CALC'!Z$2,'TALLY BOX DUMP'!16:16)+AE17)</f>
        <v>0</v>
      </c>
      <c r="AA17" s="21">
        <f ca="1">IF($D17="","",SUMIF('TALLY BOX DUMP'!$1:$1,'ACH CALC'!AA$2,'TALLY BOX DUMP'!16:16))</f>
        <v>0</v>
      </c>
      <c r="AB17" s="21">
        <f ca="1">IF($D17="","",SUMIF('TALLY BOX DUMP'!$1:$1,'ACH CALC'!AB$2,'TALLY BOX DUMP'!16:16))</f>
        <v>0</v>
      </c>
      <c r="AC17" s="21">
        <f ca="1">IF($D17="","",SUMIF('TALLY BOX DUMP'!$1:$1,'ACH CALC'!AC$2,'TALLY BOX DUMP'!16:16))</f>
        <v>0</v>
      </c>
      <c r="AD17" s="21">
        <f ca="1">IF($D17="","",SUMIF('TALLY BOX DUMP'!$1:$1,'ACH CALC'!AD$2,'TALLY BOX DUMP'!16:16))</f>
        <v>0</v>
      </c>
      <c r="AE17" s="21">
        <f ca="1">IF($D17="","",SUMIF('TALLY BOX DUMP'!$1:$1,'ACH CALC'!AE$2,'TALLY BOX DUMP'!16:16))</f>
        <v>0</v>
      </c>
      <c r="AF17" s="21">
        <f ca="1">IF($D17="","",SUMIF('TALLY BOX DUMP'!$1:$1,'ACH CALC'!AF$2,'TALLY BOX DUMP'!16:16))</f>
        <v>0</v>
      </c>
      <c r="AG17" s="21">
        <f ca="1">IF($D17="","",SUMIF('TALLY BOX DUMP'!$1:$1,'ACH CALC'!AG$2,'TALLY BOX DUMP'!16:16))</f>
        <v>0</v>
      </c>
      <c r="AH17" s="21">
        <f ca="1">IF($D17="","",SUMIF('TALLY BOX DUMP'!$1:$1,'ACH CALC'!AH$2,'TALLY BOX DUMP'!16:16))</f>
        <v>0</v>
      </c>
      <c r="AI17" s="21">
        <f ca="1">IF($D17="","",SUMIF('TALLY BOX DUMP'!$1:$1,'ACH CALC'!AI$2,'TALLY BOX DUMP'!16:16))</f>
        <v>0</v>
      </c>
      <c r="AJ17" s="21">
        <f ca="1">IF($D17="","",SUMIF('TALLY BOX DUMP'!$1:$1,'ACH CALC'!AJ$2,'TALLY BOX DUMP'!16:16))</f>
        <v>0</v>
      </c>
      <c r="AK17" s="21">
        <f ca="1">IF($D17="","",SUMIF('TALLY BOX DUMP'!$1:$1,'ACH CALC'!AK$2,'TALLY BOX DUMP'!16:16))</f>
        <v>0</v>
      </c>
      <c r="AL17" s="21">
        <f ca="1">IF($D17="","",ROUND(SUMIF('TALLY KG DUMP'!$1:$1,'ACH CALC'!AL$2,'TALLY KG DUMP'!16:16)/30,1))</f>
        <v>0</v>
      </c>
      <c r="AM17" s="21">
        <f ca="1">IF($D17="","",SUMIF('TALLY BOX DUMP'!$1:$1,'ACH CALC'!AM$2,'TALLY BOX DUMP'!16:16))</f>
        <v>0</v>
      </c>
      <c r="AN17" s="21">
        <f ca="1">IF($D17="","",SUMIF('TALLY BOX DUMP'!$1:$1,'ACH CALC'!AN$2,'TALLY BOX DUMP'!16:16))</f>
        <v>0</v>
      </c>
      <c r="AO17" s="21">
        <f ca="1">IF($D17="","",SUMIF('TALLY BOX DUMP'!$1:$1,'ACH CALC'!AO$2,'TALLY BOX DUMP'!16:16))</f>
        <v>0</v>
      </c>
      <c r="AP17" s="21">
        <f ca="1">IF($D17="","",SUMIF('TALLY BOX DUMP'!$1:$1,'ACH CALC'!AP$2,'TALLY BOX DUMP'!16:16))</f>
        <v>0</v>
      </c>
      <c r="AQ17" s="21">
        <f ca="1">IF($D17="","",ROUND(SUMIF('TALLY KG DUMP'!$1:$1,'ACH CALC'!AQ$2,'TALLY KG DUMP'!16:16)/30,1))</f>
        <v>0</v>
      </c>
      <c r="AR17" s="21">
        <f ca="1">IF($D17="","",SUMIF('TALLY BOX DUMP'!$1:$1,'ACH CALC'!AR$2,'TALLY BOX DUMP'!16:16))</f>
        <v>0</v>
      </c>
      <c r="AS17" s="21">
        <f ca="1">IF($D17="","",SUMIF('TALLY BOX DUMP'!$1:$1,'ACH CALC'!AS$2,'TALLY BOX DUMP'!16:16))</f>
        <v>0</v>
      </c>
      <c r="AT17" s="21">
        <f ca="1">IF($D17="","",SUMIF('TALLY BOX DUMP'!$1:$1,'ACH CALC'!AT$2,'TALLY BOX DUMP'!16:16))</f>
        <v>0</v>
      </c>
      <c r="AU17" s="21">
        <f ca="1">IF($D17="","",SUMIF('TALLY BOX DUMP'!$1:$1,'ACH CALC'!AU$2,'TALLY BOX DUMP'!16:16))</f>
        <v>0</v>
      </c>
      <c r="AV17" s="21">
        <f ca="1">IF($D17="","",SUMIF('TALLY BOX DUMP'!$1:$1,'ACH CALC'!AV$2,'TALLY BOX DUMP'!16:16))</f>
        <v>0</v>
      </c>
      <c r="AW17" s="21">
        <f ca="1">IF($D17="","",SUMIF('TALLY BOX DUMP'!$1:$1,'ACH CALC'!AW$2,'TALLY BOX DUMP'!16:16))</f>
        <v>0</v>
      </c>
      <c r="AX17" s="21">
        <f ca="1">IF($D17="","",SUMIF('TALLY BOX DUMP'!$1:$1,'ACH CALC'!AX$2,'TALLY BOX DUMP'!16:16))</f>
        <v>0</v>
      </c>
      <c r="AY17" s="21">
        <f ca="1">IF($D17="","",SUMIF('TALLY BOX DUMP'!$1:$1,'ACH CALC'!AY$2,'TALLY BOX DUMP'!16:16))</f>
        <v>0</v>
      </c>
      <c r="AZ17" s="21">
        <f ca="1">IF($D17="","",SUMIF('TALLY BOX DUMP'!$1:$1,'ACH CALC'!AZ$2,'TALLY BOX DUMP'!16:16))</f>
        <v>0</v>
      </c>
      <c r="BA17" s="69">
        <f>(SUMIF('TALLY KG DUMP'!$2:$2,"Qty",'TALLY KG DUMP'!16:16)/1000)-(SUMIF('TALLY KG DUMP'!$1:$1,"GL",'TALLY KG DUMP'!16:16)/1000)</f>
        <v>0</v>
      </c>
      <c r="BB17" s="21" t="b">
        <f t="shared" ca="1" si="2"/>
        <v>1</v>
      </c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</row>
    <row r="18" spans="2:75" x14ac:dyDescent="0.25">
      <c r="B18" s="21" t="str">
        <f ca="1"/>
        <v>15</v>
      </c>
      <c r="C18" s="21" t="str">
        <f ca="1"/>
        <v>SUN02183</v>
      </c>
      <c r="D18" s="21" t="str">
        <f ca="1"/>
        <v>CBE MANI OIL TRADES</v>
      </c>
      <c r="E18" s="21">
        <f ca="1">IF($D18="","",(SUMIF('TALLY KG DUMP'!$2:$2,"Qty",'TALLY KG DUMP'!17:17)/1000)-(SUMIF('TALLY KG DUMP'!$1:$1,"GL",'TALLY KG DUMP'!17:17)/1000))</f>
        <v>4.46</v>
      </c>
      <c r="F18" s="21">
        <f ca="1">IF($D18="","",(SUMIF('TALLY KG DUMP'!$1:$1,'ACH CALC'!F$2,'TALLY KG DUMP'!17:17)/1000))</f>
        <v>0</v>
      </c>
      <c r="G18" s="21">
        <f ca="1">IF($D18="","",SUMIF('TALLY BOX DUMP'!$1:$1,'ACH CALC'!G$2,'TALLY BOX DUMP'!17:17)+Y18)</f>
        <v>0</v>
      </c>
      <c r="H18" s="21">
        <f t="shared" ca="1" si="0"/>
        <v>0</v>
      </c>
      <c r="I18" s="21">
        <f ca="1">IF($D18="","",SUMIF('TALLY BOX DUMP'!$1:$1,'ACH CALC'!I$2,'TALLY BOX DUMP'!17:17)+AA18)</f>
        <v>0</v>
      </c>
      <c r="J18" s="21">
        <f ca="1">IF($D18="","",SUMIF('TALLY BOX DUMP'!$1:$1,'ACH CALC'!J$2,'TALLY BOX DUMP'!17:17)+AB18)</f>
        <v>0</v>
      </c>
      <c r="K18" s="21">
        <f ca="1">IF($D18="","",SUMIF('TALLY BOX DUMP'!$1:$1,'ACH CALC'!K$2,'TALLY BOX DUMP'!17:17)+AC18)</f>
        <v>0</v>
      </c>
      <c r="L18" s="21">
        <f ca="1">IF($D18="","",SUMIF('TALLY BOX DUMP'!$1:$1,'ACH CALC'!L$2,'TALLY BOX DUMP'!17:17))</f>
        <v>0</v>
      </c>
      <c r="M18" s="21">
        <f ca="1">IF($D18="","",SUMIF('TALLY BOX DUMP'!$1:$1,'ACH CALC'!M$2,'TALLY BOX DUMP'!17:17)+AD18)</f>
        <v>0</v>
      </c>
      <c r="N18" s="21">
        <f ca="1">IF($D18="","",SUMIF('TALLY BOX DUMP'!$1:$1,'ACH CALC'!N$2,'TALLY BOX DUMP'!17:17))</f>
        <v>0</v>
      </c>
      <c r="O18" s="21">
        <f ca="1">IF($D18="","",SUMIF('TALLY BOX DUMP'!$1:$1,'ACH CALC'!O$2,'TALLY BOX DUMP'!17:17))</f>
        <v>0</v>
      </c>
      <c r="P18" s="21">
        <f ca="1">IF($D18="","",SUMIF('TALLY BOX DUMP'!$1:$1,'ACH CALC'!P$2,'TALLY BOX DUMP'!17:17))</f>
        <v>0</v>
      </c>
      <c r="Q18" s="21">
        <f t="shared" ca="1" si="1"/>
        <v>0</v>
      </c>
      <c r="R18" s="21">
        <f ca="1">IF($D18="","",SUMIF('TALLY BOX DUMP'!$1:$1,'ACH CALC'!R$2,'TALLY BOX DUMP'!17:17))</f>
        <v>0</v>
      </c>
      <c r="S18" s="21">
        <f ca="1">IF($D18="","",SUMIF('TALLY BOX DUMP'!$1:$1,'ACH CALC'!S$2,'TALLY BOX DUMP'!17:17))</f>
        <v>0</v>
      </c>
      <c r="T18" s="21">
        <f ca="1">IF($D18="","",SUMIF('TALLY BOX DUMP'!$1:$1,'ACH CALC'!T$2,'TALLY BOX DUMP'!17:17))</f>
        <v>0</v>
      </c>
      <c r="U18" s="21">
        <f ca="1">IF($D18="","",SUMIF('TALLY BOX DUMP'!$1:$1,'ACH CALC'!U$2,'TALLY BOX DUMP'!17:17))</f>
        <v>0</v>
      </c>
      <c r="V18" s="21">
        <f ca="1">IF($D18="","",SUMIF('TALLY BOX DUMP'!$1:$1,'ACH CALC'!V$2,'TALLY BOX DUMP'!17:17))</f>
        <v>0</v>
      </c>
      <c r="W18" s="21">
        <f ca="1">IF($D18="","",SUMIF('TALLY BOX DUMP'!$1:$1,'ACH CALC'!W$2,'TALLY BOX DUMP'!17:17))</f>
        <v>0</v>
      </c>
      <c r="X18" s="21">
        <f ca="1">IF($D18="","",SUMIF('TALLY BOX DUMP'!$1:$1,'ACH CALC'!X$2,'TALLY BOX DUMP'!17:17))</f>
        <v>0</v>
      </c>
      <c r="Y18" s="21">
        <f ca="1">IF($D18="","",SUMIF('TALLY BOX DUMP'!$1:$1,'ACH CALC'!Y$2,'TALLY BOX DUMP'!17:17))</f>
        <v>0</v>
      </c>
      <c r="Z18" s="21">
        <f ca="1">IF($D18="","",SUMIF('TALLY BOX DUMP'!$1:$1,'ACH CALC'!Z$2,'TALLY BOX DUMP'!17:17)+AE18)</f>
        <v>0</v>
      </c>
      <c r="AA18" s="21">
        <f ca="1">IF($D18="","",SUMIF('TALLY BOX DUMP'!$1:$1,'ACH CALC'!AA$2,'TALLY BOX DUMP'!17:17))</f>
        <v>0</v>
      </c>
      <c r="AB18" s="21">
        <f ca="1">IF($D18="","",SUMIF('TALLY BOX DUMP'!$1:$1,'ACH CALC'!AB$2,'TALLY BOX DUMP'!17:17))</f>
        <v>0</v>
      </c>
      <c r="AC18" s="21">
        <f ca="1">IF($D18="","",SUMIF('TALLY BOX DUMP'!$1:$1,'ACH CALC'!AC$2,'TALLY BOX DUMP'!17:17))</f>
        <v>0</v>
      </c>
      <c r="AD18" s="21">
        <f ca="1">IF($D18="","",SUMIF('TALLY BOX DUMP'!$1:$1,'ACH CALC'!AD$2,'TALLY BOX DUMP'!17:17))</f>
        <v>0</v>
      </c>
      <c r="AE18" s="21">
        <f ca="1">IF($D18="","",SUMIF('TALLY BOX DUMP'!$1:$1,'ACH CALC'!AE$2,'TALLY BOX DUMP'!17:17))</f>
        <v>0</v>
      </c>
      <c r="AF18" s="21">
        <f ca="1">IF($D18="","",SUMIF('TALLY BOX DUMP'!$1:$1,'ACH CALC'!AF$2,'TALLY BOX DUMP'!17:17))</f>
        <v>0</v>
      </c>
      <c r="AG18" s="21">
        <f ca="1">IF($D18="","",SUMIF('TALLY BOX DUMP'!$1:$1,'ACH CALC'!AG$2,'TALLY BOX DUMP'!17:17))</f>
        <v>0</v>
      </c>
      <c r="AH18" s="21">
        <f ca="1">IF($D18="","",SUMIF('TALLY BOX DUMP'!$1:$1,'ACH CALC'!AH$2,'TALLY BOX DUMP'!17:17))</f>
        <v>0</v>
      </c>
      <c r="AI18" s="21">
        <f ca="1">IF($D18="","",SUMIF('TALLY BOX DUMP'!$1:$1,'ACH CALC'!AI$2,'TALLY BOX DUMP'!17:17))</f>
        <v>0</v>
      </c>
      <c r="AJ18" s="21">
        <f ca="1">IF($D18="","",SUMIF('TALLY BOX DUMP'!$1:$1,'ACH CALC'!AJ$2,'TALLY BOX DUMP'!17:17))</f>
        <v>0</v>
      </c>
      <c r="AK18" s="21">
        <f ca="1">IF($D18="","",SUMIF('TALLY BOX DUMP'!$1:$1,'ACH CALC'!AK$2,'TALLY BOX DUMP'!17:17))</f>
        <v>0</v>
      </c>
      <c r="AL18" s="21">
        <f ca="1">IF($D18="","",ROUND(SUMIF('TALLY KG DUMP'!$1:$1,'ACH CALC'!AL$2,'TALLY KG DUMP'!17:17)/30,1))</f>
        <v>0</v>
      </c>
      <c r="AM18" s="21">
        <f ca="1">IF($D18="","",SUMIF('TALLY BOX DUMP'!$1:$1,'ACH CALC'!AM$2,'TALLY BOX DUMP'!17:17))</f>
        <v>0</v>
      </c>
      <c r="AN18" s="21">
        <f ca="1">IF($D18="","",SUMIF('TALLY BOX DUMP'!$1:$1,'ACH CALC'!AN$2,'TALLY BOX DUMP'!17:17))</f>
        <v>0</v>
      </c>
      <c r="AO18" s="21">
        <f ca="1">IF($D18="","",SUMIF('TALLY BOX DUMP'!$1:$1,'ACH CALC'!AO$2,'TALLY BOX DUMP'!17:17))</f>
        <v>0</v>
      </c>
      <c r="AP18" s="21">
        <f ca="1">IF($D18="","",SUMIF('TALLY BOX DUMP'!$1:$1,'ACH CALC'!AP$2,'TALLY BOX DUMP'!17:17))</f>
        <v>0</v>
      </c>
      <c r="AQ18" s="21">
        <f ca="1">IF($D18="","",ROUND(SUMIF('TALLY KG DUMP'!$1:$1,'ACH CALC'!AQ$2,'TALLY KG DUMP'!17:17)/30,1))</f>
        <v>0</v>
      </c>
      <c r="AR18" s="21">
        <f ca="1">IF($D18="","",SUMIF('TALLY BOX DUMP'!$1:$1,'ACH CALC'!AR$2,'TALLY BOX DUMP'!17:17))</f>
        <v>0</v>
      </c>
      <c r="AS18" s="21">
        <f ca="1">IF($D18="","",SUMIF('TALLY BOX DUMP'!$1:$1,'ACH CALC'!AS$2,'TALLY BOX DUMP'!17:17))</f>
        <v>0</v>
      </c>
      <c r="AT18" s="21">
        <f ca="1">IF($D18="","",SUMIF('TALLY BOX DUMP'!$1:$1,'ACH CALC'!AT$2,'TALLY BOX DUMP'!17:17))</f>
        <v>0</v>
      </c>
      <c r="AU18" s="21">
        <f ca="1">IF($D18="","",SUMIF('TALLY BOX DUMP'!$1:$1,'ACH CALC'!AU$2,'TALLY BOX DUMP'!17:17))</f>
        <v>0</v>
      </c>
      <c r="AV18" s="21">
        <f ca="1">IF($D18="","",SUMIF('TALLY BOX DUMP'!$1:$1,'ACH CALC'!AV$2,'TALLY BOX DUMP'!17:17))</f>
        <v>0</v>
      </c>
      <c r="AW18" s="21">
        <f ca="1">IF($D18="","",SUMIF('TALLY BOX DUMP'!$1:$1,'ACH CALC'!AW$2,'TALLY BOX DUMP'!17:17))</f>
        <v>0</v>
      </c>
      <c r="AX18" s="21">
        <f ca="1">IF($D18="","",SUMIF('TALLY BOX DUMP'!$1:$1,'ACH CALC'!AX$2,'TALLY BOX DUMP'!17:17))</f>
        <v>0</v>
      </c>
      <c r="AY18" s="21">
        <f ca="1">IF($D18="","",SUMIF('TALLY BOX DUMP'!$1:$1,'ACH CALC'!AY$2,'TALLY BOX DUMP'!17:17))</f>
        <v>0</v>
      </c>
      <c r="AZ18" s="21">
        <f ca="1">IF($D18="","",SUMIF('TALLY BOX DUMP'!$1:$1,'ACH CALC'!AZ$2,'TALLY BOX DUMP'!17:17))</f>
        <v>0</v>
      </c>
      <c r="BA18" s="69">
        <f>(SUMIF('TALLY KG DUMP'!$2:$2,"Qty",'TALLY KG DUMP'!17:17)/1000)-(SUMIF('TALLY KG DUMP'!$1:$1,"GL",'TALLY KG DUMP'!17:17)/1000)</f>
        <v>4.46</v>
      </c>
      <c r="BB18" s="21" t="b">
        <f t="shared" ca="1" si="2"/>
        <v>1</v>
      </c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</row>
    <row r="19" spans="2:75" x14ac:dyDescent="0.25">
      <c r="B19" s="21" t="str">
        <f ca="1"/>
        <v>16</v>
      </c>
      <c r="C19" s="21" t="str">
        <f ca="1"/>
        <v>SUN01002</v>
      </c>
      <c r="D19" s="21" t="str">
        <f ca="1"/>
        <v>ED.SAKTHI MASALA (P)LTD.</v>
      </c>
      <c r="E19" s="21">
        <f ca="1">IF($D19="","",(SUMIF('TALLY KG DUMP'!$2:$2,"Qty",'TALLY KG DUMP'!18:18)/1000)-(SUMIF('TALLY KG DUMP'!$1:$1,"GL",'TALLY KG DUMP'!18:18)/1000))</f>
        <v>0</v>
      </c>
      <c r="F19" s="21">
        <f ca="1">IF($D19="","",(SUMIF('TALLY KG DUMP'!$1:$1,'ACH CALC'!F$2,'TALLY KG DUMP'!18:18)/1000))</f>
        <v>0</v>
      </c>
      <c r="G19" s="21">
        <f ca="1">IF($D19="","",SUMIF('TALLY BOX DUMP'!$1:$1,'ACH CALC'!G$2,'TALLY BOX DUMP'!18:18)+Y19)</f>
        <v>0</v>
      </c>
      <c r="H19" s="21">
        <f t="shared" ca="1" si="0"/>
        <v>0</v>
      </c>
      <c r="I19" s="21">
        <f ca="1">IF($D19="","",SUMIF('TALLY BOX DUMP'!$1:$1,'ACH CALC'!I$2,'TALLY BOX DUMP'!18:18)+AA19)</f>
        <v>0</v>
      </c>
      <c r="J19" s="21">
        <f ca="1">IF($D19="","",SUMIF('TALLY BOX DUMP'!$1:$1,'ACH CALC'!J$2,'TALLY BOX DUMP'!18:18)+AB19)</f>
        <v>0</v>
      </c>
      <c r="K19" s="21">
        <f ca="1">IF($D19="","",SUMIF('TALLY BOX DUMP'!$1:$1,'ACH CALC'!K$2,'TALLY BOX DUMP'!18:18)+AC19)</f>
        <v>0</v>
      </c>
      <c r="L19" s="21">
        <f ca="1">IF($D19="","",SUMIF('TALLY BOX DUMP'!$1:$1,'ACH CALC'!L$2,'TALLY BOX DUMP'!18:18))</f>
        <v>0</v>
      </c>
      <c r="M19" s="21">
        <f ca="1">IF($D19="","",SUMIF('TALLY BOX DUMP'!$1:$1,'ACH CALC'!M$2,'TALLY BOX DUMP'!18:18)+AD19)</f>
        <v>0</v>
      </c>
      <c r="N19" s="21">
        <f ca="1">IF($D19="","",SUMIF('TALLY BOX DUMP'!$1:$1,'ACH CALC'!N$2,'TALLY BOX DUMP'!18:18))</f>
        <v>0</v>
      </c>
      <c r="O19" s="21">
        <f ca="1">IF($D19="","",SUMIF('TALLY BOX DUMP'!$1:$1,'ACH CALC'!O$2,'TALLY BOX DUMP'!18:18))</f>
        <v>0</v>
      </c>
      <c r="P19" s="21">
        <f ca="1">IF($D19="","",SUMIF('TALLY BOX DUMP'!$1:$1,'ACH CALC'!P$2,'TALLY BOX DUMP'!18:18))</f>
        <v>0</v>
      </c>
      <c r="Q19" s="21">
        <f t="shared" ca="1" si="1"/>
        <v>0</v>
      </c>
      <c r="R19" s="21">
        <f ca="1">IF($D19="","",SUMIF('TALLY BOX DUMP'!$1:$1,'ACH CALC'!R$2,'TALLY BOX DUMP'!18:18))</f>
        <v>0</v>
      </c>
      <c r="S19" s="21">
        <f ca="1">IF($D19="","",SUMIF('TALLY BOX DUMP'!$1:$1,'ACH CALC'!S$2,'TALLY BOX DUMP'!18:18))</f>
        <v>0</v>
      </c>
      <c r="T19" s="21">
        <f ca="1">IF($D19="","",SUMIF('TALLY BOX DUMP'!$1:$1,'ACH CALC'!T$2,'TALLY BOX DUMP'!18:18))</f>
        <v>0</v>
      </c>
      <c r="U19" s="21">
        <f ca="1">IF($D19="","",SUMIF('TALLY BOX DUMP'!$1:$1,'ACH CALC'!U$2,'TALLY BOX DUMP'!18:18))</f>
        <v>0</v>
      </c>
      <c r="V19" s="21">
        <f ca="1">IF($D19="","",SUMIF('TALLY BOX DUMP'!$1:$1,'ACH CALC'!V$2,'TALLY BOX DUMP'!18:18))</f>
        <v>0</v>
      </c>
      <c r="W19" s="21">
        <f ca="1">IF($D19="","",SUMIF('TALLY BOX DUMP'!$1:$1,'ACH CALC'!W$2,'TALLY BOX DUMP'!18:18))</f>
        <v>0</v>
      </c>
      <c r="X19" s="21">
        <f ca="1">IF($D19="","",SUMIF('TALLY BOX DUMP'!$1:$1,'ACH CALC'!X$2,'TALLY BOX DUMP'!18:18))</f>
        <v>0</v>
      </c>
      <c r="Y19" s="21">
        <f ca="1">IF($D19="","",SUMIF('TALLY BOX DUMP'!$1:$1,'ACH CALC'!Y$2,'TALLY BOX DUMP'!18:18))</f>
        <v>0</v>
      </c>
      <c r="Z19" s="21">
        <f ca="1">IF($D19="","",SUMIF('TALLY BOX DUMP'!$1:$1,'ACH CALC'!Z$2,'TALLY BOX DUMP'!18:18)+AE19)</f>
        <v>0</v>
      </c>
      <c r="AA19" s="21">
        <f ca="1">IF($D19="","",SUMIF('TALLY BOX DUMP'!$1:$1,'ACH CALC'!AA$2,'TALLY BOX DUMP'!18:18))</f>
        <v>0</v>
      </c>
      <c r="AB19" s="21">
        <f ca="1">IF($D19="","",SUMIF('TALLY BOX DUMP'!$1:$1,'ACH CALC'!AB$2,'TALLY BOX DUMP'!18:18))</f>
        <v>0</v>
      </c>
      <c r="AC19" s="21">
        <f ca="1">IF($D19="","",SUMIF('TALLY BOX DUMP'!$1:$1,'ACH CALC'!AC$2,'TALLY BOX DUMP'!18:18))</f>
        <v>0</v>
      </c>
      <c r="AD19" s="21">
        <f ca="1">IF($D19="","",SUMIF('TALLY BOX DUMP'!$1:$1,'ACH CALC'!AD$2,'TALLY BOX DUMP'!18:18))</f>
        <v>0</v>
      </c>
      <c r="AE19" s="21">
        <f ca="1">IF($D19="","",SUMIF('TALLY BOX DUMP'!$1:$1,'ACH CALC'!AE$2,'TALLY BOX DUMP'!18:18))</f>
        <v>0</v>
      </c>
      <c r="AF19" s="21">
        <f ca="1">IF($D19="","",SUMIF('TALLY BOX DUMP'!$1:$1,'ACH CALC'!AF$2,'TALLY BOX DUMP'!18:18))</f>
        <v>0</v>
      </c>
      <c r="AG19" s="21">
        <f ca="1">IF($D19="","",SUMIF('TALLY BOX DUMP'!$1:$1,'ACH CALC'!AG$2,'TALLY BOX DUMP'!18:18))</f>
        <v>0</v>
      </c>
      <c r="AH19" s="21">
        <f ca="1">IF($D19="","",SUMIF('TALLY BOX DUMP'!$1:$1,'ACH CALC'!AH$2,'TALLY BOX DUMP'!18:18))</f>
        <v>0</v>
      </c>
      <c r="AI19" s="21">
        <f ca="1">IF($D19="","",SUMIF('TALLY BOX DUMP'!$1:$1,'ACH CALC'!AI$2,'TALLY BOX DUMP'!18:18))</f>
        <v>0</v>
      </c>
      <c r="AJ19" s="21">
        <f ca="1">IF($D19="","",SUMIF('TALLY BOX DUMP'!$1:$1,'ACH CALC'!AJ$2,'TALLY BOX DUMP'!18:18))</f>
        <v>0</v>
      </c>
      <c r="AK19" s="21">
        <f ca="1">IF($D19="","",SUMIF('TALLY BOX DUMP'!$1:$1,'ACH CALC'!AK$2,'TALLY BOX DUMP'!18:18))</f>
        <v>0</v>
      </c>
      <c r="AL19" s="21">
        <f ca="1">IF($D19="","",ROUND(SUMIF('TALLY KG DUMP'!$1:$1,'ACH CALC'!AL$2,'TALLY KG DUMP'!18:18)/30,1))</f>
        <v>0</v>
      </c>
      <c r="AM19" s="21">
        <f ca="1">IF($D19="","",SUMIF('TALLY BOX DUMP'!$1:$1,'ACH CALC'!AM$2,'TALLY BOX DUMP'!18:18))</f>
        <v>0</v>
      </c>
      <c r="AN19" s="21">
        <f ca="1">IF($D19="","",SUMIF('TALLY BOX DUMP'!$1:$1,'ACH CALC'!AN$2,'TALLY BOX DUMP'!18:18))</f>
        <v>0</v>
      </c>
      <c r="AO19" s="21">
        <f ca="1">IF($D19="","",SUMIF('TALLY BOX DUMP'!$1:$1,'ACH CALC'!AO$2,'TALLY BOX DUMP'!18:18))</f>
        <v>0</v>
      </c>
      <c r="AP19" s="21">
        <f ca="1">IF($D19="","",SUMIF('TALLY BOX DUMP'!$1:$1,'ACH CALC'!AP$2,'TALLY BOX DUMP'!18:18))</f>
        <v>0</v>
      </c>
      <c r="AQ19" s="21">
        <f ca="1">IF($D19="","",ROUND(SUMIF('TALLY KG DUMP'!$1:$1,'ACH CALC'!AQ$2,'TALLY KG DUMP'!18:18)/30,1))</f>
        <v>0</v>
      </c>
      <c r="AR19" s="21">
        <f ca="1">IF($D19="","",SUMIF('TALLY BOX DUMP'!$1:$1,'ACH CALC'!AR$2,'TALLY BOX DUMP'!18:18))</f>
        <v>0</v>
      </c>
      <c r="AS19" s="21">
        <f ca="1">IF($D19="","",SUMIF('TALLY BOX DUMP'!$1:$1,'ACH CALC'!AS$2,'TALLY BOX DUMP'!18:18))</f>
        <v>0</v>
      </c>
      <c r="AT19" s="21">
        <f ca="1">IF($D19="","",SUMIF('TALLY BOX DUMP'!$1:$1,'ACH CALC'!AT$2,'TALLY BOX DUMP'!18:18))</f>
        <v>0</v>
      </c>
      <c r="AU19" s="21">
        <f ca="1">IF($D19="","",SUMIF('TALLY BOX DUMP'!$1:$1,'ACH CALC'!AU$2,'TALLY BOX DUMP'!18:18))</f>
        <v>0</v>
      </c>
      <c r="AV19" s="21">
        <f ca="1">IF($D19="","",SUMIF('TALLY BOX DUMP'!$1:$1,'ACH CALC'!AV$2,'TALLY BOX DUMP'!18:18))</f>
        <v>0</v>
      </c>
      <c r="AW19" s="21">
        <f ca="1">IF($D19="","",SUMIF('TALLY BOX DUMP'!$1:$1,'ACH CALC'!AW$2,'TALLY BOX DUMP'!18:18))</f>
        <v>0</v>
      </c>
      <c r="AX19" s="21">
        <f ca="1">IF($D19="","",SUMIF('TALLY BOX DUMP'!$1:$1,'ACH CALC'!AX$2,'TALLY BOX DUMP'!18:18))</f>
        <v>0</v>
      </c>
      <c r="AY19" s="21">
        <f ca="1">IF($D19="","",SUMIF('TALLY BOX DUMP'!$1:$1,'ACH CALC'!AY$2,'TALLY BOX DUMP'!18:18))</f>
        <v>0</v>
      </c>
      <c r="AZ19" s="21">
        <f ca="1">IF($D19="","",SUMIF('TALLY BOX DUMP'!$1:$1,'ACH CALC'!AZ$2,'TALLY BOX DUMP'!18:18))</f>
        <v>0</v>
      </c>
      <c r="BA19" s="69">
        <f>(SUMIF('TALLY KG DUMP'!$2:$2,"Qty",'TALLY KG DUMP'!18:18)/1000)-(SUMIF('TALLY KG DUMP'!$1:$1,"GL",'TALLY KG DUMP'!18:18)/1000)</f>
        <v>0</v>
      </c>
      <c r="BB19" s="21" t="b">
        <f t="shared" ca="1" si="2"/>
        <v>1</v>
      </c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</row>
    <row r="20" spans="2:75" x14ac:dyDescent="0.25">
      <c r="B20" s="21" t="str">
        <f ca="1"/>
        <v>17</v>
      </c>
      <c r="C20" s="21" t="str">
        <f ca="1"/>
        <v>SUN04325</v>
      </c>
      <c r="D20" s="21" t="str">
        <f ca="1"/>
        <v>WAYANAD - KALAVAKURU ESTATES PRIVATE LIMITED (GRT)</v>
      </c>
      <c r="E20" s="21">
        <f ca="1">IF($D20="","",(SUMIF('TALLY KG DUMP'!$2:$2,"Qty",'TALLY KG DUMP'!19:19)/1000)-(SUMIF('TALLY KG DUMP'!$1:$1,"GL",'TALLY KG DUMP'!19:19)/1000))</f>
        <v>2.1840000000000002</v>
      </c>
      <c r="F20" s="21">
        <f ca="1">IF($D20="","",(SUMIF('TALLY KG DUMP'!$1:$1,'ACH CALC'!F$2,'TALLY KG DUMP'!19:19)/1000))</f>
        <v>0</v>
      </c>
      <c r="G20" s="21">
        <f ca="1">IF($D20="","",SUMIF('TALLY BOX DUMP'!$1:$1,'ACH CALC'!G$2,'TALLY BOX DUMP'!19:19)+Y20)</f>
        <v>0</v>
      </c>
      <c r="H20" s="21">
        <f t="shared" ca="1" si="0"/>
        <v>0</v>
      </c>
      <c r="I20" s="21">
        <f ca="1">IF($D20="","",SUMIF('TALLY BOX DUMP'!$1:$1,'ACH CALC'!I$2,'TALLY BOX DUMP'!19:19)+AA20)</f>
        <v>0</v>
      </c>
      <c r="J20" s="21">
        <f ca="1">IF($D20="","",SUMIF('TALLY BOX DUMP'!$1:$1,'ACH CALC'!J$2,'TALLY BOX DUMP'!19:19)+AB20)</f>
        <v>0</v>
      </c>
      <c r="K20" s="21">
        <f ca="1">IF($D20="","",SUMIF('TALLY BOX DUMP'!$1:$1,'ACH CALC'!K$2,'TALLY BOX DUMP'!19:19)+AC20)</f>
        <v>0</v>
      </c>
      <c r="L20" s="21">
        <f ca="1">IF($D20="","",SUMIF('TALLY BOX DUMP'!$1:$1,'ACH CALC'!L$2,'TALLY BOX DUMP'!19:19))</f>
        <v>0</v>
      </c>
      <c r="M20" s="21">
        <f ca="1">IF($D20="","",SUMIF('TALLY BOX DUMP'!$1:$1,'ACH CALC'!M$2,'TALLY BOX DUMP'!19:19)+AD20)</f>
        <v>0</v>
      </c>
      <c r="N20" s="21">
        <f ca="1">IF($D20="","",SUMIF('TALLY BOX DUMP'!$1:$1,'ACH CALC'!N$2,'TALLY BOX DUMP'!19:19))</f>
        <v>0</v>
      </c>
      <c r="O20" s="21">
        <f ca="1">IF($D20="","",SUMIF('TALLY BOX DUMP'!$1:$1,'ACH CALC'!O$2,'TALLY BOX DUMP'!19:19))</f>
        <v>0</v>
      </c>
      <c r="P20" s="21">
        <f ca="1">IF($D20="","",SUMIF('TALLY BOX DUMP'!$1:$1,'ACH CALC'!P$2,'TALLY BOX DUMP'!19:19))</f>
        <v>0</v>
      </c>
      <c r="Q20" s="21">
        <f t="shared" ca="1" si="1"/>
        <v>0</v>
      </c>
      <c r="R20" s="21">
        <f ca="1">IF($D20="","",SUMIF('TALLY BOX DUMP'!$1:$1,'ACH CALC'!R$2,'TALLY BOX DUMP'!19:19))</f>
        <v>0</v>
      </c>
      <c r="S20" s="21">
        <f ca="1">IF($D20="","",SUMIF('TALLY BOX DUMP'!$1:$1,'ACH CALC'!S$2,'TALLY BOX DUMP'!19:19))</f>
        <v>0</v>
      </c>
      <c r="T20" s="21">
        <f ca="1">IF($D20="","",SUMIF('TALLY BOX DUMP'!$1:$1,'ACH CALC'!T$2,'TALLY BOX DUMP'!19:19))</f>
        <v>0</v>
      </c>
      <c r="U20" s="21">
        <f ca="1">IF($D20="","",SUMIF('TALLY BOX DUMP'!$1:$1,'ACH CALC'!U$2,'TALLY BOX DUMP'!19:19))</f>
        <v>0</v>
      </c>
      <c r="V20" s="21">
        <f ca="1">IF($D20="","",SUMIF('TALLY BOX DUMP'!$1:$1,'ACH CALC'!V$2,'TALLY BOX DUMP'!19:19))</f>
        <v>0</v>
      </c>
      <c r="W20" s="21">
        <f ca="1">IF($D20="","",SUMIF('TALLY BOX DUMP'!$1:$1,'ACH CALC'!W$2,'TALLY BOX DUMP'!19:19))</f>
        <v>0</v>
      </c>
      <c r="X20" s="21">
        <f ca="1">IF($D20="","",SUMIF('TALLY BOX DUMP'!$1:$1,'ACH CALC'!X$2,'TALLY BOX DUMP'!19:19))</f>
        <v>0</v>
      </c>
      <c r="Y20" s="21">
        <f ca="1">IF($D20="","",SUMIF('TALLY BOX DUMP'!$1:$1,'ACH CALC'!Y$2,'TALLY BOX DUMP'!19:19))</f>
        <v>0</v>
      </c>
      <c r="Z20" s="21">
        <f ca="1">IF($D20="","",SUMIF('TALLY BOX DUMP'!$1:$1,'ACH CALC'!Z$2,'TALLY BOX DUMP'!19:19)+AE20)</f>
        <v>0</v>
      </c>
      <c r="AA20" s="21">
        <f ca="1">IF($D20="","",SUMIF('TALLY BOX DUMP'!$1:$1,'ACH CALC'!AA$2,'TALLY BOX DUMP'!19:19))</f>
        <v>0</v>
      </c>
      <c r="AB20" s="21">
        <f ca="1">IF($D20="","",SUMIF('TALLY BOX DUMP'!$1:$1,'ACH CALC'!AB$2,'TALLY BOX DUMP'!19:19))</f>
        <v>0</v>
      </c>
      <c r="AC20" s="21">
        <f ca="1">IF($D20="","",SUMIF('TALLY BOX DUMP'!$1:$1,'ACH CALC'!AC$2,'TALLY BOX DUMP'!19:19))</f>
        <v>0</v>
      </c>
      <c r="AD20" s="21">
        <f ca="1">IF($D20="","",SUMIF('TALLY BOX DUMP'!$1:$1,'ACH CALC'!AD$2,'TALLY BOX DUMP'!19:19))</f>
        <v>0</v>
      </c>
      <c r="AE20" s="21">
        <f ca="1">IF($D20="","",SUMIF('TALLY BOX DUMP'!$1:$1,'ACH CALC'!AE$2,'TALLY BOX DUMP'!19:19))</f>
        <v>0</v>
      </c>
      <c r="AF20" s="21">
        <f ca="1">IF($D20="","",SUMIF('TALLY BOX DUMP'!$1:$1,'ACH CALC'!AF$2,'TALLY BOX DUMP'!19:19))</f>
        <v>0</v>
      </c>
      <c r="AG20" s="21">
        <f ca="1">IF($D20="","",SUMIF('TALLY BOX DUMP'!$1:$1,'ACH CALC'!AG$2,'TALLY BOX DUMP'!19:19))</f>
        <v>0</v>
      </c>
      <c r="AH20" s="21">
        <f ca="1">IF($D20="","",SUMIF('TALLY BOX DUMP'!$1:$1,'ACH CALC'!AH$2,'TALLY BOX DUMP'!19:19))</f>
        <v>0</v>
      </c>
      <c r="AI20" s="21">
        <f ca="1">IF($D20="","",SUMIF('TALLY BOX DUMP'!$1:$1,'ACH CALC'!AI$2,'TALLY BOX DUMP'!19:19))</f>
        <v>0</v>
      </c>
      <c r="AJ20" s="21">
        <f ca="1">IF($D20="","",SUMIF('TALLY BOX DUMP'!$1:$1,'ACH CALC'!AJ$2,'TALLY BOX DUMP'!19:19))</f>
        <v>0</v>
      </c>
      <c r="AK20" s="21">
        <f ca="1">IF($D20="","",SUMIF('TALLY BOX DUMP'!$1:$1,'ACH CALC'!AK$2,'TALLY BOX DUMP'!19:19))</f>
        <v>0</v>
      </c>
      <c r="AL20" s="21">
        <f ca="1">IF($D20="","",ROUND(SUMIF('TALLY KG DUMP'!$1:$1,'ACH CALC'!AL$2,'TALLY KG DUMP'!19:19)/30,1))</f>
        <v>0</v>
      </c>
      <c r="AM20" s="21">
        <f ca="1">IF($D20="","",SUMIF('TALLY BOX DUMP'!$1:$1,'ACH CALC'!AM$2,'TALLY BOX DUMP'!19:19))</f>
        <v>0</v>
      </c>
      <c r="AN20" s="21">
        <f ca="1">IF($D20="","",SUMIF('TALLY BOX DUMP'!$1:$1,'ACH CALC'!AN$2,'TALLY BOX DUMP'!19:19))</f>
        <v>0</v>
      </c>
      <c r="AO20" s="21">
        <f ca="1">IF($D20="","",SUMIF('TALLY BOX DUMP'!$1:$1,'ACH CALC'!AO$2,'TALLY BOX DUMP'!19:19))</f>
        <v>0</v>
      </c>
      <c r="AP20" s="21">
        <f ca="1">IF($D20="","",SUMIF('TALLY BOX DUMP'!$1:$1,'ACH CALC'!AP$2,'TALLY BOX DUMP'!19:19))</f>
        <v>0</v>
      </c>
      <c r="AQ20" s="21">
        <f ca="1">IF($D20="","",ROUND(SUMIF('TALLY KG DUMP'!$1:$1,'ACH CALC'!AQ$2,'TALLY KG DUMP'!19:19)/30,1))</f>
        <v>0</v>
      </c>
      <c r="AR20" s="21">
        <f ca="1">IF($D20="","",SUMIF('TALLY BOX DUMP'!$1:$1,'ACH CALC'!AR$2,'TALLY BOX DUMP'!19:19))</f>
        <v>0</v>
      </c>
      <c r="AS20" s="21">
        <f ca="1">IF($D20="","",SUMIF('TALLY BOX DUMP'!$1:$1,'ACH CALC'!AS$2,'TALLY BOX DUMP'!19:19))</f>
        <v>0</v>
      </c>
      <c r="AT20" s="21">
        <f ca="1">IF($D20="","",SUMIF('TALLY BOX DUMP'!$1:$1,'ACH CALC'!AT$2,'TALLY BOX DUMP'!19:19))</f>
        <v>0</v>
      </c>
      <c r="AU20" s="21">
        <f ca="1">IF($D20="","",SUMIF('TALLY BOX DUMP'!$1:$1,'ACH CALC'!AU$2,'TALLY BOX DUMP'!19:19))</f>
        <v>0</v>
      </c>
      <c r="AV20" s="21">
        <f ca="1">IF($D20="","",SUMIF('TALLY BOX DUMP'!$1:$1,'ACH CALC'!AV$2,'TALLY BOX DUMP'!19:19))</f>
        <v>0</v>
      </c>
      <c r="AW20" s="21">
        <f ca="1">IF($D20="","",SUMIF('TALLY BOX DUMP'!$1:$1,'ACH CALC'!AW$2,'TALLY BOX DUMP'!19:19))</f>
        <v>0</v>
      </c>
      <c r="AX20" s="21">
        <f ca="1">IF($D20="","",SUMIF('TALLY BOX DUMP'!$1:$1,'ACH CALC'!AX$2,'TALLY BOX DUMP'!19:19))</f>
        <v>0</v>
      </c>
      <c r="AY20" s="21">
        <f ca="1">IF($D20="","",SUMIF('TALLY BOX DUMP'!$1:$1,'ACH CALC'!AY$2,'TALLY BOX DUMP'!19:19))</f>
        <v>0</v>
      </c>
      <c r="AZ20" s="21">
        <f ca="1">IF($D20="","",SUMIF('TALLY BOX DUMP'!$1:$1,'ACH CALC'!AZ$2,'TALLY BOX DUMP'!19:19))</f>
        <v>0</v>
      </c>
      <c r="BA20" s="69">
        <f>(SUMIF('TALLY KG DUMP'!$2:$2,"Qty",'TALLY KG DUMP'!19:19)/1000)-(SUMIF('TALLY KG DUMP'!$1:$1,"GL",'TALLY KG DUMP'!19:19)/1000)</f>
        <v>2.1840000000000002</v>
      </c>
      <c r="BB20" s="21" t="b">
        <f t="shared" ca="1" si="2"/>
        <v>1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</row>
    <row r="21" spans="2:75" x14ac:dyDescent="0.25">
      <c r="B21" s="21" t="str">
        <f ca="1"/>
        <v>18</v>
      </c>
      <c r="C21" s="21" t="str">
        <f ca="1"/>
        <v>SUN07376</v>
      </c>
      <c r="D21" s="21" t="str">
        <f ca="1"/>
        <v>KL-CHERUTHURUTHY-K S K STORES</v>
      </c>
      <c r="E21" s="21">
        <f ca="1">IF($D21="","",(SUMIF('TALLY KG DUMP'!$2:$2,"Qty",'TALLY KG DUMP'!20:20)/1000)-(SUMIF('TALLY KG DUMP'!$1:$1,"GL",'TALLY KG DUMP'!20:20)/1000))</f>
        <v>1.82</v>
      </c>
      <c r="F21" s="21">
        <f ca="1">IF($D21="","",(SUMIF('TALLY KG DUMP'!$1:$1,'ACH CALC'!F$2,'TALLY KG DUMP'!20:20)/1000))</f>
        <v>0</v>
      </c>
      <c r="G21" s="21">
        <f ca="1">IF($D21="","",SUMIF('TALLY BOX DUMP'!$1:$1,'ACH CALC'!G$2,'TALLY BOX DUMP'!20:20)+Y21)</f>
        <v>0</v>
      </c>
      <c r="H21" s="21">
        <f t="shared" ca="1" si="0"/>
        <v>0</v>
      </c>
      <c r="I21" s="21">
        <f ca="1">IF($D21="","",SUMIF('TALLY BOX DUMP'!$1:$1,'ACH CALC'!I$2,'TALLY BOX DUMP'!20:20)+AA21)</f>
        <v>0</v>
      </c>
      <c r="J21" s="21">
        <f ca="1">IF($D21="","",SUMIF('TALLY BOX DUMP'!$1:$1,'ACH CALC'!J$2,'TALLY BOX DUMP'!20:20)+AB21)</f>
        <v>0</v>
      </c>
      <c r="K21" s="21">
        <f ca="1">IF($D21="","",SUMIF('TALLY BOX DUMP'!$1:$1,'ACH CALC'!K$2,'TALLY BOX DUMP'!20:20)+AC21)</f>
        <v>0</v>
      </c>
      <c r="L21" s="21">
        <f ca="1">IF($D21="","",SUMIF('TALLY BOX DUMP'!$1:$1,'ACH CALC'!L$2,'TALLY BOX DUMP'!20:20))</f>
        <v>0</v>
      </c>
      <c r="M21" s="21">
        <f ca="1">IF($D21="","",SUMIF('TALLY BOX DUMP'!$1:$1,'ACH CALC'!M$2,'TALLY BOX DUMP'!20:20)+AD21)</f>
        <v>0</v>
      </c>
      <c r="N21" s="21">
        <f ca="1">IF($D21="","",SUMIF('TALLY BOX DUMP'!$1:$1,'ACH CALC'!N$2,'TALLY BOX DUMP'!20:20))</f>
        <v>0</v>
      </c>
      <c r="O21" s="21">
        <f ca="1">IF($D21="","",SUMIF('TALLY BOX DUMP'!$1:$1,'ACH CALC'!O$2,'TALLY BOX DUMP'!20:20))</f>
        <v>0</v>
      </c>
      <c r="P21" s="21">
        <f ca="1">IF($D21="","",SUMIF('TALLY BOX DUMP'!$1:$1,'ACH CALC'!P$2,'TALLY BOX DUMP'!20:20))</f>
        <v>0</v>
      </c>
      <c r="Q21" s="21">
        <f t="shared" ca="1" si="1"/>
        <v>0</v>
      </c>
      <c r="R21" s="21">
        <f ca="1">IF($D21="","",SUMIF('TALLY BOX DUMP'!$1:$1,'ACH CALC'!R$2,'TALLY BOX DUMP'!20:20))</f>
        <v>0</v>
      </c>
      <c r="S21" s="21">
        <f ca="1">IF($D21="","",SUMIF('TALLY BOX DUMP'!$1:$1,'ACH CALC'!S$2,'TALLY BOX DUMP'!20:20))</f>
        <v>0</v>
      </c>
      <c r="T21" s="21">
        <f ca="1">IF($D21="","",SUMIF('TALLY BOX DUMP'!$1:$1,'ACH CALC'!T$2,'TALLY BOX DUMP'!20:20))</f>
        <v>0</v>
      </c>
      <c r="U21" s="21">
        <f ca="1">IF($D21="","",SUMIF('TALLY BOX DUMP'!$1:$1,'ACH CALC'!U$2,'TALLY BOX DUMP'!20:20))</f>
        <v>0</v>
      </c>
      <c r="V21" s="21">
        <f ca="1">IF($D21="","",SUMIF('TALLY BOX DUMP'!$1:$1,'ACH CALC'!V$2,'TALLY BOX DUMP'!20:20))</f>
        <v>0</v>
      </c>
      <c r="W21" s="21">
        <f ca="1">IF($D21="","",SUMIF('TALLY BOX DUMP'!$1:$1,'ACH CALC'!W$2,'TALLY BOX DUMP'!20:20))</f>
        <v>0</v>
      </c>
      <c r="X21" s="21">
        <f ca="1">IF($D21="","",SUMIF('TALLY BOX DUMP'!$1:$1,'ACH CALC'!X$2,'TALLY BOX DUMP'!20:20))</f>
        <v>0</v>
      </c>
      <c r="Y21" s="21">
        <f ca="1">IF($D21="","",SUMIF('TALLY BOX DUMP'!$1:$1,'ACH CALC'!Y$2,'TALLY BOX DUMP'!20:20))</f>
        <v>0</v>
      </c>
      <c r="Z21" s="21">
        <f ca="1">IF($D21="","",SUMIF('TALLY BOX DUMP'!$1:$1,'ACH CALC'!Z$2,'TALLY BOX DUMP'!20:20)+AE21)</f>
        <v>0</v>
      </c>
      <c r="AA21" s="21">
        <f ca="1">IF($D21="","",SUMIF('TALLY BOX DUMP'!$1:$1,'ACH CALC'!AA$2,'TALLY BOX DUMP'!20:20))</f>
        <v>0</v>
      </c>
      <c r="AB21" s="21">
        <f ca="1">IF($D21="","",SUMIF('TALLY BOX DUMP'!$1:$1,'ACH CALC'!AB$2,'TALLY BOX DUMP'!20:20))</f>
        <v>0</v>
      </c>
      <c r="AC21" s="21">
        <f ca="1">IF($D21="","",SUMIF('TALLY BOX DUMP'!$1:$1,'ACH CALC'!AC$2,'TALLY BOX DUMP'!20:20))</f>
        <v>0</v>
      </c>
      <c r="AD21" s="21">
        <f ca="1">IF($D21="","",SUMIF('TALLY BOX DUMP'!$1:$1,'ACH CALC'!AD$2,'TALLY BOX DUMP'!20:20))</f>
        <v>0</v>
      </c>
      <c r="AE21" s="21">
        <f ca="1">IF($D21="","",SUMIF('TALLY BOX DUMP'!$1:$1,'ACH CALC'!AE$2,'TALLY BOX DUMP'!20:20))</f>
        <v>0</v>
      </c>
      <c r="AF21" s="21">
        <f ca="1">IF($D21="","",SUMIF('TALLY BOX DUMP'!$1:$1,'ACH CALC'!AF$2,'TALLY BOX DUMP'!20:20))</f>
        <v>0</v>
      </c>
      <c r="AG21" s="21">
        <f ca="1">IF($D21="","",SUMIF('TALLY BOX DUMP'!$1:$1,'ACH CALC'!AG$2,'TALLY BOX DUMP'!20:20))</f>
        <v>0</v>
      </c>
      <c r="AH21" s="21">
        <f ca="1">IF($D21="","",SUMIF('TALLY BOX DUMP'!$1:$1,'ACH CALC'!AH$2,'TALLY BOX DUMP'!20:20))</f>
        <v>0</v>
      </c>
      <c r="AI21" s="21">
        <f ca="1">IF($D21="","",SUMIF('TALLY BOX DUMP'!$1:$1,'ACH CALC'!AI$2,'TALLY BOX DUMP'!20:20))</f>
        <v>0</v>
      </c>
      <c r="AJ21" s="21">
        <f ca="1">IF($D21="","",SUMIF('TALLY BOX DUMP'!$1:$1,'ACH CALC'!AJ$2,'TALLY BOX DUMP'!20:20))</f>
        <v>0</v>
      </c>
      <c r="AK21" s="21">
        <f ca="1">IF($D21="","",SUMIF('TALLY BOX DUMP'!$1:$1,'ACH CALC'!AK$2,'TALLY BOX DUMP'!20:20))</f>
        <v>0</v>
      </c>
      <c r="AL21" s="21">
        <f ca="1">IF($D21="","",ROUND(SUMIF('TALLY KG DUMP'!$1:$1,'ACH CALC'!AL$2,'TALLY KG DUMP'!20:20)/30,1))</f>
        <v>0</v>
      </c>
      <c r="AM21" s="21">
        <f ca="1">IF($D21="","",SUMIF('TALLY BOX DUMP'!$1:$1,'ACH CALC'!AM$2,'TALLY BOX DUMP'!20:20))</f>
        <v>0</v>
      </c>
      <c r="AN21" s="21">
        <f ca="1">IF($D21="","",SUMIF('TALLY BOX DUMP'!$1:$1,'ACH CALC'!AN$2,'TALLY BOX DUMP'!20:20))</f>
        <v>0</v>
      </c>
      <c r="AO21" s="21">
        <f ca="1">IF($D21="","",SUMIF('TALLY BOX DUMP'!$1:$1,'ACH CALC'!AO$2,'TALLY BOX DUMP'!20:20))</f>
        <v>0</v>
      </c>
      <c r="AP21" s="21">
        <f ca="1">IF($D21="","",SUMIF('TALLY BOX DUMP'!$1:$1,'ACH CALC'!AP$2,'TALLY BOX DUMP'!20:20))</f>
        <v>0</v>
      </c>
      <c r="AQ21" s="21">
        <f ca="1">IF($D21="","",ROUND(SUMIF('TALLY KG DUMP'!$1:$1,'ACH CALC'!AQ$2,'TALLY KG DUMP'!20:20)/30,1))</f>
        <v>0</v>
      </c>
      <c r="AR21" s="21">
        <f ca="1">IF($D21="","",SUMIF('TALLY BOX DUMP'!$1:$1,'ACH CALC'!AR$2,'TALLY BOX DUMP'!20:20))</f>
        <v>0</v>
      </c>
      <c r="AS21" s="21">
        <f ca="1">IF($D21="","",SUMIF('TALLY BOX DUMP'!$1:$1,'ACH CALC'!AS$2,'TALLY BOX DUMP'!20:20))</f>
        <v>0</v>
      </c>
      <c r="AT21" s="21">
        <f ca="1">IF($D21="","",SUMIF('TALLY BOX DUMP'!$1:$1,'ACH CALC'!AT$2,'TALLY BOX DUMP'!20:20))</f>
        <v>0</v>
      </c>
      <c r="AU21" s="21">
        <f ca="1">IF($D21="","",SUMIF('TALLY BOX DUMP'!$1:$1,'ACH CALC'!AU$2,'TALLY BOX DUMP'!20:20))</f>
        <v>0</v>
      </c>
      <c r="AV21" s="21">
        <f ca="1">IF($D21="","",SUMIF('TALLY BOX DUMP'!$1:$1,'ACH CALC'!AV$2,'TALLY BOX DUMP'!20:20))</f>
        <v>0</v>
      </c>
      <c r="AW21" s="21">
        <f ca="1">IF($D21="","",SUMIF('TALLY BOX DUMP'!$1:$1,'ACH CALC'!AW$2,'TALLY BOX DUMP'!20:20))</f>
        <v>0</v>
      </c>
      <c r="AX21" s="21">
        <f ca="1">IF($D21="","",SUMIF('TALLY BOX DUMP'!$1:$1,'ACH CALC'!AX$2,'TALLY BOX DUMP'!20:20))</f>
        <v>0</v>
      </c>
      <c r="AY21" s="21">
        <f ca="1">IF($D21="","",SUMIF('TALLY BOX DUMP'!$1:$1,'ACH CALC'!AY$2,'TALLY BOX DUMP'!20:20))</f>
        <v>0</v>
      </c>
      <c r="AZ21" s="21">
        <f ca="1">IF($D21="","",SUMIF('TALLY BOX DUMP'!$1:$1,'ACH CALC'!AZ$2,'TALLY BOX DUMP'!20:20))</f>
        <v>0</v>
      </c>
      <c r="BA21" s="69">
        <f>(SUMIF('TALLY KG DUMP'!$2:$2,"Qty",'TALLY KG DUMP'!20:20)/1000)-(SUMIF('TALLY KG DUMP'!$1:$1,"GL",'TALLY KG DUMP'!20:20)/1000)</f>
        <v>1.82</v>
      </c>
      <c r="BB21" s="21" t="b">
        <f t="shared" ca="1" si="2"/>
        <v>1</v>
      </c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</row>
    <row r="22" spans="2:75" x14ac:dyDescent="0.25">
      <c r="B22" s="21" t="str">
        <f ca="1"/>
        <v>19</v>
      </c>
      <c r="C22" s="21" t="str">
        <f ca="1"/>
        <v>SUN01197</v>
      </c>
      <c r="D22" s="21" t="str">
        <f ca="1"/>
        <v>KL PERINGODE  GOD WIN FLOUR &amp; OIL MILL</v>
      </c>
      <c r="E22" s="21">
        <f ca="1">IF($D22="","",(SUMIF('TALLY KG DUMP'!$2:$2,"Qty",'TALLY KG DUMP'!21:21)/1000)-(SUMIF('TALLY KG DUMP'!$1:$1,"GL",'TALLY KG DUMP'!21:21)/1000))</f>
        <v>9.1999999999999998E-2</v>
      </c>
      <c r="F22" s="21">
        <f ca="1">IF($D22="","",(SUMIF('TALLY KG DUMP'!$1:$1,'ACH CALC'!F$2,'TALLY KG DUMP'!21:21)/1000))</f>
        <v>0</v>
      </c>
      <c r="G22" s="21">
        <f ca="1">IF($D22="","",SUMIF('TALLY BOX DUMP'!$1:$1,'ACH CALC'!G$2,'TALLY BOX DUMP'!21:21)+Y22)</f>
        <v>0</v>
      </c>
      <c r="H22" s="21">
        <f t="shared" ca="1" si="0"/>
        <v>0</v>
      </c>
      <c r="I22" s="21">
        <f ca="1">IF($D22="","",SUMIF('TALLY BOX DUMP'!$1:$1,'ACH CALC'!I$2,'TALLY BOX DUMP'!21:21)+AA22)</f>
        <v>0</v>
      </c>
      <c r="J22" s="21">
        <f ca="1">IF($D22="","",SUMIF('TALLY BOX DUMP'!$1:$1,'ACH CALC'!J$2,'TALLY BOX DUMP'!21:21)+AB22)</f>
        <v>0</v>
      </c>
      <c r="K22" s="21">
        <f ca="1">IF($D22="","",SUMIF('TALLY BOX DUMP'!$1:$1,'ACH CALC'!K$2,'TALLY BOX DUMP'!21:21)+AC22)</f>
        <v>0</v>
      </c>
      <c r="L22" s="21">
        <f ca="1">IF($D22="","",SUMIF('TALLY BOX DUMP'!$1:$1,'ACH CALC'!L$2,'TALLY BOX DUMP'!21:21))</f>
        <v>0</v>
      </c>
      <c r="M22" s="21">
        <f ca="1">IF($D22="","",SUMIF('TALLY BOX DUMP'!$1:$1,'ACH CALC'!M$2,'TALLY BOX DUMP'!21:21)+AD22)</f>
        <v>0</v>
      </c>
      <c r="N22" s="21">
        <f ca="1">IF($D22="","",SUMIF('TALLY BOX DUMP'!$1:$1,'ACH CALC'!N$2,'TALLY BOX DUMP'!21:21))</f>
        <v>0</v>
      </c>
      <c r="O22" s="21">
        <f ca="1">IF($D22="","",SUMIF('TALLY BOX DUMP'!$1:$1,'ACH CALC'!O$2,'TALLY BOX DUMP'!21:21))</f>
        <v>0</v>
      </c>
      <c r="P22" s="21">
        <f ca="1">IF($D22="","",SUMIF('TALLY BOX DUMP'!$1:$1,'ACH CALC'!P$2,'TALLY BOX DUMP'!21:21))</f>
        <v>0</v>
      </c>
      <c r="Q22" s="21">
        <f t="shared" ca="1" si="1"/>
        <v>0</v>
      </c>
      <c r="R22" s="21">
        <f ca="1">IF($D22="","",SUMIF('TALLY BOX DUMP'!$1:$1,'ACH CALC'!R$2,'TALLY BOX DUMP'!21:21))</f>
        <v>0</v>
      </c>
      <c r="S22" s="21">
        <f ca="1">IF($D22="","",SUMIF('TALLY BOX DUMP'!$1:$1,'ACH CALC'!S$2,'TALLY BOX DUMP'!21:21))</f>
        <v>0</v>
      </c>
      <c r="T22" s="21">
        <f ca="1">IF($D22="","",SUMIF('TALLY BOX DUMP'!$1:$1,'ACH CALC'!T$2,'TALLY BOX DUMP'!21:21))</f>
        <v>0</v>
      </c>
      <c r="U22" s="21">
        <f ca="1">IF($D22="","",SUMIF('TALLY BOX DUMP'!$1:$1,'ACH CALC'!U$2,'TALLY BOX DUMP'!21:21))</f>
        <v>0</v>
      </c>
      <c r="V22" s="21">
        <f ca="1">IF($D22="","",SUMIF('TALLY BOX DUMP'!$1:$1,'ACH CALC'!V$2,'TALLY BOX DUMP'!21:21))</f>
        <v>0</v>
      </c>
      <c r="W22" s="21">
        <f ca="1">IF($D22="","",SUMIF('TALLY BOX DUMP'!$1:$1,'ACH CALC'!W$2,'TALLY BOX DUMP'!21:21))</f>
        <v>0</v>
      </c>
      <c r="X22" s="21">
        <f ca="1">IF($D22="","",SUMIF('TALLY BOX DUMP'!$1:$1,'ACH CALC'!X$2,'TALLY BOX DUMP'!21:21))</f>
        <v>0</v>
      </c>
      <c r="Y22" s="21">
        <f ca="1">IF($D22="","",SUMIF('TALLY BOX DUMP'!$1:$1,'ACH CALC'!Y$2,'TALLY BOX DUMP'!21:21))</f>
        <v>0</v>
      </c>
      <c r="Z22" s="21">
        <f ca="1">IF($D22="","",SUMIF('TALLY BOX DUMP'!$1:$1,'ACH CALC'!Z$2,'TALLY BOX DUMP'!21:21)+AE22)</f>
        <v>0</v>
      </c>
      <c r="AA22" s="21">
        <f ca="1">IF($D22="","",SUMIF('TALLY BOX DUMP'!$1:$1,'ACH CALC'!AA$2,'TALLY BOX DUMP'!21:21))</f>
        <v>0</v>
      </c>
      <c r="AB22" s="21">
        <f ca="1">IF($D22="","",SUMIF('TALLY BOX DUMP'!$1:$1,'ACH CALC'!AB$2,'TALLY BOX DUMP'!21:21))</f>
        <v>0</v>
      </c>
      <c r="AC22" s="21">
        <f ca="1">IF($D22="","",SUMIF('TALLY BOX DUMP'!$1:$1,'ACH CALC'!AC$2,'TALLY BOX DUMP'!21:21))</f>
        <v>0</v>
      </c>
      <c r="AD22" s="21">
        <f ca="1">IF($D22="","",SUMIF('TALLY BOX DUMP'!$1:$1,'ACH CALC'!AD$2,'TALLY BOX DUMP'!21:21))</f>
        <v>0</v>
      </c>
      <c r="AE22" s="21">
        <f ca="1">IF($D22="","",SUMIF('TALLY BOX DUMP'!$1:$1,'ACH CALC'!AE$2,'TALLY BOX DUMP'!21:21))</f>
        <v>0</v>
      </c>
      <c r="AF22" s="21">
        <f ca="1">IF($D22="","",SUMIF('TALLY BOX DUMP'!$1:$1,'ACH CALC'!AF$2,'TALLY BOX DUMP'!21:21))</f>
        <v>0</v>
      </c>
      <c r="AG22" s="21">
        <f ca="1">IF($D22="","",SUMIF('TALLY BOX DUMP'!$1:$1,'ACH CALC'!AG$2,'TALLY BOX DUMP'!21:21))</f>
        <v>0</v>
      </c>
      <c r="AH22" s="21">
        <f ca="1">IF($D22="","",SUMIF('TALLY BOX DUMP'!$1:$1,'ACH CALC'!AH$2,'TALLY BOX DUMP'!21:21))</f>
        <v>0</v>
      </c>
      <c r="AI22" s="21">
        <f ca="1">IF($D22="","",SUMIF('TALLY BOX DUMP'!$1:$1,'ACH CALC'!AI$2,'TALLY BOX DUMP'!21:21))</f>
        <v>0</v>
      </c>
      <c r="AJ22" s="21">
        <f ca="1">IF($D22="","",SUMIF('TALLY BOX DUMP'!$1:$1,'ACH CALC'!AJ$2,'TALLY BOX DUMP'!21:21))</f>
        <v>0</v>
      </c>
      <c r="AK22" s="21">
        <f ca="1">IF($D22="","",SUMIF('TALLY BOX DUMP'!$1:$1,'ACH CALC'!AK$2,'TALLY BOX DUMP'!21:21))</f>
        <v>0</v>
      </c>
      <c r="AL22" s="21">
        <f ca="1">IF($D22="","",ROUND(SUMIF('TALLY KG DUMP'!$1:$1,'ACH CALC'!AL$2,'TALLY KG DUMP'!21:21)/30,1))</f>
        <v>0</v>
      </c>
      <c r="AM22" s="21">
        <f ca="1">IF($D22="","",SUMIF('TALLY BOX DUMP'!$1:$1,'ACH CALC'!AM$2,'TALLY BOX DUMP'!21:21))</f>
        <v>0</v>
      </c>
      <c r="AN22" s="21">
        <f ca="1">IF($D22="","",SUMIF('TALLY BOX DUMP'!$1:$1,'ACH CALC'!AN$2,'TALLY BOX DUMP'!21:21))</f>
        <v>0</v>
      </c>
      <c r="AO22" s="21">
        <f ca="1">IF($D22="","",SUMIF('TALLY BOX DUMP'!$1:$1,'ACH CALC'!AO$2,'TALLY BOX DUMP'!21:21))</f>
        <v>0</v>
      </c>
      <c r="AP22" s="21">
        <f ca="1">IF($D22="","",SUMIF('TALLY BOX DUMP'!$1:$1,'ACH CALC'!AP$2,'TALLY BOX DUMP'!21:21))</f>
        <v>0</v>
      </c>
      <c r="AQ22" s="21">
        <f ca="1">IF($D22="","",ROUND(SUMIF('TALLY KG DUMP'!$1:$1,'ACH CALC'!AQ$2,'TALLY KG DUMP'!21:21)/30,1))</f>
        <v>0</v>
      </c>
      <c r="AR22" s="21">
        <f ca="1">IF($D22="","",SUMIF('TALLY BOX DUMP'!$1:$1,'ACH CALC'!AR$2,'TALLY BOX DUMP'!21:21))</f>
        <v>0</v>
      </c>
      <c r="AS22" s="21">
        <f ca="1">IF($D22="","",SUMIF('TALLY BOX DUMP'!$1:$1,'ACH CALC'!AS$2,'TALLY BOX DUMP'!21:21))</f>
        <v>0</v>
      </c>
      <c r="AT22" s="21">
        <f ca="1">IF($D22="","",SUMIF('TALLY BOX DUMP'!$1:$1,'ACH CALC'!AT$2,'TALLY BOX DUMP'!21:21))</f>
        <v>0</v>
      </c>
      <c r="AU22" s="21">
        <f ca="1">IF($D22="","",SUMIF('TALLY BOX DUMP'!$1:$1,'ACH CALC'!AU$2,'TALLY BOX DUMP'!21:21))</f>
        <v>0</v>
      </c>
      <c r="AV22" s="21">
        <f ca="1">IF($D22="","",SUMIF('TALLY BOX DUMP'!$1:$1,'ACH CALC'!AV$2,'TALLY BOX DUMP'!21:21))</f>
        <v>0</v>
      </c>
      <c r="AW22" s="21">
        <f ca="1">IF($D22="","",SUMIF('TALLY BOX DUMP'!$1:$1,'ACH CALC'!AW$2,'TALLY BOX DUMP'!21:21))</f>
        <v>0</v>
      </c>
      <c r="AX22" s="21">
        <f ca="1">IF($D22="","",SUMIF('TALLY BOX DUMP'!$1:$1,'ACH CALC'!AX$2,'TALLY BOX DUMP'!21:21))</f>
        <v>0</v>
      </c>
      <c r="AY22" s="21">
        <f ca="1">IF($D22="","",SUMIF('TALLY BOX DUMP'!$1:$1,'ACH CALC'!AY$2,'TALLY BOX DUMP'!21:21))</f>
        <v>0</v>
      </c>
      <c r="AZ22" s="21">
        <f ca="1">IF($D22="","",SUMIF('TALLY BOX DUMP'!$1:$1,'ACH CALC'!AZ$2,'TALLY BOX DUMP'!21:21))</f>
        <v>0</v>
      </c>
      <c r="BA22" s="69">
        <f>(SUMIF('TALLY KG DUMP'!$2:$2,"Qty",'TALLY KG DUMP'!21:21)/1000)-(SUMIF('TALLY KG DUMP'!$1:$1,"GL",'TALLY KG DUMP'!21:21)/1000)</f>
        <v>9.1999999999999998E-2</v>
      </c>
      <c r="BB22" s="21" t="b">
        <f t="shared" ca="1" si="2"/>
        <v>1</v>
      </c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</row>
    <row r="23" spans="2:75" x14ac:dyDescent="0.25">
      <c r="B23" s="21" t="str">
        <f ca="1"/>
        <v>20</v>
      </c>
      <c r="C23" s="21" t="str">
        <f ca="1"/>
        <v>SUN07365</v>
      </c>
      <c r="D23" s="21" t="str">
        <f ca="1"/>
        <v>KL-TALIPARAMBA-ARAFA ENTERPRISES</v>
      </c>
      <c r="E23" s="21">
        <f ca="1">IF($D23="","",(SUMIF('TALLY KG DUMP'!$2:$2,"Qty",'TALLY KG DUMP'!22:22)/1000)-(SUMIF('TALLY KG DUMP'!$1:$1,"GL",'TALLY KG DUMP'!22:22)/1000))</f>
        <v>2.9140000000000001</v>
      </c>
      <c r="F23" s="21">
        <f ca="1">IF($D23="","",(SUMIF('TALLY KG DUMP'!$1:$1,'ACH CALC'!F$2,'TALLY KG DUMP'!22:22)/1000))</f>
        <v>0</v>
      </c>
      <c r="G23" s="21">
        <f ca="1">IF($D23="","",SUMIF('TALLY BOX DUMP'!$1:$1,'ACH CALC'!G$2,'TALLY BOX DUMP'!22:22)+Y23)</f>
        <v>0</v>
      </c>
      <c r="H23" s="21">
        <f t="shared" ca="1" si="0"/>
        <v>0</v>
      </c>
      <c r="I23" s="21">
        <f ca="1">IF($D23="","",SUMIF('TALLY BOX DUMP'!$1:$1,'ACH CALC'!I$2,'TALLY BOX DUMP'!22:22)+AA23)</f>
        <v>0</v>
      </c>
      <c r="J23" s="21">
        <f ca="1">IF($D23="","",SUMIF('TALLY BOX DUMP'!$1:$1,'ACH CALC'!J$2,'TALLY BOX DUMP'!22:22)+AB23)</f>
        <v>0</v>
      </c>
      <c r="K23" s="21">
        <f ca="1">IF($D23="","",SUMIF('TALLY BOX DUMP'!$1:$1,'ACH CALC'!K$2,'TALLY BOX DUMP'!22:22)+AC23)</f>
        <v>0</v>
      </c>
      <c r="L23" s="21">
        <f ca="1">IF($D23="","",SUMIF('TALLY BOX DUMP'!$1:$1,'ACH CALC'!L$2,'TALLY BOX DUMP'!22:22))</f>
        <v>0</v>
      </c>
      <c r="M23" s="21">
        <f ca="1">IF($D23="","",SUMIF('TALLY BOX DUMP'!$1:$1,'ACH CALC'!M$2,'TALLY BOX DUMP'!22:22)+AD23)</f>
        <v>0</v>
      </c>
      <c r="N23" s="21">
        <f ca="1">IF($D23="","",SUMIF('TALLY BOX DUMP'!$1:$1,'ACH CALC'!N$2,'TALLY BOX DUMP'!22:22))</f>
        <v>0</v>
      </c>
      <c r="O23" s="21">
        <f ca="1">IF($D23="","",SUMIF('TALLY BOX DUMP'!$1:$1,'ACH CALC'!O$2,'TALLY BOX DUMP'!22:22))</f>
        <v>0</v>
      </c>
      <c r="P23" s="21">
        <f ca="1">IF($D23="","",SUMIF('TALLY BOX DUMP'!$1:$1,'ACH CALC'!P$2,'TALLY BOX DUMP'!22:22))</f>
        <v>0</v>
      </c>
      <c r="Q23" s="21">
        <f t="shared" ca="1" si="1"/>
        <v>0</v>
      </c>
      <c r="R23" s="21">
        <f ca="1">IF($D23="","",SUMIF('TALLY BOX DUMP'!$1:$1,'ACH CALC'!R$2,'TALLY BOX DUMP'!22:22))</f>
        <v>0</v>
      </c>
      <c r="S23" s="21">
        <f ca="1">IF($D23="","",SUMIF('TALLY BOX DUMP'!$1:$1,'ACH CALC'!S$2,'TALLY BOX DUMP'!22:22))</f>
        <v>0</v>
      </c>
      <c r="T23" s="21">
        <f ca="1">IF($D23="","",SUMIF('TALLY BOX DUMP'!$1:$1,'ACH CALC'!T$2,'TALLY BOX DUMP'!22:22))</f>
        <v>0</v>
      </c>
      <c r="U23" s="21">
        <f ca="1">IF($D23="","",SUMIF('TALLY BOX DUMP'!$1:$1,'ACH CALC'!U$2,'TALLY BOX DUMP'!22:22))</f>
        <v>0</v>
      </c>
      <c r="V23" s="21">
        <f ca="1">IF($D23="","",SUMIF('TALLY BOX DUMP'!$1:$1,'ACH CALC'!V$2,'TALLY BOX DUMP'!22:22))</f>
        <v>0</v>
      </c>
      <c r="W23" s="21">
        <f ca="1">IF($D23="","",SUMIF('TALLY BOX DUMP'!$1:$1,'ACH CALC'!W$2,'TALLY BOX DUMP'!22:22))</f>
        <v>0</v>
      </c>
      <c r="X23" s="21">
        <f ca="1">IF($D23="","",SUMIF('TALLY BOX DUMP'!$1:$1,'ACH CALC'!X$2,'TALLY BOX DUMP'!22:22))</f>
        <v>0</v>
      </c>
      <c r="Y23" s="21">
        <f ca="1">IF($D23="","",SUMIF('TALLY BOX DUMP'!$1:$1,'ACH CALC'!Y$2,'TALLY BOX DUMP'!22:22))</f>
        <v>0</v>
      </c>
      <c r="Z23" s="21">
        <f ca="1">IF($D23="","",SUMIF('TALLY BOX DUMP'!$1:$1,'ACH CALC'!Z$2,'TALLY BOX DUMP'!22:22)+AE23)</f>
        <v>0</v>
      </c>
      <c r="AA23" s="21">
        <f ca="1">IF($D23="","",SUMIF('TALLY BOX DUMP'!$1:$1,'ACH CALC'!AA$2,'TALLY BOX DUMP'!22:22))</f>
        <v>0</v>
      </c>
      <c r="AB23" s="21">
        <f ca="1">IF($D23="","",SUMIF('TALLY BOX DUMP'!$1:$1,'ACH CALC'!AB$2,'TALLY BOX DUMP'!22:22))</f>
        <v>0</v>
      </c>
      <c r="AC23" s="21">
        <f ca="1">IF($D23="","",SUMIF('TALLY BOX DUMP'!$1:$1,'ACH CALC'!AC$2,'TALLY BOX DUMP'!22:22))</f>
        <v>0</v>
      </c>
      <c r="AD23" s="21">
        <f ca="1">IF($D23="","",SUMIF('TALLY BOX DUMP'!$1:$1,'ACH CALC'!AD$2,'TALLY BOX DUMP'!22:22))</f>
        <v>0</v>
      </c>
      <c r="AE23" s="21">
        <f ca="1">IF($D23="","",SUMIF('TALLY BOX DUMP'!$1:$1,'ACH CALC'!AE$2,'TALLY BOX DUMP'!22:22))</f>
        <v>0</v>
      </c>
      <c r="AF23" s="21">
        <f ca="1">IF($D23="","",SUMIF('TALLY BOX DUMP'!$1:$1,'ACH CALC'!AF$2,'TALLY BOX DUMP'!22:22))</f>
        <v>0</v>
      </c>
      <c r="AG23" s="21">
        <f ca="1">IF($D23="","",SUMIF('TALLY BOX DUMP'!$1:$1,'ACH CALC'!AG$2,'TALLY BOX DUMP'!22:22))</f>
        <v>0</v>
      </c>
      <c r="AH23" s="21">
        <f ca="1">IF($D23="","",SUMIF('TALLY BOX DUMP'!$1:$1,'ACH CALC'!AH$2,'TALLY BOX DUMP'!22:22))</f>
        <v>0</v>
      </c>
      <c r="AI23" s="21">
        <f ca="1">IF($D23="","",SUMIF('TALLY BOX DUMP'!$1:$1,'ACH CALC'!AI$2,'TALLY BOX DUMP'!22:22))</f>
        <v>0</v>
      </c>
      <c r="AJ23" s="21">
        <f ca="1">IF($D23="","",SUMIF('TALLY BOX DUMP'!$1:$1,'ACH CALC'!AJ$2,'TALLY BOX DUMP'!22:22))</f>
        <v>0</v>
      </c>
      <c r="AK23" s="21">
        <f ca="1">IF($D23="","",SUMIF('TALLY BOX DUMP'!$1:$1,'ACH CALC'!AK$2,'TALLY BOX DUMP'!22:22))</f>
        <v>0</v>
      </c>
      <c r="AL23" s="21">
        <f ca="1">IF($D23="","",ROUND(SUMIF('TALLY KG DUMP'!$1:$1,'ACH CALC'!AL$2,'TALLY KG DUMP'!22:22)/30,1))</f>
        <v>0</v>
      </c>
      <c r="AM23" s="21">
        <f ca="1">IF($D23="","",SUMIF('TALLY BOX DUMP'!$1:$1,'ACH CALC'!AM$2,'TALLY BOX DUMP'!22:22))</f>
        <v>0</v>
      </c>
      <c r="AN23" s="21">
        <f ca="1">IF($D23="","",SUMIF('TALLY BOX DUMP'!$1:$1,'ACH CALC'!AN$2,'TALLY BOX DUMP'!22:22))</f>
        <v>0</v>
      </c>
      <c r="AO23" s="21">
        <f ca="1">IF($D23="","",SUMIF('TALLY BOX DUMP'!$1:$1,'ACH CALC'!AO$2,'TALLY BOX DUMP'!22:22))</f>
        <v>0</v>
      </c>
      <c r="AP23" s="21">
        <f ca="1">IF($D23="","",SUMIF('TALLY BOX DUMP'!$1:$1,'ACH CALC'!AP$2,'TALLY BOX DUMP'!22:22))</f>
        <v>0</v>
      </c>
      <c r="AQ23" s="21">
        <f ca="1">IF($D23="","",ROUND(SUMIF('TALLY KG DUMP'!$1:$1,'ACH CALC'!AQ$2,'TALLY KG DUMP'!22:22)/30,1))</f>
        <v>0</v>
      </c>
      <c r="AR23" s="21">
        <f ca="1">IF($D23="","",SUMIF('TALLY BOX DUMP'!$1:$1,'ACH CALC'!AR$2,'TALLY BOX DUMP'!22:22))</f>
        <v>0</v>
      </c>
      <c r="AS23" s="21">
        <f ca="1">IF($D23="","",SUMIF('TALLY BOX DUMP'!$1:$1,'ACH CALC'!AS$2,'TALLY BOX DUMP'!22:22))</f>
        <v>0</v>
      </c>
      <c r="AT23" s="21">
        <f ca="1">IF($D23="","",SUMIF('TALLY BOX DUMP'!$1:$1,'ACH CALC'!AT$2,'TALLY BOX DUMP'!22:22))</f>
        <v>0</v>
      </c>
      <c r="AU23" s="21">
        <f ca="1">IF($D23="","",SUMIF('TALLY BOX DUMP'!$1:$1,'ACH CALC'!AU$2,'TALLY BOX DUMP'!22:22))</f>
        <v>0</v>
      </c>
      <c r="AV23" s="21">
        <f ca="1">IF($D23="","",SUMIF('TALLY BOX DUMP'!$1:$1,'ACH CALC'!AV$2,'TALLY BOX DUMP'!22:22))</f>
        <v>0</v>
      </c>
      <c r="AW23" s="21">
        <f ca="1">IF($D23="","",SUMIF('TALLY BOX DUMP'!$1:$1,'ACH CALC'!AW$2,'TALLY BOX DUMP'!22:22))</f>
        <v>0</v>
      </c>
      <c r="AX23" s="21">
        <f ca="1">IF($D23="","",SUMIF('TALLY BOX DUMP'!$1:$1,'ACH CALC'!AX$2,'TALLY BOX DUMP'!22:22))</f>
        <v>0</v>
      </c>
      <c r="AY23" s="21">
        <f ca="1">IF($D23="","",SUMIF('TALLY BOX DUMP'!$1:$1,'ACH CALC'!AY$2,'TALLY BOX DUMP'!22:22))</f>
        <v>0</v>
      </c>
      <c r="AZ23" s="21">
        <f ca="1">IF($D23="","",SUMIF('TALLY BOX DUMP'!$1:$1,'ACH CALC'!AZ$2,'TALLY BOX DUMP'!22:22))</f>
        <v>0</v>
      </c>
      <c r="BA23" s="69">
        <f>(SUMIF('TALLY KG DUMP'!$2:$2,"Qty",'TALLY KG DUMP'!22:22)/1000)-(SUMIF('TALLY KG DUMP'!$1:$1,"GL",'TALLY KG DUMP'!22:22)/1000)</f>
        <v>2.9140000000000001</v>
      </c>
      <c r="BB23" s="21" t="b">
        <f t="shared" ca="1" si="2"/>
        <v>1</v>
      </c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</row>
    <row r="24" spans="2:75" x14ac:dyDescent="0.25">
      <c r="B24" s="21" t="str">
        <f ca="1"/>
        <v>21</v>
      </c>
      <c r="C24" s="21" t="str">
        <f ca="1"/>
        <v>SUN06960</v>
      </c>
      <c r="D24" s="21" t="str">
        <f ca="1"/>
        <v>KL-KELAKAM-MINA STORES</v>
      </c>
      <c r="E24" s="21">
        <f ca="1">IF($D24="","",(SUMIF('TALLY KG DUMP'!$2:$2,"Qty",'TALLY KG DUMP'!23:23)/1000)-(SUMIF('TALLY KG DUMP'!$1:$1,"GL",'TALLY KG DUMP'!23:23)/1000))</f>
        <v>2.0019999999999998</v>
      </c>
      <c r="F24" s="21">
        <f ca="1">IF($D24="","",(SUMIF('TALLY KG DUMP'!$1:$1,'ACH CALC'!F$2,'TALLY KG DUMP'!23:23)/1000))</f>
        <v>0</v>
      </c>
      <c r="G24" s="21">
        <f ca="1">IF($D24="","",SUMIF('TALLY BOX DUMP'!$1:$1,'ACH CALC'!G$2,'TALLY BOX DUMP'!23:23)+Y24)</f>
        <v>0</v>
      </c>
      <c r="H24" s="21">
        <f t="shared" ca="1" si="0"/>
        <v>0</v>
      </c>
      <c r="I24" s="21">
        <f ca="1">IF($D24="","",SUMIF('TALLY BOX DUMP'!$1:$1,'ACH CALC'!I$2,'TALLY BOX DUMP'!23:23)+AA24)</f>
        <v>0</v>
      </c>
      <c r="J24" s="21">
        <f ca="1">IF($D24="","",SUMIF('TALLY BOX DUMP'!$1:$1,'ACH CALC'!J$2,'TALLY BOX DUMP'!23:23)+AB24)</f>
        <v>0</v>
      </c>
      <c r="K24" s="21">
        <f ca="1">IF($D24="","",SUMIF('TALLY BOX DUMP'!$1:$1,'ACH CALC'!K$2,'TALLY BOX DUMP'!23:23)+AC24)</f>
        <v>0</v>
      </c>
      <c r="L24" s="21">
        <f ca="1">IF($D24="","",SUMIF('TALLY BOX DUMP'!$1:$1,'ACH CALC'!L$2,'TALLY BOX DUMP'!23:23))</f>
        <v>0</v>
      </c>
      <c r="M24" s="21">
        <f ca="1">IF($D24="","",SUMIF('TALLY BOX DUMP'!$1:$1,'ACH CALC'!M$2,'TALLY BOX DUMP'!23:23)+AD24)</f>
        <v>0</v>
      </c>
      <c r="N24" s="21">
        <f ca="1">IF($D24="","",SUMIF('TALLY BOX DUMP'!$1:$1,'ACH CALC'!N$2,'TALLY BOX DUMP'!23:23))</f>
        <v>0</v>
      </c>
      <c r="O24" s="21">
        <f ca="1">IF($D24="","",SUMIF('TALLY BOX DUMP'!$1:$1,'ACH CALC'!O$2,'TALLY BOX DUMP'!23:23))</f>
        <v>0</v>
      </c>
      <c r="P24" s="21">
        <f ca="1">IF($D24="","",SUMIF('TALLY BOX DUMP'!$1:$1,'ACH CALC'!P$2,'TALLY BOX DUMP'!23:23))</f>
        <v>0</v>
      </c>
      <c r="Q24" s="21">
        <f t="shared" ca="1" si="1"/>
        <v>0</v>
      </c>
      <c r="R24" s="21">
        <f ca="1">IF($D24="","",SUMIF('TALLY BOX DUMP'!$1:$1,'ACH CALC'!R$2,'TALLY BOX DUMP'!23:23))</f>
        <v>0</v>
      </c>
      <c r="S24" s="21">
        <f ca="1">IF($D24="","",SUMIF('TALLY BOX DUMP'!$1:$1,'ACH CALC'!S$2,'TALLY BOX DUMP'!23:23))</f>
        <v>0</v>
      </c>
      <c r="T24" s="21">
        <f ca="1">IF($D24="","",SUMIF('TALLY BOX DUMP'!$1:$1,'ACH CALC'!T$2,'TALLY BOX DUMP'!23:23))</f>
        <v>0</v>
      </c>
      <c r="U24" s="21">
        <f ca="1">IF($D24="","",SUMIF('TALLY BOX DUMP'!$1:$1,'ACH CALC'!U$2,'TALLY BOX DUMP'!23:23))</f>
        <v>0</v>
      </c>
      <c r="V24" s="21">
        <f ca="1">IF($D24="","",SUMIF('TALLY BOX DUMP'!$1:$1,'ACH CALC'!V$2,'TALLY BOX DUMP'!23:23))</f>
        <v>0</v>
      </c>
      <c r="W24" s="21">
        <f ca="1">IF($D24="","",SUMIF('TALLY BOX DUMP'!$1:$1,'ACH CALC'!W$2,'TALLY BOX DUMP'!23:23))</f>
        <v>0</v>
      </c>
      <c r="X24" s="21">
        <f ca="1">IF($D24="","",SUMIF('TALLY BOX DUMP'!$1:$1,'ACH CALC'!X$2,'TALLY BOX DUMP'!23:23))</f>
        <v>0</v>
      </c>
      <c r="Y24" s="21">
        <f ca="1">IF($D24="","",SUMIF('TALLY BOX DUMP'!$1:$1,'ACH CALC'!Y$2,'TALLY BOX DUMP'!23:23))</f>
        <v>0</v>
      </c>
      <c r="Z24" s="21">
        <f ca="1">IF($D24="","",SUMIF('TALLY BOX DUMP'!$1:$1,'ACH CALC'!Z$2,'TALLY BOX DUMP'!23:23)+AE24)</f>
        <v>0</v>
      </c>
      <c r="AA24" s="21">
        <f ca="1">IF($D24="","",SUMIF('TALLY BOX DUMP'!$1:$1,'ACH CALC'!AA$2,'TALLY BOX DUMP'!23:23))</f>
        <v>0</v>
      </c>
      <c r="AB24" s="21">
        <f ca="1">IF($D24="","",SUMIF('TALLY BOX DUMP'!$1:$1,'ACH CALC'!AB$2,'TALLY BOX DUMP'!23:23))</f>
        <v>0</v>
      </c>
      <c r="AC24" s="21">
        <f ca="1">IF($D24="","",SUMIF('TALLY BOX DUMP'!$1:$1,'ACH CALC'!AC$2,'TALLY BOX DUMP'!23:23))</f>
        <v>0</v>
      </c>
      <c r="AD24" s="21">
        <f ca="1">IF($D24="","",SUMIF('TALLY BOX DUMP'!$1:$1,'ACH CALC'!AD$2,'TALLY BOX DUMP'!23:23))</f>
        <v>0</v>
      </c>
      <c r="AE24" s="21">
        <f ca="1">IF($D24="","",SUMIF('TALLY BOX DUMP'!$1:$1,'ACH CALC'!AE$2,'TALLY BOX DUMP'!23:23))</f>
        <v>0</v>
      </c>
      <c r="AF24" s="21">
        <f ca="1">IF($D24="","",SUMIF('TALLY BOX DUMP'!$1:$1,'ACH CALC'!AF$2,'TALLY BOX DUMP'!23:23))</f>
        <v>0</v>
      </c>
      <c r="AG24" s="21">
        <f ca="1">IF($D24="","",SUMIF('TALLY BOX DUMP'!$1:$1,'ACH CALC'!AG$2,'TALLY BOX DUMP'!23:23))</f>
        <v>0</v>
      </c>
      <c r="AH24" s="21">
        <f ca="1">IF($D24="","",SUMIF('TALLY BOX DUMP'!$1:$1,'ACH CALC'!AH$2,'TALLY BOX DUMP'!23:23))</f>
        <v>0</v>
      </c>
      <c r="AI24" s="21">
        <f ca="1">IF($D24="","",SUMIF('TALLY BOX DUMP'!$1:$1,'ACH CALC'!AI$2,'TALLY BOX DUMP'!23:23))</f>
        <v>0</v>
      </c>
      <c r="AJ24" s="21">
        <f ca="1">IF($D24="","",SUMIF('TALLY BOX DUMP'!$1:$1,'ACH CALC'!AJ$2,'TALLY BOX DUMP'!23:23))</f>
        <v>0</v>
      </c>
      <c r="AK24" s="21">
        <f ca="1">IF($D24="","",SUMIF('TALLY BOX DUMP'!$1:$1,'ACH CALC'!AK$2,'TALLY BOX DUMP'!23:23))</f>
        <v>0</v>
      </c>
      <c r="AL24" s="21">
        <f ca="1">IF($D24="","",ROUND(SUMIF('TALLY KG DUMP'!$1:$1,'ACH CALC'!AL$2,'TALLY KG DUMP'!23:23)/30,1))</f>
        <v>0</v>
      </c>
      <c r="AM24" s="21">
        <f ca="1">IF($D24="","",SUMIF('TALLY BOX DUMP'!$1:$1,'ACH CALC'!AM$2,'TALLY BOX DUMP'!23:23))</f>
        <v>0</v>
      </c>
      <c r="AN24" s="21">
        <f ca="1">IF($D24="","",SUMIF('TALLY BOX DUMP'!$1:$1,'ACH CALC'!AN$2,'TALLY BOX DUMP'!23:23))</f>
        <v>0</v>
      </c>
      <c r="AO24" s="21">
        <f ca="1">IF($D24="","",SUMIF('TALLY BOX DUMP'!$1:$1,'ACH CALC'!AO$2,'TALLY BOX DUMP'!23:23))</f>
        <v>0</v>
      </c>
      <c r="AP24" s="21">
        <f ca="1">IF($D24="","",SUMIF('TALLY BOX DUMP'!$1:$1,'ACH CALC'!AP$2,'TALLY BOX DUMP'!23:23))</f>
        <v>0</v>
      </c>
      <c r="AQ24" s="21">
        <f ca="1">IF($D24="","",ROUND(SUMIF('TALLY KG DUMP'!$1:$1,'ACH CALC'!AQ$2,'TALLY KG DUMP'!23:23)/30,1))</f>
        <v>0</v>
      </c>
      <c r="AR24" s="21">
        <f ca="1">IF($D24="","",SUMIF('TALLY BOX DUMP'!$1:$1,'ACH CALC'!AR$2,'TALLY BOX DUMP'!23:23))</f>
        <v>0</v>
      </c>
      <c r="AS24" s="21">
        <f ca="1">IF($D24="","",SUMIF('TALLY BOX DUMP'!$1:$1,'ACH CALC'!AS$2,'TALLY BOX DUMP'!23:23))</f>
        <v>0</v>
      </c>
      <c r="AT24" s="21">
        <f ca="1">IF($D24="","",SUMIF('TALLY BOX DUMP'!$1:$1,'ACH CALC'!AT$2,'TALLY BOX DUMP'!23:23))</f>
        <v>0</v>
      </c>
      <c r="AU24" s="21">
        <f ca="1">IF($D24="","",SUMIF('TALLY BOX DUMP'!$1:$1,'ACH CALC'!AU$2,'TALLY BOX DUMP'!23:23))</f>
        <v>0</v>
      </c>
      <c r="AV24" s="21">
        <f ca="1">IF($D24="","",SUMIF('TALLY BOX DUMP'!$1:$1,'ACH CALC'!AV$2,'TALLY BOX DUMP'!23:23))</f>
        <v>0</v>
      </c>
      <c r="AW24" s="21">
        <f ca="1">IF($D24="","",SUMIF('TALLY BOX DUMP'!$1:$1,'ACH CALC'!AW$2,'TALLY BOX DUMP'!23:23))</f>
        <v>0</v>
      </c>
      <c r="AX24" s="21">
        <f ca="1">IF($D24="","",SUMIF('TALLY BOX DUMP'!$1:$1,'ACH CALC'!AX$2,'TALLY BOX DUMP'!23:23))</f>
        <v>0</v>
      </c>
      <c r="AY24" s="21">
        <f ca="1">IF($D24="","",SUMIF('TALLY BOX DUMP'!$1:$1,'ACH CALC'!AY$2,'TALLY BOX DUMP'!23:23))</f>
        <v>0</v>
      </c>
      <c r="AZ24" s="21">
        <f ca="1">IF($D24="","",SUMIF('TALLY BOX DUMP'!$1:$1,'ACH CALC'!AZ$2,'TALLY BOX DUMP'!23:23))</f>
        <v>0</v>
      </c>
      <c r="BA24" s="69">
        <f>(SUMIF('TALLY KG DUMP'!$2:$2,"Qty",'TALLY KG DUMP'!23:23)/1000)-(SUMIF('TALLY KG DUMP'!$1:$1,"GL",'TALLY KG DUMP'!23:23)/1000)</f>
        <v>2.0019999999999998</v>
      </c>
      <c r="BB24" s="21" t="b">
        <f t="shared" ca="1" si="2"/>
        <v>1</v>
      </c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</row>
    <row r="25" spans="2:75" x14ac:dyDescent="0.25">
      <c r="B25" s="21" t="str">
        <f ca="1"/>
        <v>22</v>
      </c>
      <c r="C25" s="21" t="str">
        <f ca="1"/>
        <v>SUN06727</v>
      </c>
      <c r="D25" s="21" t="str">
        <f ca="1"/>
        <v>KL-KANNUR-A.B.STORE,IRITTY</v>
      </c>
      <c r="E25" s="21">
        <f ca="1">IF($D25="","",(SUMIF('TALLY KG DUMP'!$2:$2,"Qty",'TALLY KG DUMP'!24:24)/1000)-(SUMIF('TALLY KG DUMP'!$1:$1,"GL",'TALLY KG DUMP'!24:24)/1000))</f>
        <v>5.46</v>
      </c>
      <c r="F25" s="21">
        <f ca="1">IF($D25="","",(SUMIF('TALLY KG DUMP'!$1:$1,'ACH CALC'!F$2,'TALLY KG DUMP'!24:24)/1000))</f>
        <v>0</v>
      </c>
      <c r="G25" s="21">
        <f ca="1">IF($D25="","",SUMIF('TALLY BOX DUMP'!$1:$1,'ACH CALC'!G$2,'TALLY BOX DUMP'!24:24)+Y25)</f>
        <v>0</v>
      </c>
      <c r="H25" s="21">
        <f t="shared" ca="1" si="0"/>
        <v>0</v>
      </c>
      <c r="I25" s="21">
        <f ca="1">IF($D25="","",SUMIF('TALLY BOX DUMP'!$1:$1,'ACH CALC'!I$2,'TALLY BOX DUMP'!24:24)+AA25)</f>
        <v>0</v>
      </c>
      <c r="J25" s="21">
        <f ca="1">IF($D25="","",SUMIF('TALLY BOX DUMP'!$1:$1,'ACH CALC'!J$2,'TALLY BOX DUMP'!24:24)+AB25)</f>
        <v>0</v>
      </c>
      <c r="K25" s="21">
        <f ca="1">IF($D25="","",SUMIF('TALLY BOX DUMP'!$1:$1,'ACH CALC'!K$2,'TALLY BOX DUMP'!24:24)+AC25)</f>
        <v>0</v>
      </c>
      <c r="L25" s="21">
        <f ca="1">IF($D25="","",SUMIF('TALLY BOX DUMP'!$1:$1,'ACH CALC'!L$2,'TALLY BOX DUMP'!24:24))</f>
        <v>0</v>
      </c>
      <c r="M25" s="21">
        <f ca="1">IF($D25="","",SUMIF('TALLY BOX DUMP'!$1:$1,'ACH CALC'!M$2,'TALLY BOX DUMP'!24:24)+AD25)</f>
        <v>0</v>
      </c>
      <c r="N25" s="21">
        <f ca="1">IF($D25="","",SUMIF('TALLY BOX DUMP'!$1:$1,'ACH CALC'!N$2,'TALLY BOX DUMP'!24:24))</f>
        <v>0</v>
      </c>
      <c r="O25" s="21">
        <f ca="1">IF($D25="","",SUMIF('TALLY BOX DUMP'!$1:$1,'ACH CALC'!O$2,'TALLY BOX DUMP'!24:24))</f>
        <v>0</v>
      </c>
      <c r="P25" s="21">
        <f ca="1">IF($D25="","",SUMIF('TALLY BOX DUMP'!$1:$1,'ACH CALC'!P$2,'TALLY BOX DUMP'!24:24))</f>
        <v>0</v>
      </c>
      <c r="Q25" s="21">
        <f t="shared" ca="1" si="1"/>
        <v>0</v>
      </c>
      <c r="R25" s="21">
        <f ca="1">IF($D25="","",SUMIF('TALLY BOX DUMP'!$1:$1,'ACH CALC'!R$2,'TALLY BOX DUMP'!24:24))</f>
        <v>0</v>
      </c>
      <c r="S25" s="21">
        <f ca="1">IF($D25="","",SUMIF('TALLY BOX DUMP'!$1:$1,'ACH CALC'!S$2,'TALLY BOX DUMP'!24:24))</f>
        <v>0</v>
      </c>
      <c r="T25" s="21">
        <f ca="1">IF($D25="","",SUMIF('TALLY BOX DUMP'!$1:$1,'ACH CALC'!T$2,'TALLY BOX DUMP'!24:24))</f>
        <v>0</v>
      </c>
      <c r="U25" s="21">
        <f ca="1">IF($D25="","",SUMIF('TALLY BOX DUMP'!$1:$1,'ACH CALC'!U$2,'TALLY BOX DUMP'!24:24))</f>
        <v>0</v>
      </c>
      <c r="V25" s="21">
        <f ca="1">IF($D25="","",SUMIF('TALLY BOX DUMP'!$1:$1,'ACH CALC'!V$2,'TALLY BOX DUMP'!24:24))</f>
        <v>0</v>
      </c>
      <c r="W25" s="21">
        <f ca="1">IF($D25="","",SUMIF('TALLY BOX DUMP'!$1:$1,'ACH CALC'!W$2,'TALLY BOX DUMP'!24:24))</f>
        <v>0</v>
      </c>
      <c r="X25" s="21">
        <f ca="1">IF($D25="","",SUMIF('TALLY BOX DUMP'!$1:$1,'ACH CALC'!X$2,'TALLY BOX DUMP'!24:24))</f>
        <v>0</v>
      </c>
      <c r="Y25" s="21">
        <f ca="1">IF($D25="","",SUMIF('TALLY BOX DUMP'!$1:$1,'ACH CALC'!Y$2,'TALLY BOX DUMP'!24:24))</f>
        <v>0</v>
      </c>
      <c r="Z25" s="21">
        <f ca="1">IF($D25="","",SUMIF('TALLY BOX DUMP'!$1:$1,'ACH CALC'!Z$2,'TALLY BOX DUMP'!24:24)+AE25)</f>
        <v>0</v>
      </c>
      <c r="AA25" s="21">
        <f ca="1">IF($D25="","",SUMIF('TALLY BOX DUMP'!$1:$1,'ACH CALC'!AA$2,'TALLY BOX DUMP'!24:24))</f>
        <v>0</v>
      </c>
      <c r="AB25" s="21">
        <f ca="1">IF($D25="","",SUMIF('TALLY BOX DUMP'!$1:$1,'ACH CALC'!AB$2,'TALLY BOX DUMP'!24:24))</f>
        <v>0</v>
      </c>
      <c r="AC25" s="21">
        <f ca="1">IF($D25="","",SUMIF('TALLY BOX DUMP'!$1:$1,'ACH CALC'!AC$2,'TALLY BOX DUMP'!24:24))</f>
        <v>0</v>
      </c>
      <c r="AD25" s="21">
        <f ca="1">IF($D25="","",SUMIF('TALLY BOX DUMP'!$1:$1,'ACH CALC'!AD$2,'TALLY BOX DUMP'!24:24))</f>
        <v>0</v>
      </c>
      <c r="AE25" s="21">
        <f ca="1">IF($D25="","",SUMIF('TALLY BOX DUMP'!$1:$1,'ACH CALC'!AE$2,'TALLY BOX DUMP'!24:24))</f>
        <v>0</v>
      </c>
      <c r="AF25" s="21">
        <f ca="1">IF($D25="","",SUMIF('TALLY BOX DUMP'!$1:$1,'ACH CALC'!AF$2,'TALLY BOX DUMP'!24:24))</f>
        <v>0</v>
      </c>
      <c r="AG25" s="21">
        <f ca="1">IF($D25="","",SUMIF('TALLY BOX DUMP'!$1:$1,'ACH CALC'!AG$2,'TALLY BOX DUMP'!24:24))</f>
        <v>0</v>
      </c>
      <c r="AH25" s="21">
        <f ca="1">IF($D25="","",SUMIF('TALLY BOX DUMP'!$1:$1,'ACH CALC'!AH$2,'TALLY BOX DUMP'!24:24))</f>
        <v>0</v>
      </c>
      <c r="AI25" s="21">
        <f ca="1">IF($D25="","",SUMIF('TALLY BOX DUMP'!$1:$1,'ACH CALC'!AI$2,'TALLY BOX DUMP'!24:24))</f>
        <v>0</v>
      </c>
      <c r="AJ25" s="21">
        <f ca="1">IF($D25="","",SUMIF('TALLY BOX DUMP'!$1:$1,'ACH CALC'!AJ$2,'TALLY BOX DUMP'!24:24))</f>
        <v>0</v>
      </c>
      <c r="AK25" s="21">
        <f ca="1">IF($D25="","",SUMIF('TALLY BOX DUMP'!$1:$1,'ACH CALC'!AK$2,'TALLY BOX DUMP'!24:24))</f>
        <v>0</v>
      </c>
      <c r="AL25" s="21">
        <f ca="1">IF($D25="","",ROUND(SUMIF('TALLY KG DUMP'!$1:$1,'ACH CALC'!AL$2,'TALLY KG DUMP'!24:24)/30,1))</f>
        <v>0</v>
      </c>
      <c r="AM25" s="21">
        <f ca="1">IF($D25="","",SUMIF('TALLY BOX DUMP'!$1:$1,'ACH CALC'!AM$2,'TALLY BOX DUMP'!24:24))</f>
        <v>0</v>
      </c>
      <c r="AN25" s="21">
        <f ca="1">IF($D25="","",SUMIF('TALLY BOX DUMP'!$1:$1,'ACH CALC'!AN$2,'TALLY BOX DUMP'!24:24))</f>
        <v>0</v>
      </c>
      <c r="AO25" s="21">
        <f ca="1">IF($D25="","",SUMIF('TALLY BOX DUMP'!$1:$1,'ACH CALC'!AO$2,'TALLY BOX DUMP'!24:24))</f>
        <v>0</v>
      </c>
      <c r="AP25" s="21">
        <f ca="1">IF($D25="","",SUMIF('TALLY BOX DUMP'!$1:$1,'ACH CALC'!AP$2,'TALLY BOX DUMP'!24:24))</f>
        <v>0</v>
      </c>
      <c r="AQ25" s="21">
        <f ca="1">IF($D25="","",ROUND(SUMIF('TALLY KG DUMP'!$1:$1,'ACH CALC'!AQ$2,'TALLY KG DUMP'!24:24)/30,1))</f>
        <v>0</v>
      </c>
      <c r="AR25" s="21">
        <f ca="1">IF($D25="","",SUMIF('TALLY BOX DUMP'!$1:$1,'ACH CALC'!AR$2,'TALLY BOX DUMP'!24:24))</f>
        <v>0</v>
      </c>
      <c r="AS25" s="21">
        <f ca="1">IF($D25="","",SUMIF('TALLY BOX DUMP'!$1:$1,'ACH CALC'!AS$2,'TALLY BOX DUMP'!24:24))</f>
        <v>0</v>
      </c>
      <c r="AT25" s="21">
        <f ca="1">IF($D25="","",SUMIF('TALLY BOX DUMP'!$1:$1,'ACH CALC'!AT$2,'TALLY BOX DUMP'!24:24))</f>
        <v>0</v>
      </c>
      <c r="AU25" s="21">
        <f ca="1">IF($D25="","",SUMIF('TALLY BOX DUMP'!$1:$1,'ACH CALC'!AU$2,'TALLY BOX DUMP'!24:24))</f>
        <v>0</v>
      </c>
      <c r="AV25" s="21">
        <f ca="1">IF($D25="","",SUMIF('TALLY BOX DUMP'!$1:$1,'ACH CALC'!AV$2,'TALLY BOX DUMP'!24:24))</f>
        <v>0</v>
      </c>
      <c r="AW25" s="21">
        <f ca="1">IF($D25="","",SUMIF('TALLY BOX DUMP'!$1:$1,'ACH CALC'!AW$2,'TALLY BOX DUMP'!24:24))</f>
        <v>0</v>
      </c>
      <c r="AX25" s="21">
        <f ca="1">IF($D25="","",SUMIF('TALLY BOX DUMP'!$1:$1,'ACH CALC'!AX$2,'TALLY BOX DUMP'!24:24))</f>
        <v>0</v>
      </c>
      <c r="AY25" s="21">
        <f ca="1">IF($D25="","",SUMIF('TALLY BOX DUMP'!$1:$1,'ACH CALC'!AY$2,'TALLY BOX DUMP'!24:24))</f>
        <v>0</v>
      </c>
      <c r="AZ25" s="21">
        <f ca="1">IF($D25="","",SUMIF('TALLY BOX DUMP'!$1:$1,'ACH CALC'!AZ$2,'TALLY BOX DUMP'!24:24))</f>
        <v>0</v>
      </c>
      <c r="BA25" s="69">
        <f>(SUMIF('TALLY KG DUMP'!$2:$2,"Qty",'TALLY KG DUMP'!24:24)/1000)-(SUMIF('TALLY KG DUMP'!$1:$1,"GL",'TALLY KG DUMP'!24:24)/1000)</f>
        <v>5.46</v>
      </c>
      <c r="BB25" s="21" t="b">
        <f t="shared" ca="1" si="2"/>
        <v>1</v>
      </c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</row>
    <row r="26" spans="2:75" x14ac:dyDescent="0.25">
      <c r="B26" s="21" t="str">
        <f ca="1"/>
        <v>23</v>
      </c>
      <c r="C26" s="21" t="str">
        <f ca="1"/>
        <v>SUN06168</v>
      </c>
      <c r="D26" s="21" t="str">
        <f ca="1"/>
        <v>KL-KANNUR-SHEEN VEEN TRADES</v>
      </c>
      <c r="E26" s="21">
        <f ca="1">IF($D26="","",(SUMIF('TALLY KG DUMP'!$2:$2,"Qty",'TALLY KG DUMP'!25:25)/1000)-(SUMIF('TALLY KG DUMP'!$1:$1,"GL",'TALLY KG DUMP'!25:25)/1000))</f>
        <v>2.004</v>
      </c>
      <c r="F26" s="21">
        <f ca="1">IF($D26="","",(SUMIF('TALLY KG DUMP'!$1:$1,'ACH CALC'!F$2,'TALLY KG DUMP'!25:25)/1000))</f>
        <v>0</v>
      </c>
      <c r="G26" s="21">
        <f ca="1">IF($D26="","",SUMIF('TALLY BOX DUMP'!$1:$1,'ACH CALC'!G$2,'TALLY BOX DUMP'!25:25)+Y26)</f>
        <v>0</v>
      </c>
      <c r="H26" s="21">
        <f t="shared" ca="1" si="0"/>
        <v>0</v>
      </c>
      <c r="I26" s="21">
        <f ca="1">IF($D26="","",SUMIF('TALLY BOX DUMP'!$1:$1,'ACH CALC'!I$2,'TALLY BOX DUMP'!25:25)+AA26)</f>
        <v>0</v>
      </c>
      <c r="J26" s="21">
        <f ca="1">IF($D26="","",SUMIF('TALLY BOX DUMP'!$1:$1,'ACH CALC'!J$2,'TALLY BOX DUMP'!25:25)+AB26)</f>
        <v>0</v>
      </c>
      <c r="K26" s="21">
        <f ca="1">IF($D26="","",SUMIF('TALLY BOX DUMP'!$1:$1,'ACH CALC'!K$2,'TALLY BOX DUMP'!25:25)+AC26)</f>
        <v>0</v>
      </c>
      <c r="L26" s="21">
        <f ca="1">IF($D26="","",SUMIF('TALLY BOX DUMP'!$1:$1,'ACH CALC'!L$2,'TALLY BOX DUMP'!25:25))</f>
        <v>0</v>
      </c>
      <c r="M26" s="21">
        <f ca="1">IF($D26="","",SUMIF('TALLY BOX DUMP'!$1:$1,'ACH CALC'!M$2,'TALLY BOX DUMP'!25:25)+AD26)</f>
        <v>0</v>
      </c>
      <c r="N26" s="21">
        <f ca="1">IF($D26="","",SUMIF('TALLY BOX DUMP'!$1:$1,'ACH CALC'!N$2,'TALLY BOX DUMP'!25:25))</f>
        <v>0</v>
      </c>
      <c r="O26" s="21">
        <f ca="1">IF($D26="","",SUMIF('TALLY BOX DUMP'!$1:$1,'ACH CALC'!O$2,'TALLY BOX DUMP'!25:25))</f>
        <v>0</v>
      </c>
      <c r="P26" s="21">
        <f ca="1">IF($D26="","",SUMIF('TALLY BOX DUMP'!$1:$1,'ACH CALC'!P$2,'TALLY BOX DUMP'!25:25))</f>
        <v>0</v>
      </c>
      <c r="Q26" s="21">
        <f t="shared" ca="1" si="1"/>
        <v>0</v>
      </c>
      <c r="R26" s="21">
        <f ca="1">IF($D26="","",SUMIF('TALLY BOX DUMP'!$1:$1,'ACH CALC'!R$2,'TALLY BOX DUMP'!25:25))</f>
        <v>0</v>
      </c>
      <c r="S26" s="21">
        <f ca="1">IF($D26="","",SUMIF('TALLY BOX DUMP'!$1:$1,'ACH CALC'!S$2,'TALLY BOX DUMP'!25:25))</f>
        <v>0</v>
      </c>
      <c r="T26" s="21">
        <f ca="1">IF($D26="","",SUMIF('TALLY BOX DUMP'!$1:$1,'ACH CALC'!T$2,'TALLY BOX DUMP'!25:25))</f>
        <v>0</v>
      </c>
      <c r="U26" s="21">
        <f ca="1">IF($D26="","",SUMIF('TALLY BOX DUMP'!$1:$1,'ACH CALC'!U$2,'TALLY BOX DUMP'!25:25))</f>
        <v>0</v>
      </c>
      <c r="V26" s="21">
        <f ca="1">IF($D26="","",SUMIF('TALLY BOX DUMP'!$1:$1,'ACH CALC'!V$2,'TALLY BOX DUMP'!25:25))</f>
        <v>0</v>
      </c>
      <c r="W26" s="21">
        <f ca="1">IF($D26="","",SUMIF('TALLY BOX DUMP'!$1:$1,'ACH CALC'!W$2,'TALLY BOX DUMP'!25:25))</f>
        <v>0</v>
      </c>
      <c r="X26" s="21">
        <f ca="1">IF($D26="","",SUMIF('TALLY BOX DUMP'!$1:$1,'ACH CALC'!X$2,'TALLY BOX DUMP'!25:25))</f>
        <v>0</v>
      </c>
      <c r="Y26" s="21">
        <f ca="1">IF($D26="","",SUMIF('TALLY BOX DUMP'!$1:$1,'ACH CALC'!Y$2,'TALLY BOX DUMP'!25:25))</f>
        <v>0</v>
      </c>
      <c r="Z26" s="21">
        <f ca="1">IF($D26="","",SUMIF('TALLY BOX DUMP'!$1:$1,'ACH CALC'!Z$2,'TALLY BOX DUMP'!25:25)+AE26)</f>
        <v>0</v>
      </c>
      <c r="AA26" s="21">
        <f ca="1">IF($D26="","",SUMIF('TALLY BOX DUMP'!$1:$1,'ACH CALC'!AA$2,'TALLY BOX DUMP'!25:25))</f>
        <v>0</v>
      </c>
      <c r="AB26" s="21">
        <f ca="1">IF($D26="","",SUMIF('TALLY BOX DUMP'!$1:$1,'ACH CALC'!AB$2,'TALLY BOX DUMP'!25:25))</f>
        <v>0</v>
      </c>
      <c r="AC26" s="21">
        <f ca="1">IF($D26="","",SUMIF('TALLY BOX DUMP'!$1:$1,'ACH CALC'!AC$2,'TALLY BOX DUMP'!25:25))</f>
        <v>0</v>
      </c>
      <c r="AD26" s="21">
        <f ca="1">IF($D26="","",SUMIF('TALLY BOX DUMP'!$1:$1,'ACH CALC'!AD$2,'TALLY BOX DUMP'!25:25))</f>
        <v>0</v>
      </c>
      <c r="AE26" s="21">
        <f ca="1">IF($D26="","",SUMIF('TALLY BOX DUMP'!$1:$1,'ACH CALC'!AE$2,'TALLY BOX DUMP'!25:25))</f>
        <v>0</v>
      </c>
      <c r="AF26" s="21">
        <f ca="1">IF($D26="","",SUMIF('TALLY BOX DUMP'!$1:$1,'ACH CALC'!AF$2,'TALLY BOX DUMP'!25:25))</f>
        <v>0</v>
      </c>
      <c r="AG26" s="21">
        <f ca="1">IF($D26="","",SUMIF('TALLY BOX DUMP'!$1:$1,'ACH CALC'!AG$2,'TALLY BOX DUMP'!25:25))</f>
        <v>0</v>
      </c>
      <c r="AH26" s="21">
        <f ca="1">IF($D26="","",SUMIF('TALLY BOX DUMP'!$1:$1,'ACH CALC'!AH$2,'TALLY BOX DUMP'!25:25))</f>
        <v>0</v>
      </c>
      <c r="AI26" s="21">
        <f ca="1">IF($D26="","",SUMIF('TALLY BOX DUMP'!$1:$1,'ACH CALC'!AI$2,'TALLY BOX DUMP'!25:25))</f>
        <v>0</v>
      </c>
      <c r="AJ26" s="21">
        <f ca="1">IF($D26="","",SUMIF('TALLY BOX DUMP'!$1:$1,'ACH CALC'!AJ$2,'TALLY BOX DUMP'!25:25))</f>
        <v>0</v>
      </c>
      <c r="AK26" s="21">
        <f ca="1">IF($D26="","",SUMIF('TALLY BOX DUMP'!$1:$1,'ACH CALC'!AK$2,'TALLY BOX DUMP'!25:25))</f>
        <v>0</v>
      </c>
      <c r="AL26" s="21">
        <f ca="1">IF($D26="","",ROUND(SUMIF('TALLY KG DUMP'!$1:$1,'ACH CALC'!AL$2,'TALLY KG DUMP'!25:25)/30,1))</f>
        <v>0</v>
      </c>
      <c r="AM26" s="21">
        <f ca="1">IF($D26="","",SUMIF('TALLY BOX DUMP'!$1:$1,'ACH CALC'!AM$2,'TALLY BOX DUMP'!25:25))</f>
        <v>0</v>
      </c>
      <c r="AN26" s="21">
        <f ca="1">IF($D26="","",SUMIF('TALLY BOX DUMP'!$1:$1,'ACH CALC'!AN$2,'TALLY BOX DUMP'!25:25))</f>
        <v>0</v>
      </c>
      <c r="AO26" s="21">
        <f ca="1">IF($D26="","",SUMIF('TALLY BOX DUMP'!$1:$1,'ACH CALC'!AO$2,'TALLY BOX DUMP'!25:25))</f>
        <v>0</v>
      </c>
      <c r="AP26" s="21">
        <f ca="1">IF($D26="","",SUMIF('TALLY BOX DUMP'!$1:$1,'ACH CALC'!AP$2,'TALLY BOX DUMP'!25:25))</f>
        <v>0</v>
      </c>
      <c r="AQ26" s="21">
        <f ca="1">IF($D26="","",ROUND(SUMIF('TALLY KG DUMP'!$1:$1,'ACH CALC'!AQ$2,'TALLY KG DUMP'!25:25)/30,1))</f>
        <v>0</v>
      </c>
      <c r="AR26" s="21">
        <f ca="1">IF($D26="","",SUMIF('TALLY BOX DUMP'!$1:$1,'ACH CALC'!AR$2,'TALLY BOX DUMP'!25:25))</f>
        <v>0</v>
      </c>
      <c r="AS26" s="21">
        <f ca="1">IF($D26="","",SUMIF('TALLY BOX DUMP'!$1:$1,'ACH CALC'!AS$2,'TALLY BOX DUMP'!25:25))</f>
        <v>0</v>
      </c>
      <c r="AT26" s="21">
        <f ca="1">IF($D26="","",SUMIF('TALLY BOX DUMP'!$1:$1,'ACH CALC'!AT$2,'TALLY BOX DUMP'!25:25))</f>
        <v>0</v>
      </c>
      <c r="AU26" s="21">
        <f ca="1">IF($D26="","",SUMIF('TALLY BOX DUMP'!$1:$1,'ACH CALC'!AU$2,'TALLY BOX DUMP'!25:25))</f>
        <v>0</v>
      </c>
      <c r="AV26" s="21">
        <f ca="1">IF($D26="","",SUMIF('TALLY BOX DUMP'!$1:$1,'ACH CALC'!AV$2,'TALLY BOX DUMP'!25:25))</f>
        <v>0</v>
      </c>
      <c r="AW26" s="21">
        <f ca="1">IF($D26="","",SUMIF('TALLY BOX DUMP'!$1:$1,'ACH CALC'!AW$2,'TALLY BOX DUMP'!25:25))</f>
        <v>0</v>
      </c>
      <c r="AX26" s="21">
        <f ca="1">IF($D26="","",SUMIF('TALLY BOX DUMP'!$1:$1,'ACH CALC'!AX$2,'TALLY BOX DUMP'!25:25))</f>
        <v>0</v>
      </c>
      <c r="AY26" s="21">
        <f ca="1">IF($D26="","",SUMIF('TALLY BOX DUMP'!$1:$1,'ACH CALC'!AY$2,'TALLY BOX DUMP'!25:25))</f>
        <v>0</v>
      </c>
      <c r="AZ26" s="21">
        <f ca="1">IF($D26="","",SUMIF('TALLY BOX DUMP'!$1:$1,'ACH CALC'!AZ$2,'TALLY BOX DUMP'!25:25))</f>
        <v>0</v>
      </c>
      <c r="BA26" s="69">
        <f>(SUMIF('TALLY KG DUMP'!$2:$2,"Qty",'TALLY KG DUMP'!25:25)/1000)-(SUMIF('TALLY KG DUMP'!$1:$1,"GL",'TALLY KG DUMP'!25:25)/1000)</f>
        <v>2.004</v>
      </c>
      <c r="BB26" s="21" t="b">
        <f t="shared" ca="1" si="2"/>
        <v>1</v>
      </c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</row>
    <row r="27" spans="2:75" x14ac:dyDescent="0.25">
      <c r="B27" s="21" t="str">
        <f ca="1"/>
        <v>24</v>
      </c>
      <c r="C27" s="21" t="str">
        <f ca="1"/>
        <v>SUN06756</v>
      </c>
      <c r="D27" s="21" t="str">
        <f ca="1"/>
        <v>KL KANNUR K.B TRADE LINKS</v>
      </c>
      <c r="E27" s="21">
        <f ca="1">IF($D27="","",(SUMIF('TALLY KG DUMP'!$2:$2,"Qty",'TALLY KG DUMP'!26:26)/1000)-(SUMIF('TALLY KG DUMP'!$1:$1,"GL",'TALLY KG DUMP'!26:26)/1000))</f>
        <v>2.7320000000000002</v>
      </c>
      <c r="F27" s="21">
        <f ca="1">IF($D27="","",(SUMIF('TALLY KG DUMP'!$1:$1,'ACH CALC'!F$2,'TALLY KG DUMP'!26:26)/1000))</f>
        <v>0</v>
      </c>
      <c r="G27" s="21">
        <f ca="1">IF($D27="","",SUMIF('TALLY BOX DUMP'!$1:$1,'ACH CALC'!G$2,'TALLY BOX DUMP'!26:26)+Y27)</f>
        <v>0</v>
      </c>
      <c r="H27" s="21">
        <f t="shared" ca="1" si="0"/>
        <v>0</v>
      </c>
      <c r="I27" s="21">
        <f ca="1">IF($D27="","",SUMIF('TALLY BOX DUMP'!$1:$1,'ACH CALC'!I$2,'TALLY BOX DUMP'!26:26)+AA27)</f>
        <v>0</v>
      </c>
      <c r="J27" s="21">
        <f ca="1">IF($D27="","",SUMIF('TALLY BOX DUMP'!$1:$1,'ACH CALC'!J$2,'TALLY BOX DUMP'!26:26)+AB27)</f>
        <v>0</v>
      </c>
      <c r="K27" s="21">
        <f ca="1">IF($D27="","",SUMIF('TALLY BOX DUMP'!$1:$1,'ACH CALC'!K$2,'TALLY BOX DUMP'!26:26)+AC27)</f>
        <v>0</v>
      </c>
      <c r="L27" s="21">
        <f ca="1">IF($D27="","",SUMIF('TALLY BOX DUMP'!$1:$1,'ACH CALC'!L$2,'TALLY BOX DUMP'!26:26))</f>
        <v>0</v>
      </c>
      <c r="M27" s="21">
        <f ca="1">IF($D27="","",SUMIF('TALLY BOX DUMP'!$1:$1,'ACH CALC'!M$2,'TALLY BOX DUMP'!26:26)+AD27)</f>
        <v>0</v>
      </c>
      <c r="N27" s="21">
        <f ca="1">IF($D27="","",SUMIF('TALLY BOX DUMP'!$1:$1,'ACH CALC'!N$2,'TALLY BOX DUMP'!26:26))</f>
        <v>0</v>
      </c>
      <c r="O27" s="21">
        <f ca="1">IF($D27="","",SUMIF('TALLY BOX DUMP'!$1:$1,'ACH CALC'!O$2,'TALLY BOX DUMP'!26:26))</f>
        <v>0</v>
      </c>
      <c r="P27" s="21">
        <f ca="1">IF($D27="","",SUMIF('TALLY BOX DUMP'!$1:$1,'ACH CALC'!P$2,'TALLY BOX DUMP'!26:26))</f>
        <v>0</v>
      </c>
      <c r="Q27" s="21">
        <f t="shared" ca="1" si="1"/>
        <v>0</v>
      </c>
      <c r="R27" s="21">
        <f ca="1">IF($D27="","",SUMIF('TALLY BOX DUMP'!$1:$1,'ACH CALC'!R$2,'TALLY BOX DUMP'!26:26))</f>
        <v>0</v>
      </c>
      <c r="S27" s="21">
        <f ca="1">IF($D27="","",SUMIF('TALLY BOX DUMP'!$1:$1,'ACH CALC'!S$2,'TALLY BOX DUMP'!26:26))</f>
        <v>0</v>
      </c>
      <c r="T27" s="21">
        <f ca="1">IF($D27="","",SUMIF('TALLY BOX DUMP'!$1:$1,'ACH CALC'!T$2,'TALLY BOX DUMP'!26:26))</f>
        <v>0</v>
      </c>
      <c r="U27" s="21">
        <f ca="1">IF($D27="","",SUMIF('TALLY BOX DUMP'!$1:$1,'ACH CALC'!U$2,'TALLY BOX DUMP'!26:26))</f>
        <v>0</v>
      </c>
      <c r="V27" s="21">
        <f ca="1">IF($D27="","",SUMIF('TALLY BOX DUMP'!$1:$1,'ACH CALC'!V$2,'TALLY BOX DUMP'!26:26))</f>
        <v>0</v>
      </c>
      <c r="W27" s="21">
        <f ca="1">IF($D27="","",SUMIF('TALLY BOX DUMP'!$1:$1,'ACH CALC'!W$2,'TALLY BOX DUMP'!26:26))</f>
        <v>0</v>
      </c>
      <c r="X27" s="21">
        <f ca="1">IF($D27="","",SUMIF('TALLY BOX DUMP'!$1:$1,'ACH CALC'!X$2,'TALLY BOX DUMP'!26:26))</f>
        <v>0</v>
      </c>
      <c r="Y27" s="21">
        <f ca="1">IF($D27="","",SUMIF('TALLY BOX DUMP'!$1:$1,'ACH CALC'!Y$2,'TALLY BOX DUMP'!26:26))</f>
        <v>0</v>
      </c>
      <c r="Z27" s="21">
        <f ca="1">IF($D27="","",SUMIF('TALLY BOX DUMP'!$1:$1,'ACH CALC'!Z$2,'TALLY BOX DUMP'!26:26)+AE27)</f>
        <v>0</v>
      </c>
      <c r="AA27" s="21">
        <f ca="1">IF($D27="","",SUMIF('TALLY BOX DUMP'!$1:$1,'ACH CALC'!AA$2,'TALLY BOX DUMP'!26:26))</f>
        <v>0</v>
      </c>
      <c r="AB27" s="21">
        <f ca="1">IF($D27="","",SUMIF('TALLY BOX DUMP'!$1:$1,'ACH CALC'!AB$2,'TALLY BOX DUMP'!26:26))</f>
        <v>0</v>
      </c>
      <c r="AC27" s="21">
        <f ca="1">IF($D27="","",SUMIF('TALLY BOX DUMP'!$1:$1,'ACH CALC'!AC$2,'TALLY BOX DUMP'!26:26))</f>
        <v>0</v>
      </c>
      <c r="AD27" s="21">
        <f ca="1">IF($D27="","",SUMIF('TALLY BOX DUMP'!$1:$1,'ACH CALC'!AD$2,'TALLY BOX DUMP'!26:26))</f>
        <v>0</v>
      </c>
      <c r="AE27" s="21">
        <f ca="1">IF($D27="","",SUMIF('TALLY BOX DUMP'!$1:$1,'ACH CALC'!AE$2,'TALLY BOX DUMP'!26:26))</f>
        <v>0</v>
      </c>
      <c r="AF27" s="21">
        <f ca="1">IF($D27="","",SUMIF('TALLY BOX DUMP'!$1:$1,'ACH CALC'!AF$2,'TALLY BOX DUMP'!26:26))</f>
        <v>0</v>
      </c>
      <c r="AG27" s="21">
        <f ca="1">IF($D27="","",SUMIF('TALLY BOX DUMP'!$1:$1,'ACH CALC'!AG$2,'TALLY BOX DUMP'!26:26))</f>
        <v>0</v>
      </c>
      <c r="AH27" s="21">
        <f ca="1">IF($D27="","",SUMIF('TALLY BOX DUMP'!$1:$1,'ACH CALC'!AH$2,'TALLY BOX DUMP'!26:26))</f>
        <v>0</v>
      </c>
      <c r="AI27" s="21">
        <f ca="1">IF($D27="","",SUMIF('TALLY BOX DUMP'!$1:$1,'ACH CALC'!AI$2,'TALLY BOX DUMP'!26:26))</f>
        <v>0</v>
      </c>
      <c r="AJ27" s="21">
        <f ca="1">IF($D27="","",SUMIF('TALLY BOX DUMP'!$1:$1,'ACH CALC'!AJ$2,'TALLY BOX DUMP'!26:26))</f>
        <v>0</v>
      </c>
      <c r="AK27" s="21">
        <f ca="1">IF($D27="","",SUMIF('TALLY BOX DUMP'!$1:$1,'ACH CALC'!AK$2,'TALLY BOX DUMP'!26:26))</f>
        <v>0</v>
      </c>
      <c r="AL27" s="21">
        <f ca="1">IF($D27="","",ROUND(SUMIF('TALLY KG DUMP'!$1:$1,'ACH CALC'!AL$2,'TALLY KG DUMP'!26:26)/30,1))</f>
        <v>0</v>
      </c>
      <c r="AM27" s="21">
        <f ca="1">IF($D27="","",SUMIF('TALLY BOX DUMP'!$1:$1,'ACH CALC'!AM$2,'TALLY BOX DUMP'!26:26))</f>
        <v>0</v>
      </c>
      <c r="AN27" s="21">
        <f ca="1">IF($D27="","",SUMIF('TALLY BOX DUMP'!$1:$1,'ACH CALC'!AN$2,'TALLY BOX DUMP'!26:26))</f>
        <v>0</v>
      </c>
      <c r="AO27" s="21">
        <f ca="1">IF($D27="","",SUMIF('TALLY BOX DUMP'!$1:$1,'ACH CALC'!AO$2,'TALLY BOX DUMP'!26:26))</f>
        <v>0</v>
      </c>
      <c r="AP27" s="21">
        <f ca="1">IF($D27="","",SUMIF('TALLY BOX DUMP'!$1:$1,'ACH CALC'!AP$2,'TALLY BOX DUMP'!26:26))</f>
        <v>0</v>
      </c>
      <c r="AQ27" s="21">
        <f ca="1">IF($D27="","",ROUND(SUMIF('TALLY KG DUMP'!$1:$1,'ACH CALC'!AQ$2,'TALLY KG DUMP'!26:26)/30,1))</f>
        <v>0</v>
      </c>
      <c r="AR27" s="21">
        <f ca="1">IF($D27="","",SUMIF('TALLY BOX DUMP'!$1:$1,'ACH CALC'!AR$2,'TALLY BOX DUMP'!26:26))</f>
        <v>0</v>
      </c>
      <c r="AS27" s="21">
        <f ca="1">IF($D27="","",SUMIF('TALLY BOX DUMP'!$1:$1,'ACH CALC'!AS$2,'TALLY BOX DUMP'!26:26))</f>
        <v>0</v>
      </c>
      <c r="AT27" s="21">
        <f ca="1">IF($D27="","",SUMIF('TALLY BOX DUMP'!$1:$1,'ACH CALC'!AT$2,'TALLY BOX DUMP'!26:26))</f>
        <v>0</v>
      </c>
      <c r="AU27" s="21">
        <f ca="1">IF($D27="","",SUMIF('TALLY BOX DUMP'!$1:$1,'ACH CALC'!AU$2,'TALLY BOX DUMP'!26:26))</f>
        <v>0</v>
      </c>
      <c r="AV27" s="21">
        <f ca="1">IF($D27="","",SUMIF('TALLY BOX DUMP'!$1:$1,'ACH CALC'!AV$2,'TALLY BOX DUMP'!26:26))</f>
        <v>0</v>
      </c>
      <c r="AW27" s="21">
        <f ca="1">IF($D27="","",SUMIF('TALLY BOX DUMP'!$1:$1,'ACH CALC'!AW$2,'TALLY BOX DUMP'!26:26))</f>
        <v>0</v>
      </c>
      <c r="AX27" s="21">
        <f ca="1">IF($D27="","",SUMIF('TALLY BOX DUMP'!$1:$1,'ACH CALC'!AX$2,'TALLY BOX DUMP'!26:26))</f>
        <v>0</v>
      </c>
      <c r="AY27" s="21">
        <f ca="1">IF($D27="","",SUMIF('TALLY BOX DUMP'!$1:$1,'ACH CALC'!AY$2,'TALLY BOX DUMP'!26:26))</f>
        <v>0</v>
      </c>
      <c r="AZ27" s="21">
        <f ca="1">IF($D27="","",SUMIF('TALLY BOX DUMP'!$1:$1,'ACH CALC'!AZ$2,'TALLY BOX DUMP'!26:26))</f>
        <v>0</v>
      </c>
      <c r="BA27" s="69">
        <f>(SUMIF('TALLY KG DUMP'!$2:$2,"Qty",'TALLY KG DUMP'!26:26)/1000)-(SUMIF('TALLY KG DUMP'!$1:$1,"GL",'TALLY KG DUMP'!26:26)/1000)</f>
        <v>2.7320000000000002</v>
      </c>
      <c r="BB27" s="21" t="b">
        <f t="shared" ca="1" si="2"/>
        <v>1</v>
      </c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</row>
    <row r="28" spans="2:75" x14ac:dyDescent="0.25">
      <c r="B28" s="21" t="str">
        <f ca="1"/>
        <v>25</v>
      </c>
      <c r="C28" s="21" t="str">
        <f ca="1"/>
        <v>SUN07755</v>
      </c>
      <c r="D28" s="21" t="str">
        <f ca="1"/>
        <v>AP KUSUMA KISHORI AGENCY</v>
      </c>
      <c r="E28" s="21">
        <f ca="1">IF($D28="","",(SUMIF('TALLY KG DUMP'!$2:$2,"Qty",'TALLY KG DUMP'!27:27)/1000)-(SUMIF('TALLY KG DUMP'!$1:$1,"GL",'TALLY KG DUMP'!27:27)/1000))</f>
        <v>0</v>
      </c>
      <c r="F28" s="21">
        <f ca="1">IF($D28="","",(SUMIF('TALLY KG DUMP'!$1:$1,'ACH CALC'!F$2,'TALLY KG DUMP'!27:27)/1000))</f>
        <v>0</v>
      </c>
      <c r="G28" s="21">
        <f ca="1">IF($D28="","",SUMIF('TALLY BOX DUMP'!$1:$1,'ACH CALC'!G$2,'TALLY BOX DUMP'!27:27)+Y28)</f>
        <v>0</v>
      </c>
      <c r="H28" s="21">
        <f t="shared" ca="1" si="0"/>
        <v>0</v>
      </c>
      <c r="I28" s="21">
        <f ca="1">IF($D28="","",SUMIF('TALLY BOX DUMP'!$1:$1,'ACH CALC'!I$2,'TALLY BOX DUMP'!27:27)+AA28)</f>
        <v>0</v>
      </c>
      <c r="J28" s="21">
        <f ca="1">IF($D28="","",SUMIF('TALLY BOX DUMP'!$1:$1,'ACH CALC'!J$2,'TALLY BOX DUMP'!27:27)+AB28)</f>
        <v>0</v>
      </c>
      <c r="K28" s="21">
        <f ca="1">IF($D28="","",SUMIF('TALLY BOX DUMP'!$1:$1,'ACH CALC'!K$2,'TALLY BOX DUMP'!27:27)+AC28)</f>
        <v>0</v>
      </c>
      <c r="L28" s="21">
        <f ca="1">IF($D28="","",SUMIF('TALLY BOX DUMP'!$1:$1,'ACH CALC'!L$2,'TALLY BOX DUMP'!27:27))</f>
        <v>0</v>
      </c>
      <c r="M28" s="21">
        <f ca="1">IF($D28="","",SUMIF('TALLY BOX DUMP'!$1:$1,'ACH CALC'!M$2,'TALLY BOX DUMP'!27:27)+AD28)</f>
        <v>0</v>
      </c>
      <c r="N28" s="21">
        <f ca="1">IF($D28="","",SUMIF('TALLY BOX DUMP'!$1:$1,'ACH CALC'!N$2,'TALLY BOX DUMP'!27:27))</f>
        <v>0</v>
      </c>
      <c r="O28" s="21">
        <f ca="1">IF($D28="","",SUMIF('TALLY BOX DUMP'!$1:$1,'ACH CALC'!O$2,'TALLY BOX DUMP'!27:27))</f>
        <v>0</v>
      </c>
      <c r="P28" s="21">
        <f ca="1">IF($D28="","",SUMIF('TALLY BOX DUMP'!$1:$1,'ACH CALC'!P$2,'TALLY BOX DUMP'!27:27))</f>
        <v>0</v>
      </c>
      <c r="Q28" s="21">
        <f t="shared" ca="1" si="1"/>
        <v>0</v>
      </c>
      <c r="R28" s="21">
        <f ca="1">IF($D28="","",SUMIF('TALLY BOX DUMP'!$1:$1,'ACH CALC'!R$2,'TALLY BOX DUMP'!27:27))</f>
        <v>0</v>
      </c>
      <c r="S28" s="21">
        <f ca="1">IF($D28="","",SUMIF('TALLY BOX DUMP'!$1:$1,'ACH CALC'!S$2,'TALLY BOX DUMP'!27:27))</f>
        <v>0</v>
      </c>
      <c r="T28" s="21">
        <f ca="1">IF($D28="","",SUMIF('TALLY BOX DUMP'!$1:$1,'ACH CALC'!T$2,'TALLY BOX DUMP'!27:27))</f>
        <v>0</v>
      </c>
      <c r="U28" s="21">
        <f ca="1">IF($D28="","",SUMIF('TALLY BOX DUMP'!$1:$1,'ACH CALC'!U$2,'TALLY BOX DUMP'!27:27))</f>
        <v>0</v>
      </c>
      <c r="V28" s="21">
        <f ca="1">IF($D28="","",SUMIF('TALLY BOX DUMP'!$1:$1,'ACH CALC'!V$2,'TALLY BOX DUMP'!27:27))</f>
        <v>0</v>
      </c>
      <c r="W28" s="21">
        <f ca="1">IF($D28="","",SUMIF('TALLY BOX DUMP'!$1:$1,'ACH CALC'!W$2,'TALLY BOX DUMP'!27:27))</f>
        <v>0</v>
      </c>
      <c r="X28" s="21">
        <f ca="1">IF($D28="","",SUMIF('TALLY BOX DUMP'!$1:$1,'ACH CALC'!X$2,'TALLY BOX DUMP'!27:27))</f>
        <v>0</v>
      </c>
      <c r="Y28" s="21">
        <f ca="1">IF($D28="","",SUMIF('TALLY BOX DUMP'!$1:$1,'ACH CALC'!Y$2,'TALLY BOX DUMP'!27:27))</f>
        <v>0</v>
      </c>
      <c r="Z28" s="21">
        <f ca="1">IF($D28="","",SUMIF('TALLY BOX DUMP'!$1:$1,'ACH CALC'!Z$2,'TALLY BOX DUMP'!27:27)+AE28)</f>
        <v>0</v>
      </c>
      <c r="AA28" s="21">
        <f ca="1">IF($D28="","",SUMIF('TALLY BOX DUMP'!$1:$1,'ACH CALC'!AA$2,'TALLY BOX DUMP'!27:27))</f>
        <v>0</v>
      </c>
      <c r="AB28" s="21">
        <f ca="1">IF($D28="","",SUMIF('TALLY BOX DUMP'!$1:$1,'ACH CALC'!AB$2,'TALLY BOX DUMP'!27:27))</f>
        <v>0</v>
      </c>
      <c r="AC28" s="21">
        <f ca="1">IF($D28="","",SUMIF('TALLY BOX DUMP'!$1:$1,'ACH CALC'!AC$2,'TALLY BOX DUMP'!27:27))</f>
        <v>0</v>
      </c>
      <c r="AD28" s="21">
        <f ca="1">IF($D28="","",SUMIF('TALLY BOX DUMP'!$1:$1,'ACH CALC'!AD$2,'TALLY BOX DUMP'!27:27))</f>
        <v>0</v>
      </c>
      <c r="AE28" s="21">
        <f ca="1">IF($D28="","",SUMIF('TALLY BOX DUMP'!$1:$1,'ACH CALC'!AE$2,'TALLY BOX DUMP'!27:27))</f>
        <v>0</v>
      </c>
      <c r="AF28" s="21">
        <f ca="1">IF($D28="","",SUMIF('TALLY BOX DUMP'!$1:$1,'ACH CALC'!AF$2,'TALLY BOX DUMP'!27:27))</f>
        <v>0</v>
      </c>
      <c r="AG28" s="21">
        <f ca="1">IF($D28="","",SUMIF('TALLY BOX DUMP'!$1:$1,'ACH CALC'!AG$2,'TALLY BOX DUMP'!27:27))</f>
        <v>0</v>
      </c>
      <c r="AH28" s="21">
        <f ca="1">IF($D28="","",SUMIF('TALLY BOX DUMP'!$1:$1,'ACH CALC'!AH$2,'TALLY BOX DUMP'!27:27))</f>
        <v>0</v>
      </c>
      <c r="AI28" s="21">
        <f ca="1">IF($D28="","",SUMIF('TALLY BOX DUMP'!$1:$1,'ACH CALC'!AI$2,'TALLY BOX DUMP'!27:27))</f>
        <v>0</v>
      </c>
      <c r="AJ28" s="21">
        <f ca="1">IF($D28="","",SUMIF('TALLY BOX DUMP'!$1:$1,'ACH CALC'!AJ$2,'TALLY BOX DUMP'!27:27))</f>
        <v>0</v>
      </c>
      <c r="AK28" s="21">
        <f ca="1">IF($D28="","",SUMIF('TALLY BOX DUMP'!$1:$1,'ACH CALC'!AK$2,'TALLY BOX DUMP'!27:27))</f>
        <v>0</v>
      </c>
      <c r="AL28" s="21">
        <f ca="1">IF($D28="","",ROUND(SUMIF('TALLY KG DUMP'!$1:$1,'ACH CALC'!AL$2,'TALLY KG DUMP'!27:27)/30,1))</f>
        <v>0</v>
      </c>
      <c r="AM28" s="21">
        <f ca="1">IF($D28="","",SUMIF('TALLY BOX DUMP'!$1:$1,'ACH CALC'!AM$2,'TALLY BOX DUMP'!27:27))</f>
        <v>0</v>
      </c>
      <c r="AN28" s="21">
        <f ca="1">IF($D28="","",SUMIF('TALLY BOX DUMP'!$1:$1,'ACH CALC'!AN$2,'TALLY BOX DUMP'!27:27))</f>
        <v>0</v>
      </c>
      <c r="AO28" s="21">
        <f ca="1">IF($D28="","",SUMIF('TALLY BOX DUMP'!$1:$1,'ACH CALC'!AO$2,'TALLY BOX DUMP'!27:27))</f>
        <v>0</v>
      </c>
      <c r="AP28" s="21">
        <f ca="1">IF($D28="","",SUMIF('TALLY BOX DUMP'!$1:$1,'ACH CALC'!AP$2,'TALLY BOX DUMP'!27:27))</f>
        <v>0</v>
      </c>
      <c r="AQ28" s="21">
        <f ca="1">IF($D28="","",ROUND(SUMIF('TALLY KG DUMP'!$1:$1,'ACH CALC'!AQ$2,'TALLY KG DUMP'!27:27)/30,1))</f>
        <v>0</v>
      </c>
      <c r="AR28" s="21">
        <f ca="1">IF($D28="","",SUMIF('TALLY BOX DUMP'!$1:$1,'ACH CALC'!AR$2,'TALLY BOX DUMP'!27:27))</f>
        <v>0</v>
      </c>
      <c r="AS28" s="21">
        <f ca="1">IF($D28="","",SUMIF('TALLY BOX DUMP'!$1:$1,'ACH CALC'!AS$2,'TALLY BOX DUMP'!27:27))</f>
        <v>0</v>
      </c>
      <c r="AT28" s="21">
        <f ca="1">IF($D28="","",SUMIF('TALLY BOX DUMP'!$1:$1,'ACH CALC'!AT$2,'TALLY BOX DUMP'!27:27))</f>
        <v>0</v>
      </c>
      <c r="AU28" s="21">
        <f ca="1">IF($D28="","",SUMIF('TALLY BOX DUMP'!$1:$1,'ACH CALC'!AU$2,'TALLY BOX DUMP'!27:27))</f>
        <v>0</v>
      </c>
      <c r="AV28" s="21">
        <f ca="1">IF($D28="","",SUMIF('TALLY BOX DUMP'!$1:$1,'ACH CALC'!AV$2,'TALLY BOX DUMP'!27:27))</f>
        <v>0</v>
      </c>
      <c r="AW28" s="21">
        <f ca="1">IF($D28="","",SUMIF('TALLY BOX DUMP'!$1:$1,'ACH CALC'!AW$2,'TALLY BOX DUMP'!27:27))</f>
        <v>0</v>
      </c>
      <c r="AX28" s="21">
        <f ca="1">IF($D28="","",SUMIF('TALLY BOX DUMP'!$1:$1,'ACH CALC'!AX$2,'TALLY BOX DUMP'!27:27))</f>
        <v>0</v>
      </c>
      <c r="AY28" s="21">
        <f ca="1">IF($D28="","",SUMIF('TALLY BOX DUMP'!$1:$1,'ACH CALC'!AY$2,'TALLY BOX DUMP'!27:27))</f>
        <v>0</v>
      </c>
      <c r="AZ28" s="21">
        <f ca="1">IF($D28="","",SUMIF('TALLY BOX DUMP'!$1:$1,'ACH CALC'!AZ$2,'TALLY BOX DUMP'!27:27))</f>
        <v>0</v>
      </c>
      <c r="BA28" s="69">
        <f>(SUMIF('TALLY KG DUMP'!$2:$2,"Qty",'TALLY KG DUMP'!27:27)/1000)-(SUMIF('TALLY KG DUMP'!$1:$1,"GL",'TALLY KG DUMP'!27:27)/1000)</f>
        <v>0</v>
      </c>
      <c r="BB28" s="21" t="b">
        <f t="shared" ca="1" si="2"/>
        <v>1</v>
      </c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</row>
    <row r="29" spans="2:75" x14ac:dyDescent="0.25">
      <c r="B29" s="21" t="str">
        <f ca="1"/>
        <v>26</v>
      </c>
      <c r="C29" s="21" t="str">
        <f ca="1"/>
        <v>SUN07110</v>
      </c>
      <c r="D29" s="21" t="str">
        <f ca="1"/>
        <v>AP-CHITTHIRALA EDIBLE OILS AND FOODS</v>
      </c>
      <c r="E29" s="21">
        <f ca="1">IF($D29="","",(SUMIF('TALLY KG DUMP'!$2:$2,"Qty",'TALLY KG DUMP'!28:28)/1000)-(SUMIF('TALLY KG DUMP'!$1:$1,"GL",'TALLY KG DUMP'!28:28)/1000))</f>
        <v>0</v>
      </c>
      <c r="F29" s="21">
        <f ca="1">IF($D29="","",(SUMIF('TALLY KG DUMP'!$1:$1,'ACH CALC'!F$2,'TALLY KG DUMP'!28:28)/1000))</f>
        <v>0</v>
      </c>
      <c r="G29" s="21">
        <f ca="1">IF($D29="","",SUMIF('TALLY BOX DUMP'!$1:$1,'ACH CALC'!G$2,'TALLY BOX DUMP'!28:28)+Y29)</f>
        <v>0</v>
      </c>
      <c r="H29" s="21">
        <f t="shared" ca="1" si="0"/>
        <v>0</v>
      </c>
      <c r="I29" s="21">
        <f ca="1">IF($D29="","",SUMIF('TALLY BOX DUMP'!$1:$1,'ACH CALC'!I$2,'TALLY BOX DUMP'!28:28)+AA29)</f>
        <v>0</v>
      </c>
      <c r="J29" s="21">
        <f ca="1">IF($D29="","",SUMIF('TALLY BOX DUMP'!$1:$1,'ACH CALC'!J$2,'TALLY BOX DUMP'!28:28)+AB29)</f>
        <v>0</v>
      </c>
      <c r="K29" s="21">
        <f ca="1">IF($D29="","",SUMIF('TALLY BOX DUMP'!$1:$1,'ACH CALC'!K$2,'TALLY BOX DUMP'!28:28)+AC29)</f>
        <v>0</v>
      </c>
      <c r="L29" s="21">
        <f ca="1">IF($D29="","",SUMIF('TALLY BOX DUMP'!$1:$1,'ACH CALC'!L$2,'TALLY BOX DUMP'!28:28))</f>
        <v>0</v>
      </c>
      <c r="M29" s="21">
        <f ca="1">IF($D29="","",SUMIF('TALLY BOX DUMP'!$1:$1,'ACH CALC'!M$2,'TALLY BOX DUMP'!28:28)+AD29)</f>
        <v>0</v>
      </c>
      <c r="N29" s="21">
        <f ca="1">IF($D29="","",SUMIF('TALLY BOX DUMP'!$1:$1,'ACH CALC'!N$2,'TALLY BOX DUMP'!28:28))</f>
        <v>0</v>
      </c>
      <c r="O29" s="21">
        <f ca="1">IF($D29="","",SUMIF('TALLY BOX DUMP'!$1:$1,'ACH CALC'!O$2,'TALLY BOX DUMP'!28:28))</f>
        <v>0</v>
      </c>
      <c r="P29" s="21">
        <f ca="1">IF($D29="","",SUMIF('TALLY BOX DUMP'!$1:$1,'ACH CALC'!P$2,'TALLY BOX DUMP'!28:28))</f>
        <v>0</v>
      </c>
      <c r="Q29" s="21">
        <f t="shared" ca="1" si="1"/>
        <v>0</v>
      </c>
      <c r="R29" s="21">
        <f ca="1">IF($D29="","",SUMIF('TALLY BOX DUMP'!$1:$1,'ACH CALC'!R$2,'TALLY BOX DUMP'!28:28))</f>
        <v>0</v>
      </c>
      <c r="S29" s="21">
        <f ca="1">IF($D29="","",SUMIF('TALLY BOX DUMP'!$1:$1,'ACH CALC'!S$2,'TALLY BOX DUMP'!28:28))</f>
        <v>0</v>
      </c>
      <c r="T29" s="21">
        <f ca="1">IF($D29="","",SUMIF('TALLY BOX DUMP'!$1:$1,'ACH CALC'!T$2,'TALLY BOX DUMP'!28:28))</f>
        <v>0</v>
      </c>
      <c r="U29" s="21">
        <f ca="1">IF($D29="","",SUMIF('TALLY BOX DUMP'!$1:$1,'ACH CALC'!U$2,'TALLY BOX DUMP'!28:28))</f>
        <v>0</v>
      </c>
      <c r="V29" s="21">
        <f ca="1">IF($D29="","",SUMIF('TALLY BOX DUMP'!$1:$1,'ACH CALC'!V$2,'TALLY BOX DUMP'!28:28))</f>
        <v>0</v>
      </c>
      <c r="W29" s="21">
        <f ca="1">IF($D29="","",SUMIF('TALLY BOX DUMP'!$1:$1,'ACH CALC'!W$2,'TALLY BOX DUMP'!28:28))</f>
        <v>0</v>
      </c>
      <c r="X29" s="21">
        <f ca="1">IF($D29="","",SUMIF('TALLY BOX DUMP'!$1:$1,'ACH CALC'!X$2,'TALLY BOX DUMP'!28:28))</f>
        <v>0</v>
      </c>
      <c r="Y29" s="21">
        <f ca="1">IF($D29="","",SUMIF('TALLY BOX DUMP'!$1:$1,'ACH CALC'!Y$2,'TALLY BOX DUMP'!28:28))</f>
        <v>0</v>
      </c>
      <c r="Z29" s="21">
        <f ca="1">IF($D29="","",SUMIF('TALLY BOX DUMP'!$1:$1,'ACH CALC'!Z$2,'TALLY BOX DUMP'!28:28)+AE29)</f>
        <v>0</v>
      </c>
      <c r="AA29" s="21">
        <f ca="1">IF($D29="","",SUMIF('TALLY BOX DUMP'!$1:$1,'ACH CALC'!AA$2,'TALLY BOX DUMP'!28:28))</f>
        <v>0</v>
      </c>
      <c r="AB29" s="21">
        <f ca="1">IF($D29="","",SUMIF('TALLY BOX DUMP'!$1:$1,'ACH CALC'!AB$2,'TALLY BOX DUMP'!28:28))</f>
        <v>0</v>
      </c>
      <c r="AC29" s="21">
        <f ca="1">IF($D29="","",SUMIF('TALLY BOX DUMP'!$1:$1,'ACH CALC'!AC$2,'TALLY BOX DUMP'!28:28))</f>
        <v>0</v>
      </c>
      <c r="AD29" s="21">
        <f ca="1">IF($D29="","",SUMIF('TALLY BOX DUMP'!$1:$1,'ACH CALC'!AD$2,'TALLY BOX DUMP'!28:28))</f>
        <v>0</v>
      </c>
      <c r="AE29" s="21">
        <f ca="1">IF($D29="","",SUMIF('TALLY BOX DUMP'!$1:$1,'ACH CALC'!AE$2,'TALLY BOX DUMP'!28:28))</f>
        <v>0</v>
      </c>
      <c r="AF29" s="21">
        <f ca="1">IF($D29="","",SUMIF('TALLY BOX DUMP'!$1:$1,'ACH CALC'!AF$2,'TALLY BOX DUMP'!28:28))</f>
        <v>0</v>
      </c>
      <c r="AG29" s="21">
        <f ca="1">IF($D29="","",SUMIF('TALLY BOX DUMP'!$1:$1,'ACH CALC'!AG$2,'TALLY BOX DUMP'!28:28))</f>
        <v>0</v>
      </c>
      <c r="AH29" s="21">
        <f ca="1">IF($D29="","",SUMIF('TALLY BOX DUMP'!$1:$1,'ACH CALC'!AH$2,'TALLY BOX DUMP'!28:28))</f>
        <v>0</v>
      </c>
      <c r="AI29" s="21">
        <f ca="1">IF($D29="","",SUMIF('TALLY BOX DUMP'!$1:$1,'ACH CALC'!AI$2,'TALLY BOX DUMP'!28:28))</f>
        <v>0</v>
      </c>
      <c r="AJ29" s="21">
        <f ca="1">IF($D29="","",SUMIF('TALLY BOX DUMP'!$1:$1,'ACH CALC'!AJ$2,'TALLY BOX DUMP'!28:28))</f>
        <v>0</v>
      </c>
      <c r="AK29" s="21">
        <f ca="1">IF($D29="","",SUMIF('TALLY BOX DUMP'!$1:$1,'ACH CALC'!AK$2,'TALLY BOX DUMP'!28:28))</f>
        <v>0</v>
      </c>
      <c r="AL29" s="21">
        <f ca="1">IF($D29="","",ROUND(SUMIF('TALLY KG DUMP'!$1:$1,'ACH CALC'!AL$2,'TALLY KG DUMP'!28:28)/30,1))</f>
        <v>0</v>
      </c>
      <c r="AM29" s="21">
        <f ca="1">IF($D29="","",SUMIF('TALLY BOX DUMP'!$1:$1,'ACH CALC'!AM$2,'TALLY BOX DUMP'!28:28))</f>
        <v>0</v>
      </c>
      <c r="AN29" s="21">
        <f ca="1">IF($D29="","",SUMIF('TALLY BOX DUMP'!$1:$1,'ACH CALC'!AN$2,'TALLY BOX DUMP'!28:28))</f>
        <v>0</v>
      </c>
      <c r="AO29" s="21">
        <f ca="1">IF($D29="","",SUMIF('TALLY BOX DUMP'!$1:$1,'ACH CALC'!AO$2,'TALLY BOX DUMP'!28:28))</f>
        <v>0</v>
      </c>
      <c r="AP29" s="21">
        <f ca="1">IF($D29="","",SUMIF('TALLY BOX DUMP'!$1:$1,'ACH CALC'!AP$2,'TALLY BOX DUMP'!28:28))</f>
        <v>0</v>
      </c>
      <c r="AQ29" s="21">
        <f ca="1">IF($D29="","",ROUND(SUMIF('TALLY KG DUMP'!$1:$1,'ACH CALC'!AQ$2,'TALLY KG DUMP'!28:28)/30,1))</f>
        <v>0</v>
      </c>
      <c r="AR29" s="21">
        <f ca="1">IF($D29="","",SUMIF('TALLY BOX DUMP'!$1:$1,'ACH CALC'!AR$2,'TALLY BOX DUMP'!28:28))</f>
        <v>0</v>
      </c>
      <c r="AS29" s="21">
        <f ca="1">IF($D29="","",SUMIF('TALLY BOX DUMP'!$1:$1,'ACH CALC'!AS$2,'TALLY BOX DUMP'!28:28))</f>
        <v>0</v>
      </c>
      <c r="AT29" s="21">
        <f ca="1">IF($D29="","",SUMIF('TALLY BOX DUMP'!$1:$1,'ACH CALC'!AT$2,'TALLY BOX DUMP'!28:28))</f>
        <v>0</v>
      </c>
      <c r="AU29" s="21">
        <f ca="1">IF($D29="","",SUMIF('TALLY BOX DUMP'!$1:$1,'ACH CALC'!AU$2,'TALLY BOX DUMP'!28:28))</f>
        <v>0</v>
      </c>
      <c r="AV29" s="21">
        <f ca="1">IF($D29="","",SUMIF('TALLY BOX DUMP'!$1:$1,'ACH CALC'!AV$2,'TALLY BOX DUMP'!28:28))</f>
        <v>0</v>
      </c>
      <c r="AW29" s="21">
        <f ca="1">IF($D29="","",SUMIF('TALLY BOX DUMP'!$1:$1,'ACH CALC'!AW$2,'TALLY BOX DUMP'!28:28))</f>
        <v>0</v>
      </c>
      <c r="AX29" s="21">
        <f ca="1">IF($D29="","",SUMIF('TALLY BOX DUMP'!$1:$1,'ACH CALC'!AX$2,'TALLY BOX DUMP'!28:28))</f>
        <v>0</v>
      </c>
      <c r="AY29" s="21">
        <f ca="1">IF($D29="","",SUMIF('TALLY BOX DUMP'!$1:$1,'ACH CALC'!AY$2,'TALLY BOX DUMP'!28:28))</f>
        <v>0</v>
      </c>
      <c r="AZ29" s="21">
        <f ca="1">IF($D29="","",SUMIF('TALLY BOX DUMP'!$1:$1,'ACH CALC'!AZ$2,'TALLY BOX DUMP'!28:28))</f>
        <v>0</v>
      </c>
      <c r="BA29" s="69">
        <f>(SUMIF('TALLY KG DUMP'!$2:$2,"Qty",'TALLY KG DUMP'!28:28)/1000)-(SUMIF('TALLY KG DUMP'!$1:$1,"GL",'TALLY KG DUMP'!28:28)/1000)</f>
        <v>0</v>
      </c>
      <c r="BB29" s="21" t="b">
        <f t="shared" ca="1" si="2"/>
        <v>1</v>
      </c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</row>
    <row r="30" spans="2:75" x14ac:dyDescent="0.25">
      <c r="B30" s="21" t="str">
        <f ca="1"/>
        <v>27</v>
      </c>
      <c r="C30" s="21" t="str">
        <f ca="1"/>
        <v>SUN04946</v>
      </c>
      <c r="D30" s="21" t="str">
        <f ca="1"/>
        <v>ED P V P REFINERIES PVT LTD</v>
      </c>
      <c r="E30" s="21">
        <f ca="1">IF($D30="","",(SUMIF('TALLY KG DUMP'!$2:$2,"Qty",'TALLY KG DUMP'!29:29)/1000)-(SUMIF('TALLY KG DUMP'!$1:$1,"GL",'TALLY KG DUMP'!29:29)/1000))</f>
        <v>0</v>
      </c>
      <c r="F30" s="21">
        <f ca="1">IF($D30="","",(SUMIF('TALLY KG DUMP'!$1:$1,'ACH CALC'!F$2,'TALLY KG DUMP'!29:29)/1000))</f>
        <v>0</v>
      </c>
      <c r="G30" s="21">
        <f ca="1">IF($D30="","",SUMIF('TALLY BOX DUMP'!$1:$1,'ACH CALC'!G$2,'TALLY BOX DUMP'!29:29)+Y30)</f>
        <v>0</v>
      </c>
      <c r="H30" s="21">
        <f t="shared" ca="1" si="0"/>
        <v>0</v>
      </c>
      <c r="I30" s="21">
        <f ca="1">IF($D30="","",SUMIF('TALLY BOX DUMP'!$1:$1,'ACH CALC'!I$2,'TALLY BOX DUMP'!29:29)+AA30)</f>
        <v>0</v>
      </c>
      <c r="J30" s="21">
        <f ca="1">IF($D30="","",SUMIF('TALLY BOX DUMP'!$1:$1,'ACH CALC'!J$2,'TALLY BOX DUMP'!29:29)+AB30)</f>
        <v>0</v>
      </c>
      <c r="K30" s="21">
        <f ca="1">IF($D30="","",SUMIF('TALLY BOX DUMP'!$1:$1,'ACH CALC'!K$2,'TALLY BOX DUMP'!29:29)+AC30)</f>
        <v>0</v>
      </c>
      <c r="L30" s="21">
        <f ca="1">IF($D30="","",SUMIF('TALLY BOX DUMP'!$1:$1,'ACH CALC'!L$2,'TALLY BOX DUMP'!29:29))</f>
        <v>0</v>
      </c>
      <c r="M30" s="21">
        <f ca="1">IF($D30="","",SUMIF('TALLY BOX DUMP'!$1:$1,'ACH CALC'!M$2,'TALLY BOX DUMP'!29:29)+AD30)</f>
        <v>0</v>
      </c>
      <c r="N30" s="21">
        <f ca="1">IF($D30="","",SUMIF('TALLY BOX DUMP'!$1:$1,'ACH CALC'!N$2,'TALLY BOX DUMP'!29:29))</f>
        <v>0</v>
      </c>
      <c r="O30" s="21">
        <f ca="1">IF($D30="","",SUMIF('TALLY BOX DUMP'!$1:$1,'ACH CALC'!O$2,'TALLY BOX DUMP'!29:29))</f>
        <v>0</v>
      </c>
      <c r="P30" s="21">
        <f ca="1">IF($D30="","",SUMIF('TALLY BOX DUMP'!$1:$1,'ACH CALC'!P$2,'TALLY BOX DUMP'!29:29))</f>
        <v>0</v>
      </c>
      <c r="Q30" s="21">
        <f t="shared" ca="1" si="1"/>
        <v>0</v>
      </c>
      <c r="R30" s="21">
        <f ca="1">IF($D30="","",SUMIF('TALLY BOX DUMP'!$1:$1,'ACH CALC'!R$2,'TALLY BOX DUMP'!29:29))</f>
        <v>0</v>
      </c>
      <c r="S30" s="21">
        <f ca="1">IF($D30="","",SUMIF('TALLY BOX DUMP'!$1:$1,'ACH CALC'!S$2,'TALLY BOX DUMP'!29:29))</f>
        <v>0</v>
      </c>
      <c r="T30" s="21">
        <f ca="1">IF($D30="","",SUMIF('TALLY BOX DUMP'!$1:$1,'ACH CALC'!T$2,'TALLY BOX DUMP'!29:29))</f>
        <v>0</v>
      </c>
      <c r="U30" s="21">
        <f ca="1">IF($D30="","",SUMIF('TALLY BOX DUMP'!$1:$1,'ACH CALC'!U$2,'TALLY BOX DUMP'!29:29))</f>
        <v>0</v>
      </c>
      <c r="V30" s="21">
        <f ca="1">IF($D30="","",SUMIF('TALLY BOX DUMP'!$1:$1,'ACH CALC'!V$2,'TALLY BOX DUMP'!29:29))</f>
        <v>0</v>
      </c>
      <c r="W30" s="21">
        <f ca="1">IF($D30="","",SUMIF('TALLY BOX DUMP'!$1:$1,'ACH CALC'!W$2,'TALLY BOX DUMP'!29:29))</f>
        <v>0</v>
      </c>
      <c r="X30" s="21">
        <f ca="1">IF($D30="","",SUMIF('TALLY BOX DUMP'!$1:$1,'ACH CALC'!X$2,'TALLY BOX DUMP'!29:29))</f>
        <v>0</v>
      </c>
      <c r="Y30" s="21">
        <f ca="1">IF($D30="","",SUMIF('TALLY BOX DUMP'!$1:$1,'ACH CALC'!Y$2,'TALLY BOX DUMP'!29:29))</f>
        <v>0</v>
      </c>
      <c r="Z30" s="21">
        <f ca="1">IF($D30="","",SUMIF('TALLY BOX DUMP'!$1:$1,'ACH CALC'!Z$2,'TALLY BOX DUMP'!29:29)+AE30)</f>
        <v>0</v>
      </c>
      <c r="AA30" s="21">
        <f ca="1">IF($D30="","",SUMIF('TALLY BOX DUMP'!$1:$1,'ACH CALC'!AA$2,'TALLY BOX DUMP'!29:29))</f>
        <v>0</v>
      </c>
      <c r="AB30" s="21">
        <f ca="1">IF($D30="","",SUMIF('TALLY BOX DUMP'!$1:$1,'ACH CALC'!AB$2,'TALLY BOX DUMP'!29:29))</f>
        <v>0</v>
      </c>
      <c r="AC30" s="21">
        <f ca="1">IF($D30="","",SUMIF('TALLY BOX DUMP'!$1:$1,'ACH CALC'!AC$2,'TALLY BOX DUMP'!29:29))</f>
        <v>0</v>
      </c>
      <c r="AD30" s="21">
        <f ca="1">IF($D30="","",SUMIF('TALLY BOX DUMP'!$1:$1,'ACH CALC'!AD$2,'TALLY BOX DUMP'!29:29))</f>
        <v>0</v>
      </c>
      <c r="AE30" s="21">
        <f ca="1">IF($D30="","",SUMIF('TALLY BOX DUMP'!$1:$1,'ACH CALC'!AE$2,'TALLY BOX DUMP'!29:29))</f>
        <v>0</v>
      </c>
      <c r="AF30" s="21">
        <f ca="1">IF($D30="","",SUMIF('TALLY BOX DUMP'!$1:$1,'ACH CALC'!AF$2,'TALLY BOX DUMP'!29:29))</f>
        <v>0</v>
      </c>
      <c r="AG30" s="21">
        <f ca="1">IF($D30="","",SUMIF('TALLY BOX DUMP'!$1:$1,'ACH CALC'!AG$2,'TALLY BOX DUMP'!29:29))</f>
        <v>0</v>
      </c>
      <c r="AH30" s="21">
        <f ca="1">IF($D30="","",SUMIF('TALLY BOX DUMP'!$1:$1,'ACH CALC'!AH$2,'TALLY BOX DUMP'!29:29))</f>
        <v>0</v>
      </c>
      <c r="AI30" s="21">
        <f ca="1">IF($D30="","",SUMIF('TALLY BOX DUMP'!$1:$1,'ACH CALC'!AI$2,'TALLY BOX DUMP'!29:29))</f>
        <v>0</v>
      </c>
      <c r="AJ30" s="21">
        <f ca="1">IF($D30="","",SUMIF('TALLY BOX DUMP'!$1:$1,'ACH CALC'!AJ$2,'TALLY BOX DUMP'!29:29))</f>
        <v>0</v>
      </c>
      <c r="AK30" s="21">
        <f ca="1">IF($D30="","",SUMIF('TALLY BOX DUMP'!$1:$1,'ACH CALC'!AK$2,'TALLY BOX DUMP'!29:29))</f>
        <v>0</v>
      </c>
      <c r="AL30" s="21">
        <f ca="1">IF($D30="","",ROUND(SUMIF('TALLY KG DUMP'!$1:$1,'ACH CALC'!AL$2,'TALLY KG DUMP'!29:29)/30,1))</f>
        <v>0</v>
      </c>
      <c r="AM30" s="21">
        <f ca="1">IF($D30="","",SUMIF('TALLY BOX DUMP'!$1:$1,'ACH CALC'!AM$2,'TALLY BOX DUMP'!29:29))</f>
        <v>0</v>
      </c>
      <c r="AN30" s="21">
        <f ca="1">IF($D30="","",SUMIF('TALLY BOX DUMP'!$1:$1,'ACH CALC'!AN$2,'TALLY BOX DUMP'!29:29))</f>
        <v>0</v>
      </c>
      <c r="AO30" s="21">
        <f ca="1">IF($D30="","",SUMIF('TALLY BOX DUMP'!$1:$1,'ACH CALC'!AO$2,'TALLY BOX DUMP'!29:29))</f>
        <v>0</v>
      </c>
      <c r="AP30" s="21">
        <f ca="1">IF($D30="","",SUMIF('TALLY BOX DUMP'!$1:$1,'ACH CALC'!AP$2,'TALLY BOX DUMP'!29:29))</f>
        <v>0</v>
      </c>
      <c r="AQ30" s="21">
        <f ca="1">IF($D30="","",ROUND(SUMIF('TALLY KG DUMP'!$1:$1,'ACH CALC'!AQ$2,'TALLY KG DUMP'!29:29)/30,1))</f>
        <v>0</v>
      </c>
      <c r="AR30" s="21">
        <f ca="1">IF($D30="","",SUMIF('TALLY BOX DUMP'!$1:$1,'ACH CALC'!AR$2,'TALLY BOX DUMP'!29:29))</f>
        <v>0</v>
      </c>
      <c r="AS30" s="21">
        <f ca="1">IF($D30="","",SUMIF('TALLY BOX DUMP'!$1:$1,'ACH CALC'!AS$2,'TALLY BOX DUMP'!29:29))</f>
        <v>0</v>
      </c>
      <c r="AT30" s="21">
        <f ca="1">IF($D30="","",SUMIF('TALLY BOX DUMP'!$1:$1,'ACH CALC'!AT$2,'TALLY BOX DUMP'!29:29))</f>
        <v>0</v>
      </c>
      <c r="AU30" s="21">
        <f ca="1">IF($D30="","",SUMIF('TALLY BOX DUMP'!$1:$1,'ACH CALC'!AU$2,'TALLY BOX DUMP'!29:29))</f>
        <v>0</v>
      </c>
      <c r="AV30" s="21">
        <f ca="1">IF($D30="","",SUMIF('TALLY BOX DUMP'!$1:$1,'ACH CALC'!AV$2,'TALLY BOX DUMP'!29:29))</f>
        <v>0</v>
      </c>
      <c r="AW30" s="21">
        <f ca="1">IF($D30="","",SUMIF('TALLY BOX DUMP'!$1:$1,'ACH CALC'!AW$2,'TALLY BOX DUMP'!29:29))</f>
        <v>0</v>
      </c>
      <c r="AX30" s="21">
        <f ca="1">IF($D30="","",SUMIF('TALLY BOX DUMP'!$1:$1,'ACH CALC'!AX$2,'TALLY BOX DUMP'!29:29))</f>
        <v>0</v>
      </c>
      <c r="AY30" s="21">
        <f ca="1">IF($D30="","",SUMIF('TALLY BOX DUMP'!$1:$1,'ACH CALC'!AY$2,'TALLY BOX DUMP'!29:29))</f>
        <v>0</v>
      </c>
      <c r="AZ30" s="21">
        <f ca="1">IF($D30="","",SUMIF('TALLY BOX DUMP'!$1:$1,'ACH CALC'!AZ$2,'TALLY BOX DUMP'!29:29))</f>
        <v>0</v>
      </c>
      <c r="BA30" s="69">
        <f>(SUMIF('TALLY KG DUMP'!$2:$2,"Qty",'TALLY KG DUMP'!29:29)/1000)-(SUMIF('TALLY KG DUMP'!$1:$1,"GL",'TALLY KG DUMP'!29:29)/1000)</f>
        <v>0</v>
      </c>
      <c r="BB30" s="21" t="b">
        <f t="shared" ca="1" si="2"/>
        <v>1</v>
      </c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</row>
    <row r="31" spans="2:75" x14ac:dyDescent="0.25">
      <c r="B31" s="21" t="str">
        <f ca="1"/>
        <v>28</v>
      </c>
      <c r="C31" s="21" t="str">
        <f ca="1"/>
        <v>SUN06221</v>
      </c>
      <c r="D31" s="21" t="str">
        <f ca="1"/>
        <v>ED - SRI SESHADRI AAGRO FOODS (SALES) RAMESH</v>
      </c>
      <c r="E31" s="21">
        <f ca="1">IF($D31="","",(SUMIF('TALLY KG DUMP'!$2:$2,"Qty",'TALLY KG DUMP'!30:30)/1000)-(SUMIF('TALLY KG DUMP'!$1:$1,"GL",'TALLY KG DUMP'!30:30)/1000))</f>
        <v>0</v>
      </c>
      <c r="F31" s="21">
        <f ca="1">IF($D31="","",(SUMIF('TALLY KG DUMP'!$1:$1,'ACH CALC'!F$2,'TALLY KG DUMP'!30:30)/1000))</f>
        <v>0</v>
      </c>
      <c r="G31" s="21">
        <f ca="1">IF($D31="","",SUMIF('TALLY BOX DUMP'!$1:$1,'ACH CALC'!G$2,'TALLY BOX DUMP'!30:30)+Y31)</f>
        <v>0</v>
      </c>
      <c r="H31" s="21">
        <f t="shared" ca="1" si="0"/>
        <v>0</v>
      </c>
      <c r="I31" s="21">
        <f ca="1">IF($D31="","",SUMIF('TALLY BOX DUMP'!$1:$1,'ACH CALC'!I$2,'TALLY BOX DUMP'!30:30)+AA31)</f>
        <v>0</v>
      </c>
      <c r="J31" s="21">
        <f ca="1">IF($D31="","",SUMIF('TALLY BOX DUMP'!$1:$1,'ACH CALC'!J$2,'TALLY BOX DUMP'!30:30)+AB31)</f>
        <v>0</v>
      </c>
      <c r="K31" s="21">
        <f ca="1">IF($D31="","",SUMIF('TALLY BOX DUMP'!$1:$1,'ACH CALC'!K$2,'TALLY BOX DUMP'!30:30)+AC31)</f>
        <v>0</v>
      </c>
      <c r="L31" s="21">
        <f ca="1">IF($D31="","",SUMIF('TALLY BOX DUMP'!$1:$1,'ACH CALC'!L$2,'TALLY BOX DUMP'!30:30))</f>
        <v>0</v>
      </c>
      <c r="M31" s="21">
        <f ca="1">IF($D31="","",SUMIF('TALLY BOX DUMP'!$1:$1,'ACH CALC'!M$2,'TALLY BOX DUMP'!30:30)+AD31)</f>
        <v>0</v>
      </c>
      <c r="N31" s="21">
        <f ca="1">IF($D31="","",SUMIF('TALLY BOX DUMP'!$1:$1,'ACH CALC'!N$2,'TALLY BOX DUMP'!30:30))</f>
        <v>0</v>
      </c>
      <c r="O31" s="21">
        <f ca="1">IF($D31="","",SUMIF('TALLY BOX DUMP'!$1:$1,'ACH CALC'!O$2,'TALLY BOX DUMP'!30:30))</f>
        <v>0</v>
      </c>
      <c r="P31" s="21">
        <f ca="1">IF($D31="","",SUMIF('TALLY BOX DUMP'!$1:$1,'ACH CALC'!P$2,'TALLY BOX DUMP'!30:30))</f>
        <v>0</v>
      </c>
      <c r="Q31" s="21">
        <f t="shared" ca="1" si="1"/>
        <v>0</v>
      </c>
      <c r="R31" s="21">
        <f ca="1">IF($D31="","",SUMIF('TALLY BOX DUMP'!$1:$1,'ACH CALC'!R$2,'TALLY BOX DUMP'!30:30))</f>
        <v>0</v>
      </c>
      <c r="S31" s="21">
        <f ca="1">IF($D31="","",SUMIF('TALLY BOX DUMP'!$1:$1,'ACH CALC'!S$2,'TALLY BOX DUMP'!30:30))</f>
        <v>0</v>
      </c>
      <c r="T31" s="21">
        <f ca="1">IF($D31="","",SUMIF('TALLY BOX DUMP'!$1:$1,'ACH CALC'!T$2,'TALLY BOX DUMP'!30:30))</f>
        <v>0</v>
      </c>
      <c r="U31" s="21">
        <f ca="1">IF($D31="","",SUMIF('TALLY BOX DUMP'!$1:$1,'ACH CALC'!U$2,'TALLY BOX DUMP'!30:30))</f>
        <v>0</v>
      </c>
      <c r="V31" s="21">
        <f ca="1">IF($D31="","",SUMIF('TALLY BOX DUMP'!$1:$1,'ACH CALC'!V$2,'TALLY BOX DUMP'!30:30))</f>
        <v>0</v>
      </c>
      <c r="W31" s="21">
        <f ca="1">IF($D31="","",SUMIF('TALLY BOX DUMP'!$1:$1,'ACH CALC'!W$2,'TALLY BOX DUMP'!30:30))</f>
        <v>0</v>
      </c>
      <c r="X31" s="21">
        <f ca="1">IF($D31="","",SUMIF('TALLY BOX DUMP'!$1:$1,'ACH CALC'!X$2,'TALLY BOX DUMP'!30:30))</f>
        <v>0</v>
      </c>
      <c r="Y31" s="21">
        <f ca="1">IF($D31="","",SUMIF('TALLY BOX DUMP'!$1:$1,'ACH CALC'!Y$2,'TALLY BOX DUMP'!30:30))</f>
        <v>0</v>
      </c>
      <c r="Z31" s="21">
        <f ca="1">IF($D31="","",SUMIF('TALLY BOX DUMP'!$1:$1,'ACH CALC'!Z$2,'TALLY BOX DUMP'!30:30)+AE31)</f>
        <v>0</v>
      </c>
      <c r="AA31" s="21">
        <f ca="1">IF($D31="","",SUMIF('TALLY BOX DUMP'!$1:$1,'ACH CALC'!AA$2,'TALLY BOX DUMP'!30:30))</f>
        <v>0</v>
      </c>
      <c r="AB31" s="21">
        <f ca="1">IF($D31="","",SUMIF('TALLY BOX DUMP'!$1:$1,'ACH CALC'!AB$2,'TALLY BOX DUMP'!30:30))</f>
        <v>0</v>
      </c>
      <c r="AC31" s="21">
        <f ca="1">IF($D31="","",SUMIF('TALLY BOX DUMP'!$1:$1,'ACH CALC'!AC$2,'TALLY BOX DUMP'!30:30))</f>
        <v>0</v>
      </c>
      <c r="AD31" s="21">
        <f ca="1">IF($D31="","",SUMIF('TALLY BOX DUMP'!$1:$1,'ACH CALC'!AD$2,'TALLY BOX DUMP'!30:30))</f>
        <v>0</v>
      </c>
      <c r="AE31" s="21">
        <f ca="1">IF($D31="","",SUMIF('TALLY BOX DUMP'!$1:$1,'ACH CALC'!AE$2,'TALLY BOX DUMP'!30:30))</f>
        <v>0</v>
      </c>
      <c r="AF31" s="21">
        <f ca="1">IF($D31="","",SUMIF('TALLY BOX DUMP'!$1:$1,'ACH CALC'!AF$2,'TALLY BOX DUMP'!30:30))</f>
        <v>0</v>
      </c>
      <c r="AG31" s="21">
        <f ca="1">IF($D31="","",SUMIF('TALLY BOX DUMP'!$1:$1,'ACH CALC'!AG$2,'TALLY BOX DUMP'!30:30))</f>
        <v>0</v>
      </c>
      <c r="AH31" s="21">
        <f ca="1">IF($D31="","",SUMIF('TALLY BOX DUMP'!$1:$1,'ACH CALC'!AH$2,'TALLY BOX DUMP'!30:30))</f>
        <v>0</v>
      </c>
      <c r="AI31" s="21">
        <f ca="1">IF($D31="","",SUMIF('TALLY BOX DUMP'!$1:$1,'ACH CALC'!AI$2,'TALLY BOX DUMP'!30:30))</f>
        <v>0</v>
      </c>
      <c r="AJ31" s="21">
        <f ca="1">IF($D31="","",SUMIF('TALLY BOX DUMP'!$1:$1,'ACH CALC'!AJ$2,'TALLY BOX DUMP'!30:30))</f>
        <v>0</v>
      </c>
      <c r="AK31" s="21">
        <f ca="1">IF($D31="","",SUMIF('TALLY BOX DUMP'!$1:$1,'ACH CALC'!AK$2,'TALLY BOX DUMP'!30:30))</f>
        <v>0</v>
      </c>
      <c r="AL31" s="21">
        <f ca="1">IF($D31="","",ROUND(SUMIF('TALLY KG DUMP'!$1:$1,'ACH CALC'!AL$2,'TALLY KG DUMP'!30:30)/30,1))</f>
        <v>0</v>
      </c>
      <c r="AM31" s="21">
        <f ca="1">IF($D31="","",SUMIF('TALLY BOX DUMP'!$1:$1,'ACH CALC'!AM$2,'TALLY BOX DUMP'!30:30))</f>
        <v>0</v>
      </c>
      <c r="AN31" s="21">
        <f ca="1">IF($D31="","",SUMIF('TALLY BOX DUMP'!$1:$1,'ACH CALC'!AN$2,'TALLY BOX DUMP'!30:30))</f>
        <v>0</v>
      </c>
      <c r="AO31" s="21">
        <f ca="1">IF($D31="","",SUMIF('TALLY BOX DUMP'!$1:$1,'ACH CALC'!AO$2,'TALLY BOX DUMP'!30:30))</f>
        <v>0</v>
      </c>
      <c r="AP31" s="21">
        <f ca="1">IF($D31="","",SUMIF('TALLY BOX DUMP'!$1:$1,'ACH CALC'!AP$2,'TALLY BOX DUMP'!30:30))</f>
        <v>0</v>
      </c>
      <c r="AQ31" s="21">
        <f ca="1">IF($D31="","",ROUND(SUMIF('TALLY KG DUMP'!$1:$1,'ACH CALC'!AQ$2,'TALLY KG DUMP'!30:30)/30,1))</f>
        <v>0</v>
      </c>
      <c r="AR31" s="21">
        <f ca="1">IF($D31="","",SUMIF('TALLY BOX DUMP'!$1:$1,'ACH CALC'!AR$2,'TALLY BOX DUMP'!30:30))</f>
        <v>0</v>
      </c>
      <c r="AS31" s="21">
        <f ca="1">IF($D31="","",SUMIF('TALLY BOX DUMP'!$1:$1,'ACH CALC'!AS$2,'TALLY BOX DUMP'!30:30))</f>
        <v>0</v>
      </c>
      <c r="AT31" s="21">
        <f ca="1">IF($D31="","",SUMIF('TALLY BOX DUMP'!$1:$1,'ACH CALC'!AT$2,'TALLY BOX DUMP'!30:30))</f>
        <v>0</v>
      </c>
      <c r="AU31" s="21">
        <f ca="1">IF($D31="","",SUMIF('TALLY BOX DUMP'!$1:$1,'ACH CALC'!AU$2,'TALLY BOX DUMP'!30:30))</f>
        <v>0</v>
      </c>
      <c r="AV31" s="21">
        <f ca="1">IF($D31="","",SUMIF('TALLY BOX DUMP'!$1:$1,'ACH CALC'!AV$2,'TALLY BOX DUMP'!30:30))</f>
        <v>0</v>
      </c>
      <c r="AW31" s="21">
        <f ca="1">IF($D31="","",SUMIF('TALLY BOX DUMP'!$1:$1,'ACH CALC'!AW$2,'TALLY BOX DUMP'!30:30))</f>
        <v>0</v>
      </c>
      <c r="AX31" s="21">
        <f ca="1">IF($D31="","",SUMIF('TALLY BOX DUMP'!$1:$1,'ACH CALC'!AX$2,'TALLY BOX DUMP'!30:30))</f>
        <v>0</v>
      </c>
      <c r="AY31" s="21">
        <f ca="1">IF($D31="","",SUMIF('TALLY BOX DUMP'!$1:$1,'ACH CALC'!AY$2,'TALLY BOX DUMP'!30:30))</f>
        <v>0</v>
      </c>
      <c r="AZ31" s="21">
        <f ca="1">IF($D31="","",SUMIF('TALLY BOX DUMP'!$1:$1,'ACH CALC'!AZ$2,'TALLY BOX DUMP'!30:30))</f>
        <v>0</v>
      </c>
      <c r="BA31" s="69">
        <f>(SUMIF('TALLY KG DUMP'!$2:$2,"Qty",'TALLY KG DUMP'!30:30)/1000)-(SUMIF('TALLY KG DUMP'!$1:$1,"GL",'TALLY KG DUMP'!30:30)/1000)</f>
        <v>0</v>
      </c>
      <c r="BB31" s="21" t="b">
        <f t="shared" ca="1" si="2"/>
        <v>1</v>
      </c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</row>
    <row r="32" spans="2:75" x14ac:dyDescent="0.25">
      <c r="B32" s="21" t="str">
        <f ca="1"/>
        <v>29</v>
      </c>
      <c r="C32" s="21" t="str">
        <f ca="1"/>
        <v>SUN01051</v>
      </c>
      <c r="D32" s="21" t="str">
        <f ca="1"/>
        <v>SLM BEE YES CEE AGENCY</v>
      </c>
      <c r="E32" s="21">
        <f ca="1">IF($D32="","",(SUMIF('TALLY KG DUMP'!$2:$2,"Qty",'TALLY KG DUMP'!31:31)/1000)-(SUMIF('TALLY KG DUMP'!$1:$1,"GL",'TALLY KG DUMP'!31:31)/1000))</f>
        <v>18.73</v>
      </c>
      <c r="F32" s="21">
        <f ca="1">IF($D32="","",(SUMIF('TALLY KG DUMP'!$1:$1,'ACH CALC'!F$2,'TALLY KG DUMP'!31:31)/1000))</f>
        <v>0</v>
      </c>
      <c r="G32" s="21">
        <f ca="1">IF($D32="","",SUMIF('TALLY BOX DUMP'!$1:$1,'ACH CALC'!G$2,'TALLY BOX DUMP'!31:31)+Y32)</f>
        <v>0</v>
      </c>
      <c r="H32" s="21">
        <f t="shared" ca="1" si="0"/>
        <v>0</v>
      </c>
      <c r="I32" s="21">
        <f ca="1">IF($D32="","",SUMIF('TALLY BOX DUMP'!$1:$1,'ACH CALC'!I$2,'TALLY BOX DUMP'!31:31)+AA32)</f>
        <v>0</v>
      </c>
      <c r="J32" s="21">
        <f ca="1">IF($D32="","",SUMIF('TALLY BOX DUMP'!$1:$1,'ACH CALC'!J$2,'TALLY BOX DUMP'!31:31)+AB32)</f>
        <v>0</v>
      </c>
      <c r="K32" s="21">
        <f ca="1">IF($D32="","",SUMIF('TALLY BOX DUMP'!$1:$1,'ACH CALC'!K$2,'TALLY BOX DUMP'!31:31)+AC32)</f>
        <v>0</v>
      </c>
      <c r="L32" s="21">
        <f ca="1">IF($D32="","",SUMIF('TALLY BOX DUMP'!$1:$1,'ACH CALC'!L$2,'TALLY BOX DUMP'!31:31))</f>
        <v>0</v>
      </c>
      <c r="M32" s="21">
        <f ca="1">IF($D32="","",SUMIF('TALLY BOX DUMP'!$1:$1,'ACH CALC'!M$2,'TALLY BOX DUMP'!31:31)+AD32)</f>
        <v>0</v>
      </c>
      <c r="N32" s="21">
        <f ca="1">IF($D32="","",SUMIF('TALLY BOX DUMP'!$1:$1,'ACH CALC'!N$2,'TALLY BOX DUMP'!31:31))</f>
        <v>0</v>
      </c>
      <c r="O32" s="21">
        <f ca="1">IF($D32="","",SUMIF('TALLY BOX DUMP'!$1:$1,'ACH CALC'!O$2,'TALLY BOX DUMP'!31:31))</f>
        <v>0</v>
      </c>
      <c r="P32" s="21">
        <f ca="1">IF($D32="","",SUMIF('TALLY BOX DUMP'!$1:$1,'ACH CALC'!P$2,'TALLY BOX DUMP'!31:31))</f>
        <v>0</v>
      </c>
      <c r="Q32" s="21">
        <f t="shared" ca="1" si="1"/>
        <v>0</v>
      </c>
      <c r="R32" s="21">
        <f ca="1">IF($D32="","",SUMIF('TALLY BOX DUMP'!$1:$1,'ACH CALC'!R$2,'TALLY BOX DUMP'!31:31))</f>
        <v>0</v>
      </c>
      <c r="S32" s="21">
        <f ca="1">IF($D32="","",SUMIF('TALLY BOX DUMP'!$1:$1,'ACH CALC'!S$2,'TALLY BOX DUMP'!31:31))</f>
        <v>0</v>
      </c>
      <c r="T32" s="21">
        <f ca="1">IF($D32="","",SUMIF('TALLY BOX DUMP'!$1:$1,'ACH CALC'!T$2,'TALLY BOX DUMP'!31:31))</f>
        <v>0</v>
      </c>
      <c r="U32" s="21">
        <f ca="1">IF($D32="","",SUMIF('TALLY BOX DUMP'!$1:$1,'ACH CALC'!U$2,'TALLY BOX DUMP'!31:31))</f>
        <v>0</v>
      </c>
      <c r="V32" s="21">
        <f ca="1">IF($D32="","",SUMIF('TALLY BOX DUMP'!$1:$1,'ACH CALC'!V$2,'TALLY BOX DUMP'!31:31))</f>
        <v>0</v>
      </c>
      <c r="W32" s="21">
        <f ca="1">IF($D32="","",SUMIF('TALLY BOX DUMP'!$1:$1,'ACH CALC'!W$2,'TALLY BOX DUMP'!31:31))</f>
        <v>0</v>
      </c>
      <c r="X32" s="21">
        <f ca="1">IF($D32="","",SUMIF('TALLY BOX DUMP'!$1:$1,'ACH CALC'!X$2,'TALLY BOX DUMP'!31:31))</f>
        <v>0</v>
      </c>
      <c r="Y32" s="21">
        <f ca="1">IF($D32="","",SUMIF('TALLY BOX DUMP'!$1:$1,'ACH CALC'!Y$2,'TALLY BOX DUMP'!31:31))</f>
        <v>0</v>
      </c>
      <c r="Z32" s="21">
        <f ca="1">IF($D32="","",SUMIF('TALLY BOX DUMP'!$1:$1,'ACH CALC'!Z$2,'TALLY BOX DUMP'!31:31)+AE32)</f>
        <v>0</v>
      </c>
      <c r="AA32" s="21">
        <f ca="1">IF($D32="","",SUMIF('TALLY BOX DUMP'!$1:$1,'ACH CALC'!AA$2,'TALLY BOX DUMP'!31:31))</f>
        <v>0</v>
      </c>
      <c r="AB32" s="21">
        <f ca="1">IF($D32="","",SUMIF('TALLY BOX DUMP'!$1:$1,'ACH CALC'!AB$2,'TALLY BOX DUMP'!31:31))</f>
        <v>0</v>
      </c>
      <c r="AC32" s="21">
        <f ca="1">IF($D32="","",SUMIF('TALLY BOX DUMP'!$1:$1,'ACH CALC'!AC$2,'TALLY BOX DUMP'!31:31))</f>
        <v>0</v>
      </c>
      <c r="AD32" s="21">
        <f ca="1">IF($D32="","",SUMIF('TALLY BOX DUMP'!$1:$1,'ACH CALC'!AD$2,'TALLY BOX DUMP'!31:31))</f>
        <v>0</v>
      </c>
      <c r="AE32" s="21">
        <f ca="1">IF($D32="","",SUMIF('TALLY BOX DUMP'!$1:$1,'ACH CALC'!AE$2,'TALLY BOX DUMP'!31:31))</f>
        <v>0</v>
      </c>
      <c r="AF32" s="21">
        <f ca="1">IF($D32="","",SUMIF('TALLY BOX DUMP'!$1:$1,'ACH CALC'!AF$2,'TALLY BOX DUMP'!31:31))</f>
        <v>0</v>
      </c>
      <c r="AG32" s="21">
        <f ca="1">IF($D32="","",SUMIF('TALLY BOX DUMP'!$1:$1,'ACH CALC'!AG$2,'TALLY BOX DUMP'!31:31))</f>
        <v>0</v>
      </c>
      <c r="AH32" s="21">
        <f ca="1">IF($D32="","",SUMIF('TALLY BOX DUMP'!$1:$1,'ACH CALC'!AH$2,'TALLY BOX DUMP'!31:31))</f>
        <v>0</v>
      </c>
      <c r="AI32" s="21">
        <f ca="1">IF($D32="","",SUMIF('TALLY BOX DUMP'!$1:$1,'ACH CALC'!AI$2,'TALLY BOX DUMP'!31:31))</f>
        <v>0</v>
      </c>
      <c r="AJ32" s="21">
        <f ca="1">IF($D32="","",SUMIF('TALLY BOX DUMP'!$1:$1,'ACH CALC'!AJ$2,'TALLY BOX DUMP'!31:31))</f>
        <v>0</v>
      </c>
      <c r="AK32" s="21">
        <f ca="1">IF($D32="","",SUMIF('TALLY BOX DUMP'!$1:$1,'ACH CALC'!AK$2,'TALLY BOX DUMP'!31:31))</f>
        <v>0</v>
      </c>
      <c r="AL32" s="21">
        <f ca="1">IF($D32="","",ROUND(SUMIF('TALLY KG DUMP'!$1:$1,'ACH CALC'!AL$2,'TALLY KG DUMP'!31:31)/30,1))</f>
        <v>0</v>
      </c>
      <c r="AM32" s="21">
        <f ca="1">IF($D32="","",SUMIF('TALLY BOX DUMP'!$1:$1,'ACH CALC'!AM$2,'TALLY BOX DUMP'!31:31))</f>
        <v>0</v>
      </c>
      <c r="AN32" s="21">
        <f ca="1">IF($D32="","",SUMIF('TALLY BOX DUMP'!$1:$1,'ACH CALC'!AN$2,'TALLY BOX DUMP'!31:31))</f>
        <v>0</v>
      </c>
      <c r="AO32" s="21">
        <f ca="1">IF($D32="","",SUMIF('TALLY BOX DUMP'!$1:$1,'ACH CALC'!AO$2,'TALLY BOX DUMP'!31:31))</f>
        <v>0</v>
      </c>
      <c r="AP32" s="21">
        <f ca="1">IF($D32="","",SUMIF('TALLY BOX DUMP'!$1:$1,'ACH CALC'!AP$2,'TALLY BOX DUMP'!31:31))</f>
        <v>0</v>
      </c>
      <c r="AQ32" s="21">
        <f ca="1">IF($D32="","",ROUND(SUMIF('TALLY KG DUMP'!$1:$1,'ACH CALC'!AQ$2,'TALLY KG DUMP'!31:31)/30,1))</f>
        <v>0</v>
      </c>
      <c r="AR32" s="21">
        <f ca="1">IF($D32="","",SUMIF('TALLY BOX DUMP'!$1:$1,'ACH CALC'!AR$2,'TALLY BOX DUMP'!31:31))</f>
        <v>0</v>
      </c>
      <c r="AS32" s="21">
        <f ca="1">IF($D32="","",SUMIF('TALLY BOX DUMP'!$1:$1,'ACH CALC'!AS$2,'TALLY BOX DUMP'!31:31))</f>
        <v>0</v>
      </c>
      <c r="AT32" s="21">
        <f ca="1">IF($D32="","",SUMIF('TALLY BOX DUMP'!$1:$1,'ACH CALC'!AT$2,'TALLY BOX DUMP'!31:31))</f>
        <v>0</v>
      </c>
      <c r="AU32" s="21">
        <f ca="1">IF($D32="","",SUMIF('TALLY BOX DUMP'!$1:$1,'ACH CALC'!AU$2,'TALLY BOX DUMP'!31:31))</f>
        <v>0</v>
      </c>
      <c r="AV32" s="21">
        <f ca="1">IF($D32="","",SUMIF('TALLY BOX DUMP'!$1:$1,'ACH CALC'!AV$2,'TALLY BOX DUMP'!31:31))</f>
        <v>0</v>
      </c>
      <c r="AW32" s="21">
        <f ca="1">IF($D32="","",SUMIF('TALLY BOX DUMP'!$1:$1,'ACH CALC'!AW$2,'TALLY BOX DUMP'!31:31))</f>
        <v>0</v>
      </c>
      <c r="AX32" s="21">
        <f ca="1">IF($D32="","",SUMIF('TALLY BOX DUMP'!$1:$1,'ACH CALC'!AX$2,'TALLY BOX DUMP'!31:31))</f>
        <v>0</v>
      </c>
      <c r="AY32" s="21">
        <f ca="1">IF($D32="","",SUMIF('TALLY BOX DUMP'!$1:$1,'ACH CALC'!AY$2,'TALLY BOX DUMP'!31:31))</f>
        <v>0</v>
      </c>
      <c r="AZ32" s="21">
        <f ca="1">IF($D32="","",SUMIF('TALLY BOX DUMP'!$1:$1,'ACH CALC'!AZ$2,'TALLY BOX DUMP'!31:31))</f>
        <v>0</v>
      </c>
      <c r="BA32" s="69">
        <f>(SUMIF('TALLY KG DUMP'!$2:$2,"Qty",'TALLY KG DUMP'!31:31)/1000)-(SUMIF('TALLY KG DUMP'!$1:$1,"GL",'TALLY KG DUMP'!31:31)/1000)</f>
        <v>18.73</v>
      </c>
      <c r="BB32" s="21" t="b">
        <f t="shared" ca="1" si="2"/>
        <v>1</v>
      </c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</row>
    <row r="33" spans="2:75" x14ac:dyDescent="0.25">
      <c r="B33" s="21" t="str">
        <f ca="1"/>
        <v>30</v>
      </c>
      <c r="C33" s="21" t="str">
        <f ca="1"/>
        <v>SUN03613</v>
      </c>
      <c r="D33" s="21" t="str">
        <f ca="1"/>
        <v>KUTHAMBAKKAM-SUPER MARKET (BIG BASKET)</v>
      </c>
      <c r="E33" s="21">
        <f ca="1">IF($D33="","",(SUMIF('TALLY KG DUMP'!$2:$2,"Qty",'TALLY KG DUMP'!32:32)/1000)-(SUMIF('TALLY KG DUMP'!$1:$1,"GL",'TALLY KG DUMP'!32:32)/1000))</f>
        <v>0</v>
      </c>
      <c r="F33" s="21">
        <f ca="1">IF($D33="","",(SUMIF('TALLY KG DUMP'!$1:$1,'ACH CALC'!F$2,'TALLY KG DUMP'!32:32)/1000))</f>
        <v>0</v>
      </c>
      <c r="G33" s="21">
        <f ca="1">IF($D33="","",SUMIF('TALLY BOX DUMP'!$1:$1,'ACH CALC'!G$2,'TALLY BOX DUMP'!32:32)+Y33)</f>
        <v>0</v>
      </c>
      <c r="H33" s="21">
        <f t="shared" ca="1" si="0"/>
        <v>0</v>
      </c>
      <c r="I33" s="21">
        <f ca="1">IF($D33="","",SUMIF('TALLY BOX DUMP'!$1:$1,'ACH CALC'!I$2,'TALLY BOX DUMP'!32:32)+AA33)</f>
        <v>0</v>
      </c>
      <c r="J33" s="21">
        <f ca="1">IF($D33="","",SUMIF('TALLY BOX DUMP'!$1:$1,'ACH CALC'!J$2,'TALLY BOX DUMP'!32:32)+AB33)</f>
        <v>0</v>
      </c>
      <c r="K33" s="21">
        <f ca="1">IF($D33="","",SUMIF('TALLY BOX DUMP'!$1:$1,'ACH CALC'!K$2,'TALLY BOX DUMP'!32:32)+AC33)</f>
        <v>0</v>
      </c>
      <c r="L33" s="21">
        <f ca="1">IF($D33="","",SUMIF('TALLY BOX DUMP'!$1:$1,'ACH CALC'!L$2,'TALLY BOX DUMP'!32:32))</f>
        <v>0</v>
      </c>
      <c r="M33" s="21">
        <f ca="1">IF($D33="","",SUMIF('TALLY BOX DUMP'!$1:$1,'ACH CALC'!M$2,'TALLY BOX DUMP'!32:32)+AD33)</f>
        <v>0</v>
      </c>
      <c r="N33" s="21">
        <f ca="1">IF($D33="","",SUMIF('TALLY BOX DUMP'!$1:$1,'ACH CALC'!N$2,'TALLY BOX DUMP'!32:32))</f>
        <v>0</v>
      </c>
      <c r="O33" s="21">
        <f ca="1">IF($D33="","",SUMIF('TALLY BOX DUMP'!$1:$1,'ACH CALC'!O$2,'TALLY BOX DUMP'!32:32))</f>
        <v>0</v>
      </c>
      <c r="P33" s="21">
        <f ca="1">IF($D33="","",SUMIF('TALLY BOX DUMP'!$1:$1,'ACH CALC'!P$2,'TALLY BOX DUMP'!32:32))</f>
        <v>0</v>
      </c>
      <c r="Q33" s="21">
        <f t="shared" ca="1" si="1"/>
        <v>0</v>
      </c>
      <c r="R33" s="21">
        <f ca="1">IF($D33="","",SUMIF('TALLY BOX DUMP'!$1:$1,'ACH CALC'!R$2,'TALLY BOX DUMP'!32:32))</f>
        <v>0</v>
      </c>
      <c r="S33" s="21">
        <f ca="1">IF($D33="","",SUMIF('TALLY BOX DUMP'!$1:$1,'ACH CALC'!S$2,'TALLY BOX DUMP'!32:32))</f>
        <v>0</v>
      </c>
      <c r="T33" s="21">
        <f ca="1">IF($D33="","",SUMIF('TALLY BOX DUMP'!$1:$1,'ACH CALC'!T$2,'TALLY BOX DUMP'!32:32))</f>
        <v>0</v>
      </c>
      <c r="U33" s="21">
        <f ca="1">IF($D33="","",SUMIF('TALLY BOX DUMP'!$1:$1,'ACH CALC'!U$2,'TALLY BOX DUMP'!32:32))</f>
        <v>0</v>
      </c>
      <c r="V33" s="21">
        <f ca="1">IF($D33="","",SUMIF('TALLY BOX DUMP'!$1:$1,'ACH CALC'!V$2,'TALLY BOX DUMP'!32:32))</f>
        <v>0</v>
      </c>
      <c r="W33" s="21">
        <f ca="1">IF($D33="","",SUMIF('TALLY BOX DUMP'!$1:$1,'ACH CALC'!W$2,'TALLY BOX DUMP'!32:32))</f>
        <v>0</v>
      </c>
      <c r="X33" s="21">
        <f ca="1">IF($D33="","",SUMIF('TALLY BOX DUMP'!$1:$1,'ACH CALC'!X$2,'TALLY BOX DUMP'!32:32))</f>
        <v>0</v>
      </c>
      <c r="Y33" s="21">
        <f ca="1">IF($D33="","",SUMIF('TALLY BOX DUMP'!$1:$1,'ACH CALC'!Y$2,'TALLY BOX DUMP'!32:32))</f>
        <v>0</v>
      </c>
      <c r="Z33" s="21">
        <f ca="1">IF($D33="","",SUMIF('TALLY BOX DUMP'!$1:$1,'ACH CALC'!Z$2,'TALLY BOX DUMP'!32:32)+AE33)</f>
        <v>0</v>
      </c>
      <c r="AA33" s="21">
        <f ca="1">IF($D33="","",SUMIF('TALLY BOX DUMP'!$1:$1,'ACH CALC'!AA$2,'TALLY BOX DUMP'!32:32))</f>
        <v>0</v>
      </c>
      <c r="AB33" s="21">
        <f ca="1">IF($D33="","",SUMIF('TALLY BOX DUMP'!$1:$1,'ACH CALC'!AB$2,'TALLY BOX DUMP'!32:32))</f>
        <v>0</v>
      </c>
      <c r="AC33" s="21">
        <f ca="1">IF($D33="","",SUMIF('TALLY BOX DUMP'!$1:$1,'ACH CALC'!AC$2,'TALLY BOX DUMP'!32:32))</f>
        <v>0</v>
      </c>
      <c r="AD33" s="21">
        <f ca="1">IF($D33="","",SUMIF('TALLY BOX DUMP'!$1:$1,'ACH CALC'!AD$2,'TALLY BOX DUMP'!32:32))</f>
        <v>0</v>
      </c>
      <c r="AE33" s="21">
        <f ca="1">IF($D33="","",SUMIF('TALLY BOX DUMP'!$1:$1,'ACH CALC'!AE$2,'TALLY BOX DUMP'!32:32))</f>
        <v>0</v>
      </c>
      <c r="AF33" s="21">
        <f ca="1">IF($D33="","",SUMIF('TALLY BOX DUMP'!$1:$1,'ACH CALC'!AF$2,'TALLY BOX DUMP'!32:32))</f>
        <v>0</v>
      </c>
      <c r="AG33" s="21">
        <f ca="1">IF($D33="","",SUMIF('TALLY BOX DUMP'!$1:$1,'ACH CALC'!AG$2,'TALLY BOX DUMP'!32:32))</f>
        <v>0</v>
      </c>
      <c r="AH33" s="21">
        <f ca="1">IF($D33="","",SUMIF('TALLY BOX DUMP'!$1:$1,'ACH CALC'!AH$2,'TALLY BOX DUMP'!32:32))</f>
        <v>0</v>
      </c>
      <c r="AI33" s="21">
        <f ca="1">IF($D33="","",SUMIF('TALLY BOX DUMP'!$1:$1,'ACH CALC'!AI$2,'TALLY BOX DUMP'!32:32))</f>
        <v>0</v>
      </c>
      <c r="AJ33" s="21">
        <f ca="1">IF($D33="","",SUMIF('TALLY BOX DUMP'!$1:$1,'ACH CALC'!AJ$2,'TALLY BOX DUMP'!32:32))</f>
        <v>0</v>
      </c>
      <c r="AK33" s="21">
        <f ca="1">IF($D33="","",SUMIF('TALLY BOX DUMP'!$1:$1,'ACH CALC'!AK$2,'TALLY BOX DUMP'!32:32))</f>
        <v>0</v>
      </c>
      <c r="AL33" s="21">
        <f ca="1">IF($D33="","",ROUND(SUMIF('TALLY KG DUMP'!$1:$1,'ACH CALC'!AL$2,'TALLY KG DUMP'!32:32)/30,1))</f>
        <v>0</v>
      </c>
      <c r="AM33" s="21">
        <f ca="1">IF($D33="","",SUMIF('TALLY BOX DUMP'!$1:$1,'ACH CALC'!AM$2,'TALLY BOX DUMP'!32:32))</f>
        <v>0</v>
      </c>
      <c r="AN33" s="21">
        <f ca="1">IF($D33="","",SUMIF('TALLY BOX DUMP'!$1:$1,'ACH CALC'!AN$2,'TALLY BOX DUMP'!32:32))</f>
        <v>0</v>
      </c>
      <c r="AO33" s="21">
        <f ca="1">IF($D33="","",SUMIF('TALLY BOX DUMP'!$1:$1,'ACH CALC'!AO$2,'TALLY BOX DUMP'!32:32))</f>
        <v>0</v>
      </c>
      <c r="AP33" s="21">
        <f ca="1">IF($D33="","",SUMIF('TALLY BOX DUMP'!$1:$1,'ACH CALC'!AP$2,'TALLY BOX DUMP'!32:32))</f>
        <v>0</v>
      </c>
      <c r="AQ33" s="21">
        <f ca="1">IF($D33="","",ROUND(SUMIF('TALLY KG DUMP'!$1:$1,'ACH CALC'!AQ$2,'TALLY KG DUMP'!32:32)/30,1))</f>
        <v>0</v>
      </c>
      <c r="AR33" s="21">
        <f ca="1">IF($D33="","",SUMIF('TALLY BOX DUMP'!$1:$1,'ACH CALC'!AR$2,'TALLY BOX DUMP'!32:32))</f>
        <v>0</v>
      </c>
      <c r="AS33" s="21">
        <f ca="1">IF($D33="","",SUMIF('TALLY BOX DUMP'!$1:$1,'ACH CALC'!AS$2,'TALLY BOX DUMP'!32:32))</f>
        <v>0</v>
      </c>
      <c r="AT33" s="21">
        <f ca="1">IF($D33="","",SUMIF('TALLY BOX DUMP'!$1:$1,'ACH CALC'!AT$2,'TALLY BOX DUMP'!32:32))</f>
        <v>0</v>
      </c>
      <c r="AU33" s="21">
        <f ca="1">IF($D33="","",SUMIF('TALLY BOX DUMP'!$1:$1,'ACH CALC'!AU$2,'TALLY BOX DUMP'!32:32))</f>
        <v>0</v>
      </c>
      <c r="AV33" s="21">
        <f ca="1">IF($D33="","",SUMIF('TALLY BOX DUMP'!$1:$1,'ACH CALC'!AV$2,'TALLY BOX DUMP'!32:32))</f>
        <v>0</v>
      </c>
      <c r="AW33" s="21">
        <f ca="1">IF($D33="","",SUMIF('TALLY BOX DUMP'!$1:$1,'ACH CALC'!AW$2,'TALLY BOX DUMP'!32:32))</f>
        <v>0</v>
      </c>
      <c r="AX33" s="21">
        <f ca="1">IF($D33="","",SUMIF('TALLY BOX DUMP'!$1:$1,'ACH CALC'!AX$2,'TALLY BOX DUMP'!32:32))</f>
        <v>0</v>
      </c>
      <c r="AY33" s="21">
        <f ca="1">IF($D33="","",SUMIF('TALLY BOX DUMP'!$1:$1,'ACH CALC'!AY$2,'TALLY BOX DUMP'!32:32))</f>
        <v>0</v>
      </c>
      <c r="AZ33" s="21">
        <f ca="1">IF($D33="","",SUMIF('TALLY BOX DUMP'!$1:$1,'ACH CALC'!AZ$2,'TALLY BOX DUMP'!32:32))</f>
        <v>0</v>
      </c>
      <c r="BA33" s="69">
        <f>(SUMIF('TALLY KG DUMP'!$2:$2,"Qty",'TALLY KG DUMP'!32:32)/1000)-(SUMIF('TALLY KG DUMP'!$1:$1,"GL",'TALLY KG DUMP'!32:32)/1000)</f>
        <v>0</v>
      </c>
      <c r="BB33" s="21" t="b">
        <f t="shared" ca="1" si="2"/>
        <v>1</v>
      </c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</row>
    <row r="34" spans="2:75" x14ac:dyDescent="0.25">
      <c r="B34" s="21" t="str">
        <f ca="1"/>
        <v>31</v>
      </c>
      <c r="C34" s="21" t="str">
        <f ca="1"/>
        <v>SUN04206</v>
      </c>
      <c r="D34" s="21" t="str">
        <f ca="1"/>
        <v>PRI SRI VENKATESHWARA FOOD PROCESSING</v>
      </c>
      <c r="E34" s="21">
        <f ca="1">IF($D34="","",(SUMIF('TALLY KG DUMP'!$2:$2,"Qty",'TALLY KG DUMP'!33:33)/1000)-(SUMIF('TALLY KG DUMP'!$1:$1,"GL",'TALLY KG DUMP'!33:33)/1000))</f>
        <v>0</v>
      </c>
      <c r="F34" s="21">
        <f ca="1">IF($D34="","",(SUMIF('TALLY KG DUMP'!$1:$1,'ACH CALC'!F$2,'TALLY KG DUMP'!33:33)/1000))</f>
        <v>0</v>
      </c>
      <c r="G34" s="21">
        <f ca="1">IF($D34="","",SUMIF('TALLY BOX DUMP'!$1:$1,'ACH CALC'!G$2,'TALLY BOX DUMP'!33:33)+Y34)</f>
        <v>0</v>
      </c>
      <c r="H34" s="21">
        <f t="shared" ca="1" si="0"/>
        <v>0</v>
      </c>
      <c r="I34" s="21">
        <f ca="1">IF($D34="","",SUMIF('TALLY BOX DUMP'!$1:$1,'ACH CALC'!I$2,'TALLY BOX DUMP'!33:33)+AA34)</f>
        <v>0</v>
      </c>
      <c r="J34" s="21">
        <f ca="1">IF($D34="","",SUMIF('TALLY BOX DUMP'!$1:$1,'ACH CALC'!J$2,'TALLY BOX DUMP'!33:33)+AB34)</f>
        <v>0</v>
      </c>
      <c r="K34" s="21">
        <f ca="1">IF($D34="","",SUMIF('TALLY BOX DUMP'!$1:$1,'ACH CALC'!K$2,'TALLY BOX DUMP'!33:33)+AC34)</f>
        <v>0</v>
      </c>
      <c r="L34" s="21">
        <f ca="1">IF($D34="","",SUMIF('TALLY BOX DUMP'!$1:$1,'ACH CALC'!L$2,'TALLY BOX DUMP'!33:33))</f>
        <v>0</v>
      </c>
      <c r="M34" s="21">
        <f ca="1">IF($D34="","",SUMIF('TALLY BOX DUMP'!$1:$1,'ACH CALC'!M$2,'TALLY BOX DUMP'!33:33)+AD34)</f>
        <v>0</v>
      </c>
      <c r="N34" s="21">
        <f ca="1">IF($D34="","",SUMIF('TALLY BOX DUMP'!$1:$1,'ACH CALC'!N$2,'TALLY BOX DUMP'!33:33))</f>
        <v>0</v>
      </c>
      <c r="O34" s="21">
        <f ca="1">IF($D34="","",SUMIF('TALLY BOX DUMP'!$1:$1,'ACH CALC'!O$2,'TALLY BOX DUMP'!33:33))</f>
        <v>0</v>
      </c>
      <c r="P34" s="21">
        <f ca="1">IF($D34="","",SUMIF('TALLY BOX DUMP'!$1:$1,'ACH CALC'!P$2,'TALLY BOX DUMP'!33:33))</f>
        <v>0</v>
      </c>
      <c r="Q34" s="21">
        <f t="shared" ca="1" si="1"/>
        <v>0</v>
      </c>
      <c r="R34" s="21">
        <f ca="1">IF($D34="","",SUMIF('TALLY BOX DUMP'!$1:$1,'ACH CALC'!R$2,'TALLY BOX DUMP'!33:33))</f>
        <v>0</v>
      </c>
      <c r="S34" s="21">
        <f ca="1">IF($D34="","",SUMIF('TALLY BOX DUMP'!$1:$1,'ACH CALC'!S$2,'TALLY BOX DUMP'!33:33))</f>
        <v>0</v>
      </c>
      <c r="T34" s="21">
        <f ca="1">IF($D34="","",SUMIF('TALLY BOX DUMP'!$1:$1,'ACH CALC'!T$2,'TALLY BOX DUMP'!33:33))</f>
        <v>0</v>
      </c>
      <c r="U34" s="21">
        <f ca="1">IF($D34="","",SUMIF('TALLY BOX DUMP'!$1:$1,'ACH CALC'!U$2,'TALLY BOX DUMP'!33:33))</f>
        <v>0</v>
      </c>
      <c r="V34" s="21">
        <f ca="1">IF($D34="","",SUMIF('TALLY BOX DUMP'!$1:$1,'ACH CALC'!V$2,'TALLY BOX DUMP'!33:33))</f>
        <v>0</v>
      </c>
      <c r="W34" s="21">
        <f ca="1">IF($D34="","",SUMIF('TALLY BOX DUMP'!$1:$1,'ACH CALC'!W$2,'TALLY BOX DUMP'!33:33))</f>
        <v>0</v>
      </c>
      <c r="X34" s="21">
        <f ca="1">IF($D34="","",SUMIF('TALLY BOX DUMP'!$1:$1,'ACH CALC'!X$2,'TALLY BOX DUMP'!33:33))</f>
        <v>0</v>
      </c>
      <c r="Y34" s="21">
        <f ca="1">IF($D34="","",SUMIF('TALLY BOX DUMP'!$1:$1,'ACH CALC'!Y$2,'TALLY BOX DUMP'!33:33))</f>
        <v>0</v>
      </c>
      <c r="Z34" s="21">
        <f ca="1">IF($D34="","",SUMIF('TALLY BOX DUMP'!$1:$1,'ACH CALC'!Z$2,'TALLY BOX DUMP'!33:33)+AE34)</f>
        <v>0</v>
      </c>
      <c r="AA34" s="21">
        <f ca="1">IF($D34="","",SUMIF('TALLY BOX DUMP'!$1:$1,'ACH CALC'!AA$2,'TALLY BOX DUMP'!33:33))</f>
        <v>0</v>
      </c>
      <c r="AB34" s="21">
        <f ca="1">IF($D34="","",SUMIF('TALLY BOX DUMP'!$1:$1,'ACH CALC'!AB$2,'TALLY BOX DUMP'!33:33))</f>
        <v>0</v>
      </c>
      <c r="AC34" s="21">
        <f ca="1">IF($D34="","",SUMIF('TALLY BOX DUMP'!$1:$1,'ACH CALC'!AC$2,'TALLY BOX DUMP'!33:33))</f>
        <v>0</v>
      </c>
      <c r="AD34" s="21">
        <f ca="1">IF($D34="","",SUMIF('TALLY BOX DUMP'!$1:$1,'ACH CALC'!AD$2,'TALLY BOX DUMP'!33:33))</f>
        <v>0</v>
      </c>
      <c r="AE34" s="21">
        <f ca="1">IF($D34="","",SUMIF('TALLY BOX DUMP'!$1:$1,'ACH CALC'!AE$2,'TALLY BOX DUMP'!33:33))</f>
        <v>0</v>
      </c>
      <c r="AF34" s="21">
        <f ca="1">IF($D34="","",SUMIF('TALLY BOX DUMP'!$1:$1,'ACH CALC'!AF$2,'TALLY BOX DUMP'!33:33))</f>
        <v>0</v>
      </c>
      <c r="AG34" s="21">
        <f ca="1">IF($D34="","",SUMIF('TALLY BOX DUMP'!$1:$1,'ACH CALC'!AG$2,'TALLY BOX DUMP'!33:33))</f>
        <v>0</v>
      </c>
      <c r="AH34" s="21">
        <f ca="1">IF($D34="","",SUMIF('TALLY BOX DUMP'!$1:$1,'ACH CALC'!AH$2,'TALLY BOX DUMP'!33:33))</f>
        <v>0</v>
      </c>
      <c r="AI34" s="21">
        <f ca="1">IF($D34="","",SUMIF('TALLY BOX DUMP'!$1:$1,'ACH CALC'!AI$2,'TALLY BOX DUMP'!33:33))</f>
        <v>0</v>
      </c>
      <c r="AJ34" s="21">
        <f ca="1">IF($D34="","",SUMIF('TALLY BOX DUMP'!$1:$1,'ACH CALC'!AJ$2,'TALLY BOX DUMP'!33:33))</f>
        <v>0</v>
      </c>
      <c r="AK34" s="21">
        <f ca="1">IF($D34="","",SUMIF('TALLY BOX DUMP'!$1:$1,'ACH CALC'!AK$2,'TALLY BOX DUMP'!33:33))</f>
        <v>0</v>
      </c>
      <c r="AL34" s="21">
        <f ca="1">IF($D34="","",ROUND(SUMIF('TALLY KG DUMP'!$1:$1,'ACH CALC'!AL$2,'TALLY KG DUMP'!33:33)/30,1))</f>
        <v>0</v>
      </c>
      <c r="AM34" s="21">
        <f ca="1">IF($D34="","",SUMIF('TALLY BOX DUMP'!$1:$1,'ACH CALC'!AM$2,'TALLY BOX DUMP'!33:33))</f>
        <v>0</v>
      </c>
      <c r="AN34" s="21">
        <f ca="1">IF($D34="","",SUMIF('TALLY BOX DUMP'!$1:$1,'ACH CALC'!AN$2,'TALLY BOX DUMP'!33:33))</f>
        <v>0</v>
      </c>
      <c r="AO34" s="21">
        <f ca="1">IF($D34="","",SUMIF('TALLY BOX DUMP'!$1:$1,'ACH CALC'!AO$2,'TALLY BOX DUMP'!33:33))</f>
        <v>0</v>
      </c>
      <c r="AP34" s="21">
        <f ca="1">IF($D34="","",SUMIF('TALLY BOX DUMP'!$1:$1,'ACH CALC'!AP$2,'TALLY BOX DUMP'!33:33))</f>
        <v>0</v>
      </c>
      <c r="AQ34" s="21">
        <f ca="1">IF($D34="","",ROUND(SUMIF('TALLY KG DUMP'!$1:$1,'ACH CALC'!AQ$2,'TALLY KG DUMP'!33:33)/30,1))</f>
        <v>0</v>
      </c>
      <c r="AR34" s="21">
        <f ca="1">IF($D34="","",SUMIF('TALLY BOX DUMP'!$1:$1,'ACH CALC'!AR$2,'TALLY BOX DUMP'!33:33))</f>
        <v>0</v>
      </c>
      <c r="AS34" s="21">
        <f ca="1">IF($D34="","",SUMIF('TALLY BOX DUMP'!$1:$1,'ACH CALC'!AS$2,'TALLY BOX DUMP'!33:33))</f>
        <v>0</v>
      </c>
      <c r="AT34" s="21">
        <f ca="1">IF($D34="","",SUMIF('TALLY BOX DUMP'!$1:$1,'ACH CALC'!AT$2,'TALLY BOX DUMP'!33:33))</f>
        <v>0</v>
      </c>
      <c r="AU34" s="21">
        <f ca="1">IF($D34="","",SUMIF('TALLY BOX DUMP'!$1:$1,'ACH CALC'!AU$2,'TALLY BOX DUMP'!33:33))</f>
        <v>0</v>
      </c>
      <c r="AV34" s="21">
        <f ca="1">IF($D34="","",SUMIF('TALLY BOX DUMP'!$1:$1,'ACH CALC'!AV$2,'TALLY BOX DUMP'!33:33))</f>
        <v>0</v>
      </c>
      <c r="AW34" s="21">
        <f ca="1">IF($D34="","",SUMIF('TALLY BOX DUMP'!$1:$1,'ACH CALC'!AW$2,'TALLY BOX DUMP'!33:33))</f>
        <v>0</v>
      </c>
      <c r="AX34" s="21">
        <f ca="1">IF($D34="","",SUMIF('TALLY BOX DUMP'!$1:$1,'ACH CALC'!AX$2,'TALLY BOX DUMP'!33:33))</f>
        <v>0</v>
      </c>
      <c r="AY34" s="21">
        <f ca="1">IF($D34="","",SUMIF('TALLY BOX DUMP'!$1:$1,'ACH CALC'!AY$2,'TALLY BOX DUMP'!33:33))</f>
        <v>0</v>
      </c>
      <c r="AZ34" s="21">
        <f ca="1">IF($D34="","",SUMIF('TALLY BOX DUMP'!$1:$1,'ACH CALC'!AZ$2,'TALLY BOX DUMP'!33:33))</f>
        <v>0</v>
      </c>
      <c r="BA34" s="69">
        <f>(SUMIF('TALLY KG DUMP'!$2:$2,"Qty",'TALLY KG DUMP'!33:33)/1000)-(SUMIF('TALLY KG DUMP'!$1:$1,"GL",'TALLY KG DUMP'!33:33)/1000)</f>
        <v>0</v>
      </c>
      <c r="BB34" s="21" t="b">
        <f t="shared" ca="1" si="2"/>
        <v>1</v>
      </c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</row>
    <row r="35" spans="2:75" x14ac:dyDescent="0.25">
      <c r="B35" s="21" t="str">
        <f ca="1"/>
        <v>32</v>
      </c>
      <c r="C35" s="21" t="str">
        <f ca="1"/>
        <v>SUN06311</v>
      </c>
      <c r="D35" s="21" t="str">
        <f ca="1"/>
        <v>CNI-PERIYAPALAYAM-SCOOTSY LOGISTICS PVT LTD</v>
      </c>
      <c r="E35" s="21">
        <f ca="1">IF($D35="","",(SUMIF('TALLY KG DUMP'!$2:$2,"Qty",'TALLY KG DUMP'!34:34)/1000)-(SUMIF('TALLY KG DUMP'!$1:$1,"GL",'TALLY KG DUMP'!34:34)/1000))</f>
        <v>18.646000000000001</v>
      </c>
      <c r="F35" s="21">
        <f ca="1">IF($D35="","",(SUMIF('TALLY KG DUMP'!$1:$1,'ACH CALC'!F$2,'TALLY KG DUMP'!34:34)/1000))</f>
        <v>0</v>
      </c>
      <c r="G35" s="21">
        <f ca="1">IF($D35="","",SUMIF('TALLY BOX DUMP'!$1:$1,'ACH CALC'!G$2,'TALLY BOX DUMP'!34:34)+Y35)</f>
        <v>0</v>
      </c>
      <c r="H35" s="21">
        <f t="shared" ca="1" si="0"/>
        <v>96</v>
      </c>
      <c r="I35" s="21">
        <f ca="1">IF($D35="","",SUMIF('TALLY BOX DUMP'!$1:$1,'ACH CALC'!I$2,'TALLY BOX DUMP'!34:34)+AA35)</f>
        <v>39</v>
      </c>
      <c r="J35" s="21">
        <f ca="1">IF($D35="","",SUMIF('TALLY BOX DUMP'!$1:$1,'ACH CALC'!J$2,'TALLY BOX DUMP'!34:34)+AB35)</f>
        <v>0</v>
      </c>
      <c r="K35" s="21">
        <f ca="1">IF($D35="","",SUMIF('TALLY BOX DUMP'!$1:$1,'ACH CALC'!K$2,'TALLY BOX DUMP'!34:34)+AC35)</f>
        <v>57</v>
      </c>
      <c r="L35" s="21">
        <f ca="1">IF($D35="","",SUMIF('TALLY BOX DUMP'!$1:$1,'ACH CALC'!L$2,'TALLY BOX DUMP'!34:34))</f>
        <v>0</v>
      </c>
      <c r="M35" s="21">
        <f ca="1">IF($D35="","",SUMIF('TALLY BOX DUMP'!$1:$1,'ACH CALC'!M$2,'TALLY BOX DUMP'!34:34)+AD35)</f>
        <v>0</v>
      </c>
      <c r="N35" s="21">
        <f ca="1">IF($D35="","",SUMIF('TALLY BOX DUMP'!$1:$1,'ACH CALC'!N$2,'TALLY BOX DUMP'!34:34))</f>
        <v>0</v>
      </c>
      <c r="O35" s="21">
        <f ca="1">IF($D35="","",SUMIF('TALLY BOX DUMP'!$1:$1,'ACH CALC'!O$2,'TALLY BOX DUMP'!34:34))</f>
        <v>0</v>
      </c>
      <c r="P35" s="21">
        <f ca="1">IF($D35="","",SUMIF('TALLY BOX DUMP'!$1:$1,'ACH CALC'!P$2,'TALLY BOX DUMP'!34:34))</f>
        <v>0</v>
      </c>
      <c r="Q35" s="21">
        <f t="shared" ca="1" si="1"/>
        <v>0</v>
      </c>
      <c r="R35" s="21">
        <f ca="1">IF($D35="","",SUMIF('TALLY BOX DUMP'!$1:$1,'ACH CALC'!R$2,'TALLY BOX DUMP'!34:34))</f>
        <v>0</v>
      </c>
      <c r="S35" s="21">
        <f ca="1">IF($D35="","",SUMIF('TALLY BOX DUMP'!$1:$1,'ACH CALC'!S$2,'TALLY BOX DUMP'!34:34))</f>
        <v>0</v>
      </c>
      <c r="T35" s="21">
        <f ca="1">IF($D35="","",SUMIF('TALLY BOX DUMP'!$1:$1,'ACH CALC'!T$2,'TALLY BOX DUMP'!34:34))</f>
        <v>0</v>
      </c>
      <c r="U35" s="21">
        <f ca="1">IF($D35="","",SUMIF('TALLY BOX DUMP'!$1:$1,'ACH CALC'!U$2,'TALLY BOX DUMP'!34:34))</f>
        <v>0</v>
      </c>
      <c r="V35" s="21">
        <f ca="1">IF($D35="","",SUMIF('TALLY BOX DUMP'!$1:$1,'ACH CALC'!V$2,'TALLY BOX DUMP'!34:34))</f>
        <v>0</v>
      </c>
      <c r="W35" s="21">
        <f ca="1">IF($D35="","",SUMIF('TALLY BOX DUMP'!$1:$1,'ACH CALC'!W$2,'TALLY BOX DUMP'!34:34))</f>
        <v>0</v>
      </c>
      <c r="X35" s="21">
        <f ca="1">IF($D35="","",SUMIF('TALLY BOX DUMP'!$1:$1,'ACH CALC'!X$2,'TALLY BOX DUMP'!34:34))</f>
        <v>0</v>
      </c>
      <c r="Y35" s="21">
        <f ca="1">IF($D35="","",SUMIF('TALLY BOX DUMP'!$1:$1,'ACH CALC'!Y$2,'TALLY BOX DUMP'!34:34))</f>
        <v>0</v>
      </c>
      <c r="Z35" s="21">
        <f ca="1">IF($D35="","",SUMIF('TALLY BOX DUMP'!$1:$1,'ACH CALC'!Z$2,'TALLY BOX DUMP'!34:34)+AE35)</f>
        <v>0</v>
      </c>
      <c r="AA35" s="21">
        <f ca="1">IF($D35="","",SUMIF('TALLY BOX DUMP'!$1:$1,'ACH CALC'!AA$2,'TALLY BOX DUMP'!34:34))</f>
        <v>0</v>
      </c>
      <c r="AB35" s="21">
        <f ca="1">IF($D35="","",SUMIF('TALLY BOX DUMP'!$1:$1,'ACH CALC'!AB$2,'TALLY BOX DUMP'!34:34))</f>
        <v>0</v>
      </c>
      <c r="AC35" s="21">
        <f ca="1">IF($D35="","",SUMIF('TALLY BOX DUMP'!$1:$1,'ACH CALC'!AC$2,'TALLY BOX DUMP'!34:34))</f>
        <v>0</v>
      </c>
      <c r="AD35" s="21">
        <f ca="1">IF($D35="","",SUMIF('TALLY BOX DUMP'!$1:$1,'ACH CALC'!AD$2,'TALLY BOX DUMP'!34:34))</f>
        <v>0</v>
      </c>
      <c r="AE35" s="21">
        <f ca="1">IF($D35="","",SUMIF('TALLY BOX DUMP'!$1:$1,'ACH CALC'!AE$2,'TALLY BOX DUMP'!34:34))</f>
        <v>0</v>
      </c>
      <c r="AF35" s="21">
        <f ca="1">IF($D35="","",SUMIF('TALLY BOX DUMP'!$1:$1,'ACH CALC'!AF$2,'TALLY BOX DUMP'!34:34))</f>
        <v>0</v>
      </c>
      <c r="AG35" s="21">
        <f ca="1">IF($D35="","",SUMIF('TALLY BOX DUMP'!$1:$1,'ACH CALC'!AG$2,'TALLY BOX DUMP'!34:34))</f>
        <v>0</v>
      </c>
      <c r="AH35" s="21">
        <f ca="1">IF($D35="","",SUMIF('TALLY BOX DUMP'!$1:$1,'ACH CALC'!AH$2,'TALLY BOX DUMP'!34:34))</f>
        <v>0</v>
      </c>
      <c r="AI35" s="21">
        <f ca="1">IF($D35="","",SUMIF('TALLY BOX DUMP'!$1:$1,'ACH CALC'!AI$2,'TALLY BOX DUMP'!34:34))</f>
        <v>0</v>
      </c>
      <c r="AJ35" s="21">
        <f ca="1">IF($D35="","",SUMIF('TALLY BOX DUMP'!$1:$1,'ACH CALC'!AJ$2,'TALLY BOX DUMP'!34:34))</f>
        <v>0</v>
      </c>
      <c r="AK35" s="21">
        <f ca="1">IF($D35="","",SUMIF('TALLY BOX DUMP'!$1:$1,'ACH CALC'!AK$2,'TALLY BOX DUMP'!34:34))</f>
        <v>0</v>
      </c>
      <c r="AL35" s="21">
        <f ca="1">IF($D35="","",ROUND(SUMIF('TALLY KG DUMP'!$1:$1,'ACH CALC'!AL$2,'TALLY KG DUMP'!34:34)/30,1))</f>
        <v>0</v>
      </c>
      <c r="AM35" s="21">
        <f ca="1">IF($D35="","",SUMIF('TALLY BOX DUMP'!$1:$1,'ACH CALC'!AM$2,'TALLY BOX DUMP'!34:34))</f>
        <v>0</v>
      </c>
      <c r="AN35" s="21">
        <f ca="1">IF($D35="","",SUMIF('TALLY BOX DUMP'!$1:$1,'ACH CALC'!AN$2,'TALLY BOX DUMP'!34:34))</f>
        <v>0</v>
      </c>
      <c r="AO35" s="21">
        <f ca="1">IF($D35="","",SUMIF('TALLY BOX DUMP'!$1:$1,'ACH CALC'!AO$2,'TALLY BOX DUMP'!34:34))</f>
        <v>0</v>
      </c>
      <c r="AP35" s="21">
        <f ca="1">IF($D35="","",SUMIF('TALLY BOX DUMP'!$1:$1,'ACH CALC'!AP$2,'TALLY BOX DUMP'!34:34))</f>
        <v>0</v>
      </c>
      <c r="AQ35" s="21">
        <f ca="1">IF($D35="","",ROUND(SUMIF('TALLY KG DUMP'!$1:$1,'ACH CALC'!AQ$2,'TALLY KG DUMP'!34:34)/30,1))</f>
        <v>0</v>
      </c>
      <c r="AR35" s="21">
        <f ca="1">IF($D35="","",SUMIF('TALLY BOX DUMP'!$1:$1,'ACH CALC'!AR$2,'TALLY BOX DUMP'!34:34))</f>
        <v>0</v>
      </c>
      <c r="AS35" s="21">
        <f ca="1">IF($D35="","",SUMIF('TALLY BOX DUMP'!$1:$1,'ACH CALC'!AS$2,'TALLY BOX DUMP'!34:34))</f>
        <v>0</v>
      </c>
      <c r="AT35" s="21">
        <f ca="1">IF($D35="","",SUMIF('TALLY BOX DUMP'!$1:$1,'ACH CALC'!AT$2,'TALLY BOX DUMP'!34:34))</f>
        <v>0</v>
      </c>
      <c r="AU35" s="21">
        <f ca="1">IF($D35="","",SUMIF('TALLY BOX DUMP'!$1:$1,'ACH CALC'!AU$2,'TALLY BOX DUMP'!34:34))</f>
        <v>0</v>
      </c>
      <c r="AV35" s="21">
        <f ca="1">IF($D35="","",SUMIF('TALLY BOX DUMP'!$1:$1,'ACH CALC'!AV$2,'TALLY BOX DUMP'!34:34))</f>
        <v>0</v>
      </c>
      <c r="AW35" s="21">
        <f ca="1">IF($D35="","",SUMIF('TALLY BOX DUMP'!$1:$1,'ACH CALC'!AW$2,'TALLY BOX DUMP'!34:34))</f>
        <v>0</v>
      </c>
      <c r="AX35" s="21">
        <f ca="1">IF($D35="","",SUMIF('TALLY BOX DUMP'!$1:$1,'ACH CALC'!AX$2,'TALLY BOX DUMP'!34:34))</f>
        <v>0</v>
      </c>
      <c r="AY35" s="21">
        <f ca="1">IF($D35="","",SUMIF('TALLY BOX DUMP'!$1:$1,'ACH CALC'!AY$2,'TALLY BOX DUMP'!34:34))</f>
        <v>0</v>
      </c>
      <c r="AZ35" s="21">
        <f ca="1">IF($D35="","",SUMIF('TALLY BOX DUMP'!$1:$1,'ACH CALC'!AZ$2,'TALLY BOX DUMP'!34:34))</f>
        <v>0</v>
      </c>
      <c r="BA35" s="69">
        <f>(SUMIF('TALLY KG DUMP'!$2:$2,"Qty",'TALLY KG DUMP'!34:34)/1000)-(SUMIF('TALLY KG DUMP'!$1:$1,"GL",'TALLY KG DUMP'!34:34)/1000)</f>
        <v>18.646000000000001</v>
      </c>
      <c r="BB35" s="21" t="b">
        <f t="shared" ca="1" si="2"/>
        <v>1</v>
      </c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</row>
    <row r="36" spans="2:75" x14ac:dyDescent="0.25">
      <c r="B36" s="21" t="str">
        <f ca="1"/>
        <v>33</v>
      </c>
      <c r="C36" s="21" t="str">
        <f ca="1"/>
        <v>SUN01422</v>
      </c>
      <c r="D36" s="21" t="str">
        <f ca="1"/>
        <v>TCY- RAJANGAM STORES</v>
      </c>
      <c r="E36" s="21">
        <f ca="1">IF($D36="","",(SUMIF('TALLY KG DUMP'!$2:$2,"Qty",'TALLY KG DUMP'!35:35)/1000)-(SUMIF('TALLY KG DUMP'!$1:$1,"GL",'TALLY KG DUMP'!35:35)/1000))</f>
        <v>10.92</v>
      </c>
      <c r="F36" s="21">
        <f ca="1">IF($D36="","",(SUMIF('TALLY KG DUMP'!$1:$1,'ACH CALC'!F$2,'TALLY KG DUMP'!35:35)/1000))</f>
        <v>0</v>
      </c>
      <c r="G36" s="21">
        <f ca="1">IF($D36="","",SUMIF('TALLY BOX DUMP'!$1:$1,'ACH CALC'!G$2,'TALLY BOX DUMP'!35:35)+Y36)</f>
        <v>0</v>
      </c>
      <c r="H36" s="21">
        <f t="shared" ca="1" si="0"/>
        <v>0</v>
      </c>
      <c r="I36" s="21">
        <f ca="1">IF($D36="","",SUMIF('TALLY BOX DUMP'!$1:$1,'ACH CALC'!I$2,'TALLY BOX DUMP'!35:35)+AA36)</f>
        <v>0</v>
      </c>
      <c r="J36" s="21">
        <f ca="1">IF($D36="","",SUMIF('TALLY BOX DUMP'!$1:$1,'ACH CALC'!J$2,'TALLY BOX DUMP'!35:35)+AB36)</f>
        <v>0</v>
      </c>
      <c r="K36" s="21">
        <f ca="1">IF($D36="","",SUMIF('TALLY BOX DUMP'!$1:$1,'ACH CALC'!K$2,'TALLY BOX DUMP'!35:35)+AC36)</f>
        <v>0</v>
      </c>
      <c r="L36" s="21">
        <f ca="1">IF($D36="","",SUMIF('TALLY BOX DUMP'!$1:$1,'ACH CALC'!L$2,'TALLY BOX DUMP'!35:35))</f>
        <v>0</v>
      </c>
      <c r="M36" s="21">
        <f ca="1">IF($D36="","",SUMIF('TALLY BOX DUMP'!$1:$1,'ACH CALC'!M$2,'TALLY BOX DUMP'!35:35)+AD36)</f>
        <v>0</v>
      </c>
      <c r="N36" s="21">
        <f ca="1">IF($D36="","",SUMIF('TALLY BOX DUMP'!$1:$1,'ACH CALC'!N$2,'TALLY BOX DUMP'!35:35))</f>
        <v>0</v>
      </c>
      <c r="O36" s="21">
        <f ca="1">IF($D36="","",SUMIF('TALLY BOX DUMP'!$1:$1,'ACH CALC'!O$2,'TALLY BOX DUMP'!35:35))</f>
        <v>0</v>
      </c>
      <c r="P36" s="21">
        <f ca="1">IF($D36="","",SUMIF('TALLY BOX DUMP'!$1:$1,'ACH CALC'!P$2,'TALLY BOX DUMP'!35:35))</f>
        <v>0</v>
      </c>
      <c r="Q36" s="21">
        <f t="shared" ca="1" si="1"/>
        <v>0</v>
      </c>
      <c r="R36" s="21">
        <f ca="1">IF($D36="","",SUMIF('TALLY BOX DUMP'!$1:$1,'ACH CALC'!R$2,'TALLY BOX DUMP'!35:35))</f>
        <v>0</v>
      </c>
      <c r="S36" s="21">
        <f ca="1">IF($D36="","",SUMIF('TALLY BOX DUMP'!$1:$1,'ACH CALC'!S$2,'TALLY BOX DUMP'!35:35))</f>
        <v>0</v>
      </c>
      <c r="T36" s="21">
        <f ca="1">IF($D36="","",SUMIF('TALLY BOX DUMP'!$1:$1,'ACH CALC'!T$2,'TALLY BOX DUMP'!35:35))</f>
        <v>0</v>
      </c>
      <c r="U36" s="21">
        <f ca="1">IF($D36="","",SUMIF('TALLY BOX DUMP'!$1:$1,'ACH CALC'!U$2,'TALLY BOX DUMP'!35:35))</f>
        <v>0</v>
      </c>
      <c r="V36" s="21">
        <f ca="1">IF($D36="","",SUMIF('TALLY BOX DUMP'!$1:$1,'ACH CALC'!V$2,'TALLY BOX DUMP'!35:35))</f>
        <v>0</v>
      </c>
      <c r="W36" s="21">
        <f ca="1">IF($D36="","",SUMIF('TALLY BOX DUMP'!$1:$1,'ACH CALC'!W$2,'TALLY BOX DUMP'!35:35))</f>
        <v>0</v>
      </c>
      <c r="X36" s="21">
        <f ca="1">IF($D36="","",SUMIF('TALLY BOX DUMP'!$1:$1,'ACH CALC'!X$2,'TALLY BOX DUMP'!35:35))</f>
        <v>0</v>
      </c>
      <c r="Y36" s="21">
        <f ca="1">IF($D36="","",SUMIF('TALLY BOX DUMP'!$1:$1,'ACH CALC'!Y$2,'TALLY BOX DUMP'!35:35))</f>
        <v>0</v>
      </c>
      <c r="Z36" s="21">
        <f ca="1">IF($D36="","",SUMIF('TALLY BOX DUMP'!$1:$1,'ACH CALC'!Z$2,'TALLY BOX DUMP'!35:35)+AE36)</f>
        <v>0</v>
      </c>
      <c r="AA36" s="21">
        <f ca="1">IF($D36="","",SUMIF('TALLY BOX DUMP'!$1:$1,'ACH CALC'!AA$2,'TALLY BOX DUMP'!35:35))</f>
        <v>0</v>
      </c>
      <c r="AB36" s="21">
        <f ca="1">IF($D36="","",SUMIF('TALLY BOX DUMP'!$1:$1,'ACH CALC'!AB$2,'TALLY BOX DUMP'!35:35))</f>
        <v>0</v>
      </c>
      <c r="AC36" s="21">
        <f ca="1">IF($D36="","",SUMIF('TALLY BOX DUMP'!$1:$1,'ACH CALC'!AC$2,'TALLY BOX DUMP'!35:35))</f>
        <v>0</v>
      </c>
      <c r="AD36" s="21">
        <f ca="1">IF($D36="","",SUMIF('TALLY BOX DUMP'!$1:$1,'ACH CALC'!AD$2,'TALLY BOX DUMP'!35:35))</f>
        <v>0</v>
      </c>
      <c r="AE36" s="21">
        <f ca="1">IF($D36="","",SUMIF('TALLY BOX DUMP'!$1:$1,'ACH CALC'!AE$2,'TALLY BOX DUMP'!35:35))</f>
        <v>0</v>
      </c>
      <c r="AF36" s="21">
        <f ca="1">IF($D36="","",SUMIF('TALLY BOX DUMP'!$1:$1,'ACH CALC'!AF$2,'TALLY BOX DUMP'!35:35))</f>
        <v>0</v>
      </c>
      <c r="AG36" s="21">
        <f ca="1">IF($D36="","",SUMIF('TALLY BOX DUMP'!$1:$1,'ACH CALC'!AG$2,'TALLY BOX DUMP'!35:35))</f>
        <v>0</v>
      </c>
      <c r="AH36" s="21">
        <f ca="1">IF($D36="","",SUMIF('TALLY BOX DUMP'!$1:$1,'ACH CALC'!AH$2,'TALLY BOX DUMP'!35:35))</f>
        <v>0</v>
      </c>
      <c r="AI36" s="21">
        <f ca="1">IF($D36="","",SUMIF('TALLY BOX DUMP'!$1:$1,'ACH CALC'!AI$2,'TALLY BOX DUMP'!35:35))</f>
        <v>0</v>
      </c>
      <c r="AJ36" s="21">
        <f ca="1">IF($D36="","",SUMIF('TALLY BOX DUMP'!$1:$1,'ACH CALC'!AJ$2,'TALLY BOX DUMP'!35:35))</f>
        <v>0</v>
      </c>
      <c r="AK36" s="21">
        <f ca="1">IF($D36="","",SUMIF('TALLY BOX DUMP'!$1:$1,'ACH CALC'!AK$2,'TALLY BOX DUMP'!35:35))</f>
        <v>0</v>
      </c>
      <c r="AL36" s="21">
        <f ca="1">IF($D36="","",ROUND(SUMIF('TALLY KG DUMP'!$1:$1,'ACH CALC'!AL$2,'TALLY KG DUMP'!35:35)/30,1))</f>
        <v>0</v>
      </c>
      <c r="AM36" s="21">
        <f ca="1">IF($D36="","",SUMIF('TALLY BOX DUMP'!$1:$1,'ACH CALC'!AM$2,'TALLY BOX DUMP'!35:35))</f>
        <v>0</v>
      </c>
      <c r="AN36" s="21">
        <f ca="1">IF($D36="","",SUMIF('TALLY BOX DUMP'!$1:$1,'ACH CALC'!AN$2,'TALLY BOX DUMP'!35:35))</f>
        <v>0</v>
      </c>
      <c r="AO36" s="21">
        <f ca="1">IF($D36="","",SUMIF('TALLY BOX DUMP'!$1:$1,'ACH CALC'!AO$2,'TALLY BOX DUMP'!35:35))</f>
        <v>0</v>
      </c>
      <c r="AP36" s="21">
        <f ca="1">IF($D36="","",SUMIF('TALLY BOX DUMP'!$1:$1,'ACH CALC'!AP$2,'TALLY BOX DUMP'!35:35))</f>
        <v>0</v>
      </c>
      <c r="AQ36" s="21">
        <f ca="1">IF($D36="","",ROUND(SUMIF('TALLY KG DUMP'!$1:$1,'ACH CALC'!AQ$2,'TALLY KG DUMP'!35:35)/30,1))</f>
        <v>0</v>
      </c>
      <c r="AR36" s="21">
        <f ca="1">IF($D36="","",SUMIF('TALLY BOX DUMP'!$1:$1,'ACH CALC'!AR$2,'TALLY BOX DUMP'!35:35))</f>
        <v>0</v>
      </c>
      <c r="AS36" s="21">
        <f ca="1">IF($D36="","",SUMIF('TALLY BOX DUMP'!$1:$1,'ACH CALC'!AS$2,'TALLY BOX DUMP'!35:35))</f>
        <v>0</v>
      </c>
      <c r="AT36" s="21">
        <f ca="1">IF($D36="","",SUMIF('TALLY BOX DUMP'!$1:$1,'ACH CALC'!AT$2,'TALLY BOX DUMP'!35:35))</f>
        <v>0</v>
      </c>
      <c r="AU36" s="21">
        <f ca="1">IF($D36="","",SUMIF('TALLY BOX DUMP'!$1:$1,'ACH CALC'!AU$2,'TALLY BOX DUMP'!35:35))</f>
        <v>0</v>
      </c>
      <c r="AV36" s="21">
        <f ca="1">IF($D36="","",SUMIF('TALLY BOX DUMP'!$1:$1,'ACH CALC'!AV$2,'TALLY BOX DUMP'!35:35))</f>
        <v>0</v>
      </c>
      <c r="AW36" s="21">
        <f ca="1">IF($D36="","",SUMIF('TALLY BOX DUMP'!$1:$1,'ACH CALC'!AW$2,'TALLY BOX DUMP'!35:35))</f>
        <v>0</v>
      </c>
      <c r="AX36" s="21">
        <f ca="1">IF($D36="","",SUMIF('TALLY BOX DUMP'!$1:$1,'ACH CALC'!AX$2,'TALLY BOX DUMP'!35:35))</f>
        <v>0</v>
      </c>
      <c r="AY36" s="21">
        <f ca="1">IF($D36="","",SUMIF('TALLY BOX DUMP'!$1:$1,'ACH CALC'!AY$2,'TALLY BOX DUMP'!35:35))</f>
        <v>0</v>
      </c>
      <c r="AZ36" s="21">
        <f ca="1">IF($D36="","",SUMIF('TALLY BOX DUMP'!$1:$1,'ACH CALC'!AZ$2,'TALLY BOX DUMP'!35:35))</f>
        <v>0</v>
      </c>
      <c r="BA36" s="69">
        <f>(SUMIF('TALLY KG DUMP'!$2:$2,"Qty",'TALLY KG DUMP'!35:35)/1000)-(SUMIF('TALLY KG DUMP'!$1:$1,"GL",'TALLY KG DUMP'!35:35)/1000)</f>
        <v>10.92</v>
      </c>
      <c r="BB36" s="21" t="b">
        <f t="shared" ca="1" si="2"/>
        <v>1</v>
      </c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</row>
    <row r="37" spans="2:75" x14ac:dyDescent="0.25">
      <c r="B37" s="21" t="str">
        <f ca="1"/>
        <v>34</v>
      </c>
      <c r="C37" s="21" t="str">
        <f ca="1"/>
        <v>SUN04028</v>
      </c>
      <c r="D37" s="21" t="str">
        <f ca="1"/>
        <v>TCY KONAR GHEE STORE</v>
      </c>
      <c r="E37" s="21">
        <f ca="1">IF($D37="","",(SUMIF('TALLY KG DUMP'!$2:$2,"Qty",'TALLY KG DUMP'!36:36)/1000)-(SUMIF('TALLY KG DUMP'!$1:$1,"GL",'TALLY KG DUMP'!36:36)/1000))</f>
        <v>0.91</v>
      </c>
      <c r="F37" s="21">
        <f ca="1">IF($D37="","",(SUMIF('TALLY KG DUMP'!$1:$1,'ACH CALC'!F$2,'TALLY KG DUMP'!36:36)/1000))</f>
        <v>0</v>
      </c>
      <c r="G37" s="21">
        <f ca="1">IF($D37="","",SUMIF('TALLY BOX DUMP'!$1:$1,'ACH CALC'!G$2,'TALLY BOX DUMP'!36:36)+Y37)</f>
        <v>0</v>
      </c>
      <c r="H37" s="21">
        <f t="shared" ca="1" si="0"/>
        <v>0</v>
      </c>
      <c r="I37" s="21">
        <f ca="1">IF($D37="","",SUMIF('TALLY BOX DUMP'!$1:$1,'ACH CALC'!I$2,'TALLY BOX DUMP'!36:36)+AA37)</f>
        <v>0</v>
      </c>
      <c r="J37" s="21">
        <f ca="1">IF($D37="","",SUMIF('TALLY BOX DUMP'!$1:$1,'ACH CALC'!J$2,'TALLY BOX DUMP'!36:36)+AB37)</f>
        <v>0</v>
      </c>
      <c r="K37" s="21">
        <f ca="1">IF($D37="","",SUMIF('TALLY BOX DUMP'!$1:$1,'ACH CALC'!K$2,'TALLY BOX DUMP'!36:36)+AC37)</f>
        <v>0</v>
      </c>
      <c r="L37" s="21">
        <f ca="1">IF($D37="","",SUMIF('TALLY BOX DUMP'!$1:$1,'ACH CALC'!L$2,'TALLY BOX DUMP'!36:36))</f>
        <v>0</v>
      </c>
      <c r="M37" s="21">
        <f ca="1">IF($D37="","",SUMIF('TALLY BOX DUMP'!$1:$1,'ACH CALC'!M$2,'TALLY BOX DUMP'!36:36)+AD37)</f>
        <v>0</v>
      </c>
      <c r="N37" s="21">
        <f ca="1">IF($D37="","",SUMIF('TALLY BOX DUMP'!$1:$1,'ACH CALC'!N$2,'TALLY BOX DUMP'!36:36))</f>
        <v>0</v>
      </c>
      <c r="O37" s="21">
        <f ca="1">IF($D37="","",SUMIF('TALLY BOX DUMP'!$1:$1,'ACH CALC'!O$2,'TALLY BOX DUMP'!36:36))</f>
        <v>0</v>
      </c>
      <c r="P37" s="21">
        <f ca="1">IF($D37="","",SUMIF('TALLY BOX DUMP'!$1:$1,'ACH CALC'!P$2,'TALLY BOX DUMP'!36:36))</f>
        <v>0</v>
      </c>
      <c r="Q37" s="21">
        <f t="shared" ca="1" si="1"/>
        <v>0</v>
      </c>
      <c r="R37" s="21">
        <f ca="1">IF($D37="","",SUMIF('TALLY BOX DUMP'!$1:$1,'ACH CALC'!R$2,'TALLY BOX DUMP'!36:36))</f>
        <v>0</v>
      </c>
      <c r="S37" s="21">
        <f ca="1">IF($D37="","",SUMIF('TALLY BOX DUMP'!$1:$1,'ACH CALC'!S$2,'TALLY BOX DUMP'!36:36))</f>
        <v>0</v>
      </c>
      <c r="T37" s="21">
        <f ca="1">IF($D37="","",SUMIF('TALLY BOX DUMP'!$1:$1,'ACH CALC'!T$2,'TALLY BOX DUMP'!36:36))</f>
        <v>0</v>
      </c>
      <c r="U37" s="21">
        <f ca="1">IF($D37="","",SUMIF('TALLY BOX DUMP'!$1:$1,'ACH CALC'!U$2,'TALLY BOX DUMP'!36:36))</f>
        <v>0</v>
      </c>
      <c r="V37" s="21">
        <f ca="1">IF($D37="","",SUMIF('TALLY BOX DUMP'!$1:$1,'ACH CALC'!V$2,'TALLY BOX DUMP'!36:36))</f>
        <v>0</v>
      </c>
      <c r="W37" s="21">
        <f ca="1">IF($D37="","",SUMIF('TALLY BOX DUMP'!$1:$1,'ACH CALC'!W$2,'TALLY BOX DUMP'!36:36))</f>
        <v>0</v>
      </c>
      <c r="X37" s="21">
        <f ca="1">IF($D37="","",SUMIF('TALLY BOX DUMP'!$1:$1,'ACH CALC'!X$2,'TALLY BOX DUMP'!36:36))</f>
        <v>0</v>
      </c>
      <c r="Y37" s="21">
        <f ca="1">IF($D37="","",SUMIF('TALLY BOX DUMP'!$1:$1,'ACH CALC'!Y$2,'TALLY BOX DUMP'!36:36))</f>
        <v>0</v>
      </c>
      <c r="Z37" s="21">
        <f ca="1">IF($D37="","",SUMIF('TALLY BOX DUMP'!$1:$1,'ACH CALC'!Z$2,'TALLY BOX DUMP'!36:36)+AE37)</f>
        <v>0</v>
      </c>
      <c r="AA37" s="21">
        <f ca="1">IF($D37="","",SUMIF('TALLY BOX DUMP'!$1:$1,'ACH CALC'!AA$2,'TALLY BOX DUMP'!36:36))</f>
        <v>0</v>
      </c>
      <c r="AB37" s="21">
        <f ca="1">IF($D37="","",SUMIF('TALLY BOX DUMP'!$1:$1,'ACH CALC'!AB$2,'TALLY BOX DUMP'!36:36))</f>
        <v>0</v>
      </c>
      <c r="AC37" s="21">
        <f ca="1">IF($D37="","",SUMIF('TALLY BOX DUMP'!$1:$1,'ACH CALC'!AC$2,'TALLY BOX DUMP'!36:36))</f>
        <v>0</v>
      </c>
      <c r="AD37" s="21">
        <f ca="1">IF($D37="","",SUMIF('TALLY BOX DUMP'!$1:$1,'ACH CALC'!AD$2,'TALLY BOX DUMP'!36:36))</f>
        <v>0</v>
      </c>
      <c r="AE37" s="21">
        <f ca="1">IF($D37="","",SUMIF('TALLY BOX DUMP'!$1:$1,'ACH CALC'!AE$2,'TALLY BOX DUMP'!36:36))</f>
        <v>0</v>
      </c>
      <c r="AF37" s="21">
        <f ca="1">IF($D37="","",SUMIF('TALLY BOX DUMP'!$1:$1,'ACH CALC'!AF$2,'TALLY BOX DUMP'!36:36))</f>
        <v>0</v>
      </c>
      <c r="AG37" s="21">
        <f ca="1">IF($D37="","",SUMIF('TALLY BOX DUMP'!$1:$1,'ACH CALC'!AG$2,'TALLY BOX DUMP'!36:36))</f>
        <v>0</v>
      </c>
      <c r="AH37" s="21">
        <f ca="1">IF($D37="","",SUMIF('TALLY BOX DUMP'!$1:$1,'ACH CALC'!AH$2,'TALLY BOX DUMP'!36:36))</f>
        <v>0</v>
      </c>
      <c r="AI37" s="21">
        <f ca="1">IF($D37="","",SUMIF('TALLY BOX DUMP'!$1:$1,'ACH CALC'!AI$2,'TALLY BOX DUMP'!36:36))</f>
        <v>0</v>
      </c>
      <c r="AJ37" s="21">
        <f ca="1">IF($D37="","",SUMIF('TALLY BOX DUMP'!$1:$1,'ACH CALC'!AJ$2,'TALLY BOX DUMP'!36:36))</f>
        <v>0</v>
      </c>
      <c r="AK37" s="21">
        <f ca="1">IF($D37="","",SUMIF('TALLY BOX DUMP'!$1:$1,'ACH CALC'!AK$2,'TALLY BOX DUMP'!36:36))</f>
        <v>0</v>
      </c>
      <c r="AL37" s="21">
        <f ca="1">IF($D37="","",ROUND(SUMIF('TALLY KG DUMP'!$1:$1,'ACH CALC'!AL$2,'TALLY KG DUMP'!36:36)/30,1))</f>
        <v>0</v>
      </c>
      <c r="AM37" s="21">
        <f ca="1">IF($D37="","",SUMIF('TALLY BOX DUMP'!$1:$1,'ACH CALC'!AM$2,'TALLY BOX DUMP'!36:36))</f>
        <v>0</v>
      </c>
      <c r="AN37" s="21">
        <f ca="1">IF($D37="","",SUMIF('TALLY BOX DUMP'!$1:$1,'ACH CALC'!AN$2,'TALLY BOX DUMP'!36:36))</f>
        <v>0</v>
      </c>
      <c r="AO37" s="21">
        <f ca="1">IF($D37="","",SUMIF('TALLY BOX DUMP'!$1:$1,'ACH CALC'!AO$2,'TALLY BOX DUMP'!36:36))</f>
        <v>0</v>
      </c>
      <c r="AP37" s="21">
        <f ca="1">IF($D37="","",SUMIF('TALLY BOX DUMP'!$1:$1,'ACH CALC'!AP$2,'TALLY BOX DUMP'!36:36))</f>
        <v>0</v>
      </c>
      <c r="AQ37" s="21">
        <f ca="1">IF($D37="","",ROUND(SUMIF('TALLY KG DUMP'!$1:$1,'ACH CALC'!AQ$2,'TALLY KG DUMP'!36:36)/30,1))</f>
        <v>0</v>
      </c>
      <c r="AR37" s="21">
        <f ca="1">IF($D37="","",SUMIF('TALLY BOX DUMP'!$1:$1,'ACH CALC'!AR$2,'TALLY BOX DUMP'!36:36))</f>
        <v>0</v>
      </c>
      <c r="AS37" s="21">
        <f ca="1">IF($D37="","",SUMIF('TALLY BOX DUMP'!$1:$1,'ACH CALC'!AS$2,'TALLY BOX DUMP'!36:36))</f>
        <v>0</v>
      </c>
      <c r="AT37" s="21">
        <f ca="1">IF($D37="","",SUMIF('TALLY BOX DUMP'!$1:$1,'ACH CALC'!AT$2,'TALLY BOX DUMP'!36:36))</f>
        <v>0</v>
      </c>
      <c r="AU37" s="21">
        <f ca="1">IF($D37="","",SUMIF('TALLY BOX DUMP'!$1:$1,'ACH CALC'!AU$2,'TALLY BOX DUMP'!36:36))</f>
        <v>0</v>
      </c>
      <c r="AV37" s="21">
        <f ca="1">IF($D37="","",SUMIF('TALLY BOX DUMP'!$1:$1,'ACH CALC'!AV$2,'TALLY BOX DUMP'!36:36))</f>
        <v>0</v>
      </c>
      <c r="AW37" s="21">
        <f ca="1">IF($D37="","",SUMIF('TALLY BOX DUMP'!$1:$1,'ACH CALC'!AW$2,'TALLY BOX DUMP'!36:36))</f>
        <v>0</v>
      </c>
      <c r="AX37" s="21">
        <f ca="1">IF($D37="","",SUMIF('TALLY BOX DUMP'!$1:$1,'ACH CALC'!AX$2,'TALLY BOX DUMP'!36:36))</f>
        <v>0</v>
      </c>
      <c r="AY37" s="21">
        <f ca="1">IF($D37="","",SUMIF('TALLY BOX DUMP'!$1:$1,'ACH CALC'!AY$2,'TALLY BOX DUMP'!36:36))</f>
        <v>0</v>
      </c>
      <c r="AZ37" s="21">
        <f ca="1">IF($D37="","",SUMIF('TALLY BOX DUMP'!$1:$1,'ACH CALC'!AZ$2,'TALLY BOX DUMP'!36:36))</f>
        <v>0</v>
      </c>
      <c r="BA37" s="69">
        <f>(SUMIF('TALLY KG DUMP'!$2:$2,"Qty",'TALLY KG DUMP'!36:36)/1000)-(SUMIF('TALLY KG DUMP'!$1:$1,"GL",'TALLY KG DUMP'!36:36)/1000)</f>
        <v>0.91</v>
      </c>
      <c r="BB37" s="21" t="b">
        <f t="shared" ca="1" si="2"/>
        <v>1</v>
      </c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</row>
    <row r="38" spans="2:75" x14ac:dyDescent="0.25">
      <c r="B38" s="21" t="str">
        <f ca="1"/>
        <v>35</v>
      </c>
      <c r="C38" s="21" t="str">
        <f ca="1"/>
        <v>SUN04540</v>
      </c>
      <c r="D38" s="21" t="str">
        <f ca="1"/>
        <v>PUDUKKOTTAI-SURYA OIL STORES</v>
      </c>
      <c r="E38" s="21">
        <f ca="1">IF($D38="","",(SUMIF('TALLY KG DUMP'!$2:$2,"Qty",'TALLY KG DUMP'!37:37)/1000)-(SUMIF('TALLY KG DUMP'!$1:$1,"GL",'TALLY KG DUMP'!37:37)/1000))</f>
        <v>0.91</v>
      </c>
      <c r="F38" s="21">
        <f ca="1">IF($D38="","",(SUMIF('TALLY KG DUMP'!$1:$1,'ACH CALC'!F$2,'TALLY KG DUMP'!37:37)/1000))</f>
        <v>0</v>
      </c>
      <c r="G38" s="21">
        <f ca="1">IF($D38="","",SUMIF('TALLY BOX DUMP'!$1:$1,'ACH CALC'!G$2,'TALLY BOX DUMP'!37:37)+Y38)</f>
        <v>0</v>
      </c>
      <c r="H38" s="21">
        <f t="shared" ca="1" si="0"/>
        <v>0</v>
      </c>
      <c r="I38" s="21">
        <f ca="1">IF($D38="","",SUMIF('TALLY BOX DUMP'!$1:$1,'ACH CALC'!I$2,'TALLY BOX DUMP'!37:37)+AA38)</f>
        <v>0</v>
      </c>
      <c r="J38" s="21">
        <f ca="1">IF($D38="","",SUMIF('TALLY BOX DUMP'!$1:$1,'ACH CALC'!J$2,'TALLY BOX DUMP'!37:37)+AB38)</f>
        <v>0</v>
      </c>
      <c r="K38" s="21">
        <f ca="1">IF($D38="","",SUMIF('TALLY BOX DUMP'!$1:$1,'ACH CALC'!K$2,'TALLY BOX DUMP'!37:37)+AC38)</f>
        <v>0</v>
      </c>
      <c r="L38" s="21">
        <f ca="1">IF($D38="","",SUMIF('TALLY BOX DUMP'!$1:$1,'ACH CALC'!L$2,'TALLY BOX DUMP'!37:37))</f>
        <v>0</v>
      </c>
      <c r="M38" s="21">
        <f ca="1">IF($D38="","",SUMIF('TALLY BOX DUMP'!$1:$1,'ACH CALC'!M$2,'TALLY BOX DUMP'!37:37)+AD38)</f>
        <v>0</v>
      </c>
      <c r="N38" s="21">
        <f ca="1">IF($D38="","",SUMIF('TALLY BOX DUMP'!$1:$1,'ACH CALC'!N$2,'TALLY BOX DUMP'!37:37))</f>
        <v>0</v>
      </c>
      <c r="O38" s="21">
        <f ca="1">IF($D38="","",SUMIF('TALLY BOX DUMP'!$1:$1,'ACH CALC'!O$2,'TALLY BOX DUMP'!37:37))</f>
        <v>0</v>
      </c>
      <c r="P38" s="21">
        <f ca="1">IF($D38="","",SUMIF('TALLY BOX DUMP'!$1:$1,'ACH CALC'!P$2,'TALLY BOX DUMP'!37:37))</f>
        <v>0</v>
      </c>
      <c r="Q38" s="21">
        <f t="shared" ca="1" si="1"/>
        <v>0</v>
      </c>
      <c r="R38" s="21">
        <f ca="1">IF($D38="","",SUMIF('TALLY BOX DUMP'!$1:$1,'ACH CALC'!R$2,'TALLY BOX DUMP'!37:37))</f>
        <v>0</v>
      </c>
      <c r="S38" s="21">
        <f ca="1">IF($D38="","",SUMIF('TALLY BOX DUMP'!$1:$1,'ACH CALC'!S$2,'TALLY BOX DUMP'!37:37))</f>
        <v>0</v>
      </c>
      <c r="T38" s="21">
        <f ca="1">IF($D38="","",SUMIF('TALLY BOX DUMP'!$1:$1,'ACH CALC'!T$2,'TALLY BOX DUMP'!37:37))</f>
        <v>0</v>
      </c>
      <c r="U38" s="21">
        <f ca="1">IF($D38="","",SUMIF('TALLY BOX DUMP'!$1:$1,'ACH CALC'!U$2,'TALLY BOX DUMP'!37:37))</f>
        <v>0</v>
      </c>
      <c r="V38" s="21">
        <f ca="1">IF($D38="","",SUMIF('TALLY BOX DUMP'!$1:$1,'ACH CALC'!V$2,'TALLY BOX DUMP'!37:37))</f>
        <v>0</v>
      </c>
      <c r="W38" s="21">
        <f ca="1">IF($D38="","",SUMIF('TALLY BOX DUMP'!$1:$1,'ACH CALC'!W$2,'TALLY BOX DUMP'!37:37))</f>
        <v>0</v>
      </c>
      <c r="X38" s="21">
        <f ca="1">IF($D38="","",SUMIF('TALLY BOX DUMP'!$1:$1,'ACH CALC'!X$2,'TALLY BOX DUMP'!37:37))</f>
        <v>0</v>
      </c>
      <c r="Y38" s="21">
        <f ca="1">IF($D38="","",SUMIF('TALLY BOX DUMP'!$1:$1,'ACH CALC'!Y$2,'TALLY BOX DUMP'!37:37))</f>
        <v>0</v>
      </c>
      <c r="Z38" s="21">
        <f ca="1">IF($D38="","",SUMIF('TALLY BOX DUMP'!$1:$1,'ACH CALC'!Z$2,'TALLY BOX DUMP'!37:37)+AE38)</f>
        <v>0</v>
      </c>
      <c r="AA38" s="21">
        <f ca="1">IF($D38="","",SUMIF('TALLY BOX DUMP'!$1:$1,'ACH CALC'!AA$2,'TALLY BOX DUMP'!37:37))</f>
        <v>0</v>
      </c>
      <c r="AB38" s="21">
        <f ca="1">IF($D38="","",SUMIF('TALLY BOX DUMP'!$1:$1,'ACH CALC'!AB$2,'TALLY BOX DUMP'!37:37))</f>
        <v>0</v>
      </c>
      <c r="AC38" s="21">
        <f ca="1">IF($D38="","",SUMIF('TALLY BOX DUMP'!$1:$1,'ACH CALC'!AC$2,'TALLY BOX DUMP'!37:37))</f>
        <v>0</v>
      </c>
      <c r="AD38" s="21">
        <f ca="1">IF($D38="","",SUMIF('TALLY BOX DUMP'!$1:$1,'ACH CALC'!AD$2,'TALLY BOX DUMP'!37:37))</f>
        <v>0</v>
      </c>
      <c r="AE38" s="21">
        <f ca="1">IF($D38="","",SUMIF('TALLY BOX DUMP'!$1:$1,'ACH CALC'!AE$2,'TALLY BOX DUMP'!37:37))</f>
        <v>0</v>
      </c>
      <c r="AF38" s="21">
        <f ca="1">IF($D38="","",SUMIF('TALLY BOX DUMP'!$1:$1,'ACH CALC'!AF$2,'TALLY BOX DUMP'!37:37))</f>
        <v>0</v>
      </c>
      <c r="AG38" s="21">
        <f ca="1">IF($D38="","",SUMIF('TALLY BOX DUMP'!$1:$1,'ACH CALC'!AG$2,'TALLY BOX DUMP'!37:37))</f>
        <v>0</v>
      </c>
      <c r="AH38" s="21">
        <f ca="1">IF($D38="","",SUMIF('TALLY BOX DUMP'!$1:$1,'ACH CALC'!AH$2,'TALLY BOX DUMP'!37:37))</f>
        <v>0</v>
      </c>
      <c r="AI38" s="21">
        <f ca="1">IF($D38="","",SUMIF('TALLY BOX DUMP'!$1:$1,'ACH CALC'!AI$2,'TALLY BOX DUMP'!37:37))</f>
        <v>0</v>
      </c>
      <c r="AJ38" s="21">
        <f ca="1">IF($D38="","",SUMIF('TALLY BOX DUMP'!$1:$1,'ACH CALC'!AJ$2,'TALLY BOX DUMP'!37:37))</f>
        <v>0</v>
      </c>
      <c r="AK38" s="21">
        <f ca="1">IF($D38="","",SUMIF('TALLY BOX DUMP'!$1:$1,'ACH CALC'!AK$2,'TALLY BOX DUMP'!37:37))</f>
        <v>0</v>
      </c>
      <c r="AL38" s="21">
        <f ca="1">IF($D38="","",ROUND(SUMIF('TALLY KG DUMP'!$1:$1,'ACH CALC'!AL$2,'TALLY KG DUMP'!37:37)/30,1))</f>
        <v>0</v>
      </c>
      <c r="AM38" s="21">
        <f ca="1">IF($D38="","",SUMIF('TALLY BOX DUMP'!$1:$1,'ACH CALC'!AM$2,'TALLY BOX DUMP'!37:37))</f>
        <v>0</v>
      </c>
      <c r="AN38" s="21">
        <f ca="1">IF($D38="","",SUMIF('TALLY BOX DUMP'!$1:$1,'ACH CALC'!AN$2,'TALLY BOX DUMP'!37:37))</f>
        <v>0</v>
      </c>
      <c r="AO38" s="21">
        <f ca="1">IF($D38="","",SUMIF('TALLY BOX DUMP'!$1:$1,'ACH CALC'!AO$2,'TALLY BOX DUMP'!37:37))</f>
        <v>0</v>
      </c>
      <c r="AP38" s="21">
        <f ca="1">IF($D38="","",SUMIF('TALLY BOX DUMP'!$1:$1,'ACH CALC'!AP$2,'TALLY BOX DUMP'!37:37))</f>
        <v>0</v>
      </c>
      <c r="AQ38" s="21">
        <f ca="1">IF($D38="","",ROUND(SUMIF('TALLY KG DUMP'!$1:$1,'ACH CALC'!AQ$2,'TALLY KG DUMP'!37:37)/30,1))</f>
        <v>0</v>
      </c>
      <c r="AR38" s="21">
        <f ca="1">IF($D38="","",SUMIF('TALLY BOX DUMP'!$1:$1,'ACH CALC'!AR$2,'TALLY BOX DUMP'!37:37))</f>
        <v>0</v>
      </c>
      <c r="AS38" s="21">
        <f ca="1">IF($D38="","",SUMIF('TALLY BOX DUMP'!$1:$1,'ACH CALC'!AS$2,'TALLY BOX DUMP'!37:37))</f>
        <v>0</v>
      </c>
      <c r="AT38" s="21">
        <f ca="1">IF($D38="","",SUMIF('TALLY BOX DUMP'!$1:$1,'ACH CALC'!AT$2,'TALLY BOX DUMP'!37:37))</f>
        <v>0</v>
      </c>
      <c r="AU38" s="21">
        <f ca="1">IF($D38="","",SUMIF('TALLY BOX DUMP'!$1:$1,'ACH CALC'!AU$2,'TALLY BOX DUMP'!37:37))</f>
        <v>0</v>
      </c>
      <c r="AV38" s="21">
        <f ca="1">IF($D38="","",SUMIF('TALLY BOX DUMP'!$1:$1,'ACH CALC'!AV$2,'TALLY BOX DUMP'!37:37))</f>
        <v>0</v>
      </c>
      <c r="AW38" s="21">
        <f ca="1">IF($D38="","",SUMIF('TALLY BOX DUMP'!$1:$1,'ACH CALC'!AW$2,'TALLY BOX DUMP'!37:37))</f>
        <v>0</v>
      </c>
      <c r="AX38" s="21">
        <f ca="1">IF($D38="","",SUMIF('TALLY BOX DUMP'!$1:$1,'ACH CALC'!AX$2,'TALLY BOX DUMP'!37:37))</f>
        <v>0</v>
      </c>
      <c r="AY38" s="21">
        <f ca="1">IF($D38="","",SUMIF('TALLY BOX DUMP'!$1:$1,'ACH CALC'!AY$2,'TALLY BOX DUMP'!37:37))</f>
        <v>0</v>
      </c>
      <c r="AZ38" s="21">
        <f ca="1">IF($D38="","",SUMIF('TALLY BOX DUMP'!$1:$1,'ACH CALC'!AZ$2,'TALLY BOX DUMP'!37:37))</f>
        <v>0</v>
      </c>
      <c r="BA38" s="69">
        <f>(SUMIF('TALLY KG DUMP'!$2:$2,"Qty",'TALLY KG DUMP'!37:37)/1000)-(SUMIF('TALLY KG DUMP'!$1:$1,"GL",'TALLY KG DUMP'!37:37)/1000)</f>
        <v>0.91</v>
      </c>
      <c r="BB38" s="21" t="b">
        <f t="shared" ca="1" si="2"/>
        <v>1</v>
      </c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</row>
    <row r="39" spans="2:75" x14ac:dyDescent="0.25">
      <c r="B39" s="21" t="str">
        <f ca="1"/>
        <v>36</v>
      </c>
      <c r="C39" s="21" t="str">
        <f ca="1"/>
        <v>SUN03828</v>
      </c>
      <c r="D39" s="21" t="str">
        <f ca="1"/>
        <v>ANNUR, GEM EDIBLE OIL (PRIVATE) LTD</v>
      </c>
      <c r="E39" s="21">
        <f ca="1">IF($D39="","",(SUMIF('TALLY KG DUMP'!$2:$2,"Qty",'TALLY KG DUMP'!38:38)/1000)-(SUMIF('TALLY KG DUMP'!$1:$1,"GL",'TALLY KG DUMP'!38:38)/1000))</f>
        <v>0</v>
      </c>
      <c r="F39" s="21">
        <f ca="1">IF($D39="","",(SUMIF('TALLY KG DUMP'!$1:$1,'ACH CALC'!F$2,'TALLY KG DUMP'!38:38)/1000))</f>
        <v>0</v>
      </c>
      <c r="G39" s="21">
        <f ca="1">IF($D39="","",SUMIF('TALLY BOX DUMP'!$1:$1,'ACH CALC'!G$2,'TALLY BOX DUMP'!38:38)+Y39)</f>
        <v>0</v>
      </c>
      <c r="H39" s="21">
        <f t="shared" ca="1" si="0"/>
        <v>0</v>
      </c>
      <c r="I39" s="21">
        <f ca="1">IF($D39="","",SUMIF('TALLY BOX DUMP'!$1:$1,'ACH CALC'!I$2,'TALLY BOX DUMP'!38:38)+AA39)</f>
        <v>0</v>
      </c>
      <c r="J39" s="21">
        <f ca="1">IF($D39="","",SUMIF('TALLY BOX DUMP'!$1:$1,'ACH CALC'!J$2,'TALLY BOX DUMP'!38:38)+AB39)</f>
        <v>0</v>
      </c>
      <c r="K39" s="21">
        <f ca="1">IF($D39="","",SUMIF('TALLY BOX DUMP'!$1:$1,'ACH CALC'!K$2,'TALLY BOX DUMP'!38:38)+AC39)</f>
        <v>0</v>
      </c>
      <c r="L39" s="21">
        <f ca="1">IF($D39="","",SUMIF('TALLY BOX DUMP'!$1:$1,'ACH CALC'!L$2,'TALLY BOX DUMP'!38:38))</f>
        <v>0</v>
      </c>
      <c r="M39" s="21">
        <f ca="1">IF($D39="","",SUMIF('TALLY BOX DUMP'!$1:$1,'ACH CALC'!M$2,'TALLY BOX DUMP'!38:38)+AD39)</f>
        <v>0</v>
      </c>
      <c r="N39" s="21">
        <f ca="1">IF($D39="","",SUMIF('TALLY BOX DUMP'!$1:$1,'ACH CALC'!N$2,'TALLY BOX DUMP'!38:38))</f>
        <v>0</v>
      </c>
      <c r="O39" s="21">
        <f ca="1">IF($D39="","",SUMIF('TALLY BOX DUMP'!$1:$1,'ACH CALC'!O$2,'TALLY BOX DUMP'!38:38))</f>
        <v>0</v>
      </c>
      <c r="P39" s="21">
        <f ca="1">IF($D39="","",SUMIF('TALLY BOX DUMP'!$1:$1,'ACH CALC'!P$2,'TALLY BOX DUMP'!38:38))</f>
        <v>0</v>
      </c>
      <c r="Q39" s="21">
        <f t="shared" ca="1" si="1"/>
        <v>0</v>
      </c>
      <c r="R39" s="21">
        <f ca="1">IF($D39="","",SUMIF('TALLY BOX DUMP'!$1:$1,'ACH CALC'!R$2,'TALLY BOX DUMP'!38:38))</f>
        <v>0</v>
      </c>
      <c r="S39" s="21">
        <f ca="1">IF($D39="","",SUMIF('TALLY BOX DUMP'!$1:$1,'ACH CALC'!S$2,'TALLY BOX DUMP'!38:38))</f>
        <v>0</v>
      </c>
      <c r="T39" s="21">
        <f ca="1">IF($D39="","",SUMIF('TALLY BOX DUMP'!$1:$1,'ACH CALC'!T$2,'TALLY BOX DUMP'!38:38))</f>
        <v>0</v>
      </c>
      <c r="U39" s="21">
        <f ca="1">IF($D39="","",SUMIF('TALLY BOX DUMP'!$1:$1,'ACH CALC'!U$2,'TALLY BOX DUMP'!38:38))</f>
        <v>0</v>
      </c>
      <c r="V39" s="21">
        <f ca="1">IF($D39="","",SUMIF('TALLY BOX DUMP'!$1:$1,'ACH CALC'!V$2,'TALLY BOX DUMP'!38:38))</f>
        <v>0</v>
      </c>
      <c r="W39" s="21">
        <f ca="1">IF($D39="","",SUMIF('TALLY BOX DUMP'!$1:$1,'ACH CALC'!W$2,'TALLY BOX DUMP'!38:38))</f>
        <v>0</v>
      </c>
      <c r="X39" s="21">
        <f ca="1">IF($D39="","",SUMIF('TALLY BOX DUMP'!$1:$1,'ACH CALC'!X$2,'TALLY BOX DUMP'!38:38))</f>
        <v>0</v>
      </c>
      <c r="Y39" s="21">
        <f ca="1">IF($D39="","",SUMIF('TALLY BOX DUMP'!$1:$1,'ACH CALC'!Y$2,'TALLY BOX DUMP'!38:38))</f>
        <v>0</v>
      </c>
      <c r="Z39" s="21">
        <f ca="1">IF($D39="","",SUMIF('TALLY BOX DUMP'!$1:$1,'ACH CALC'!Z$2,'TALLY BOX DUMP'!38:38)+AE39)</f>
        <v>0</v>
      </c>
      <c r="AA39" s="21">
        <f ca="1">IF($D39="","",SUMIF('TALLY BOX DUMP'!$1:$1,'ACH CALC'!AA$2,'TALLY BOX DUMP'!38:38))</f>
        <v>0</v>
      </c>
      <c r="AB39" s="21">
        <f ca="1">IF($D39="","",SUMIF('TALLY BOX DUMP'!$1:$1,'ACH CALC'!AB$2,'TALLY BOX DUMP'!38:38))</f>
        <v>0</v>
      </c>
      <c r="AC39" s="21">
        <f ca="1">IF($D39="","",SUMIF('TALLY BOX DUMP'!$1:$1,'ACH CALC'!AC$2,'TALLY BOX DUMP'!38:38))</f>
        <v>0</v>
      </c>
      <c r="AD39" s="21">
        <f ca="1">IF($D39="","",SUMIF('TALLY BOX DUMP'!$1:$1,'ACH CALC'!AD$2,'TALLY BOX DUMP'!38:38))</f>
        <v>0</v>
      </c>
      <c r="AE39" s="21">
        <f ca="1">IF($D39="","",SUMIF('TALLY BOX DUMP'!$1:$1,'ACH CALC'!AE$2,'TALLY BOX DUMP'!38:38))</f>
        <v>0</v>
      </c>
      <c r="AF39" s="21">
        <f ca="1">IF($D39="","",SUMIF('TALLY BOX DUMP'!$1:$1,'ACH CALC'!AF$2,'TALLY BOX DUMP'!38:38))</f>
        <v>0</v>
      </c>
      <c r="AG39" s="21">
        <f ca="1">IF($D39="","",SUMIF('TALLY BOX DUMP'!$1:$1,'ACH CALC'!AG$2,'TALLY BOX DUMP'!38:38))</f>
        <v>0</v>
      </c>
      <c r="AH39" s="21">
        <f ca="1">IF($D39="","",SUMIF('TALLY BOX DUMP'!$1:$1,'ACH CALC'!AH$2,'TALLY BOX DUMP'!38:38))</f>
        <v>0</v>
      </c>
      <c r="AI39" s="21">
        <f ca="1">IF($D39="","",SUMIF('TALLY BOX DUMP'!$1:$1,'ACH CALC'!AI$2,'TALLY BOX DUMP'!38:38))</f>
        <v>0</v>
      </c>
      <c r="AJ39" s="21">
        <f ca="1">IF($D39="","",SUMIF('TALLY BOX DUMP'!$1:$1,'ACH CALC'!AJ$2,'TALLY BOX DUMP'!38:38))</f>
        <v>0</v>
      </c>
      <c r="AK39" s="21">
        <f ca="1">IF($D39="","",SUMIF('TALLY BOX DUMP'!$1:$1,'ACH CALC'!AK$2,'TALLY BOX DUMP'!38:38))</f>
        <v>0</v>
      </c>
      <c r="AL39" s="21">
        <f ca="1">IF($D39="","",ROUND(SUMIF('TALLY KG DUMP'!$1:$1,'ACH CALC'!AL$2,'TALLY KG DUMP'!38:38)/30,1))</f>
        <v>0</v>
      </c>
      <c r="AM39" s="21">
        <f ca="1">IF($D39="","",SUMIF('TALLY BOX DUMP'!$1:$1,'ACH CALC'!AM$2,'TALLY BOX DUMP'!38:38))</f>
        <v>0</v>
      </c>
      <c r="AN39" s="21">
        <f ca="1">IF($D39="","",SUMIF('TALLY BOX DUMP'!$1:$1,'ACH CALC'!AN$2,'TALLY BOX DUMP'!38:38))</f>
        <v>0</v>
      </c>
      <c r="AO39" s="21">
        <f ca="1">IF($D39="","",SUMIF('TALLY BOX DUMP'!$1:$1,'ACH CALC'!AO$2,'TALLY BOX DUMP'!38:38))</f>
        <v>0</v>
      </c>
      <c r="AP39" s="21">
        <f ca="1">IF($D39="","",SUMIF('TALLY BOX DUMP'!$1:$1,'ACH CALC'!AP$2,'TALLY BOX DUMP'!38:38))</f>
        <v>0</v>
      </c>
      <c r="AQ39" s="21">
        <f ca="1">IF($D39="","",ROUND(SUMIF('TALLY KG DUMP'!$1:$1,'ACH CALC'!AQ$2,'TALLY KG DUMP'!38:38)/30,1))</f>
        <v>0</v>
      </c>
      <c r="AR39" s="21">
        <f ca="1">IF($D39="","",SUMIF('TALLY BOX DUMP'!$1:$1,'ACH CALC'!AR$2,'TALLY BOX DUMP'!38:38))</f>
        <v>0</v>
      </c>
      <c r="AS39" s="21">
        <f ca="1">IF($D39="","",SUMIF('TALLY BOX DUMP'!$1:$1,'ACH CALC'!AS$2,'TALLY BOX DUMP'!38:38))</f>
        <v>0</v>
      </c>
      <c r="AT39" s="21">
        <f ca="1">IF($D39="","",SUMIF('TALLY BOX DUMP'!$1:$1,'ACH CALC'!AT$2,'TALLY BOX DUMP'!38:38))</f>
        <v>0</v>
      </c>
      <c r="AU39" s="21">
        <f ca="1">IF($D39="","",SUMIF('TALLY BOX DUMP'!$1:$1,'ACH CALC'!AU$2,'TALLY BOX DUMP'!38:38))</f>
        <v>0</v>
      </c>
      <c r="AV39" s="21">
        <f ca="1">IF($D39="","",SUMIF('TALLY BOX DUMP'!$1:$1,'ACH CALC'!AV$2,'TALLY BOX DUMP'!38:38))</f>
        <v>0</v>
      </c>
      <c r="AW39" s="21">
        <f ca="1">IF($D39="","",SUMIF('TALLY BOX DUMP'!$1:$1,'ACH CALC'!AW$2,'TALLY BOX DUMP'!38:38))</f>
        <v>0</v>
      </c>
      <c r="AX39" s="21">
        <f ca="1">IF($D39="","",SUMIF('TALLY BOX DUMP'!$1:$1,'ACH CALC'!AX$2,'TALLY BOX DUMP'!38:38))</f>
        <v>0</v>
      </c>
      <c r="AY39" s="21">
        <f ca="1">IF($D39="","",SUMIF('TALLY BOX DUMP'!$1:$1,'ACH CALC'!AY$2,'TALLY BOX DUMP'!38:38))</f>
        <v>0</v>
      </c>
      <c r="AZ39" s="21">
        <f ca="1">IF($D39="","",SUMIF('TALLY BOX DUMP'!$1:$1,'ACH CALC'!AZ$2,'TALLY BOX DUMP'!38:38))</f>
        <v>0</v>
      </c>
      <c r="BA39" s="69">
        <f>(SUMIF('TALLY KG DUMP'!$2:$2,"Qty",'TALLY KG DUMP'!38:38)/1000)-(SUMIF('TALLY KG DUMP'!$1:$1,"GL",'TALLY KG DUMP'!38:38)/1000)</f>
        <v>0</v>
      </c>
      <c r="BB39" s="21" t="b">
        <f t="shared" ca="1" si="2"/>
        <v>1</v>
      </c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</row>
    <row r="40" spans="2:75" x14ac:dyDescent="0.25">
      <c r="B40" s="21" t="str">
        <f ca="1"/>
        <v>37</v>
      </c>
      <c r="C40" s="21" t="str">
        <f ca="1"/>
        <v>SUN07301</v>
      </c>
      <c r="D40" s="21" t="str">
        <f ca="1"/>
        <v>MP-WELCOME INDUSTRIES</v>
      </c>
      <c r="E40" s="21">
        <f ca="1">IF($D40="","",(SUMIF('TALLY KG DUMP'!$2:$2,"Qty",'TALLY KG DUMP'!39:39)/1000)-(SUMIF('TALLY KG DUMP'!$1:$1,"GL",'TALLY KG DUMP'!39:39)/1000))</f>
        <v>0</v>
      </c>
      <c r="F40" s="21">
        <f ca="1">IF($D40="","",(SUMIF('TALLY KG DUMP'!$1:$1,'ACH CALC'!F$2,'TALLY KG DUMP'!39:39)/1000))</f>
        <v>0</v>
      </c>
      <c r="G40" s="21">
        <f ca="1">IF($D40="","",SUMIF('TALLY BOX DUMP'!$1:$1,'ACH CALC'!G$2,'TALLY BOX DUMP'!39:39)+Y40)</f>
        <v>0</v>
      </c>
      <c r="H40" s="21">
        <f t="shared" ca="1" si="0"/>
        <v>0</v>
      </c>
      <c r="I40" s="21">
        <f ca="1">IF($D40="","",SUMIF('TALLY BOX DUMP'!$1:$1,'ACH CALC'!I$2,'TALLY BOX DUMP'!39:39)+AA40)</f>
        <v>0</v>
      </c>
      <c r="J40" s="21">
        <f ca="1">IF($D40="","",SUMIF('TALLY BOX DUMP'!$1:$1,'ACH CALC'!J$2,'TALLY BOX DUMP'!39:39)+AB40)</f>
        <v>0</v>
      </c>
      <c r="K40" s="21">
        <f ca="1">IF($D40="","",SUMIF('TALLY BOX DUMP'!$1:$1,'ACH CALC'!K$2,'TALLY BOX DUMP'!39:39)+AC40)</f>
        <v>0</v>
      </c>
      <c r="L40" s="21">
        <f ca="1">IF($D40="","",SUMIF('TALLY BOX DUMP'!$1:$1,'ACH CALC'!L$2,'TALLY BOX DUMP'!39:39))</f>
        <v>0</v>
      </c>
      <c r="M40" s="21">
        <f ca="1">IF($D40="","",SUMIF('TALLY BOX DUMP'!$1:$1,'ACH CALC'!M$2,'TALLY BOX DUMP'!39:39)+AD40)</f>
        <v>0</v>
      </c>
      <c r="N40" s="21">
        <f ca="1">IF($D40="","",SUMIF('TALLY BOX DUMP'!$1:$1,'ACH CALC'!N$2,'TALLY BOX DUMP'!39:39))</f>
        <v>0</v>
      </c>
      <c r="O40" s="21">
        <f ca="1">IF($D40="","",SUMIF('TALLY BOX DUMP'!$1:$1,'ACH CALC'!O$2,'TALLY BOX DUMP'!39:39))</f>
        <v>0</v>
      </c>
      <c r="P40" s="21">
        <f ca="1">IF($D40="","",SUMIF('TALLY BOX DUMP'!$1:$1,'ACH CALC'!P$2,'TALLY BOX DUMP'!39:39))</f>
        <v>0</v>
      </c>
      <c r="Q40" s="21">
        <f t="shared" ca="1" si="1"/>
        <v>0</v>
      </c>
      <c r="R40" s="21">
        <f ca="1">IF($D40="","",SUMIF('TALLY BOX DUMP'!$1:$1,'ACH CALC'!R$2,'TALLY BOX DUMP'!39:39))</f>
        <v>0</v>
      </c>
      <c r="S40" s="21">
        <f ca="1">IF($D40="","",SUMIF('TALLY BOX DUMP'!$1:$1,'ACH CALC'!S$2,'TALLY BOX DUMP'!39:39))</f>
        <v>0</v>
      </c>
      <c r="T40" s="21">
        <f ca="1">IF($D40="","",SUMIF('TALLY BOX DUMP'!$1:$1,'ACH CALC'!T$2,'TALLY BOX DUMP'!39:39))</f>
        <v>0</v>
      </c>
      <c r="U40" s="21">
        <f ca="1">IF($D40="","",SUMIF('TALLY BOX DUMP'!$1:$1,'ACH CALC'!U$2,'TALLY BOX DUMP'!39:39))</f>
        <v>0</v>
      </c>
      <c r="V40" s="21">
        <f ca="1">IF($D40="","",SUMIF('TALLY BOX DUMP'!$1:$1,'ACH CALC'!V$2,'TALLY BOX DUMP'!39:39))</f>
        <v>0</v>
      </c>
      <c r="W40" s="21">
        <f ca="1">IF($D40="","",SUMIF('TALLY BOX DUMP'!$1:$1,'ACH CALC'!W$2,'TALLY BOX DUMP'!39:39))</f>
        <v>0</v>
      </c>
      <c r="X40" s="21">
        <f ca="1">IF($D40="","",SUMIF('TALLY BOX DUMP'!$1:$1,'ACH CALC'!X$2,'TALLY BOX DUMP'!39:39))</f>
        <v>0</v>
      </c>
      <c r="Y40" s="21">
        <f ca="1">IF($D40="","",SUMIF('TALLY BOX DUMP'!$1:$1,'ACH CALC'!Y$2,'TALLY BOX DUMP'!39:39))</f>
        <v>0</v>
      </c>
      <c r="Z40" s="21">
        <f ca="1">IF($D40="","",SUMIF('TALLY BOX DUMP'!$1:$1,'ACH CALC'!Z$2,'TALLY BOX DUMP'!39:39)+AE40)</f>
        <v>0</v>
      </c>
      <c r="AA40" s="21">
        <f ca="1">IF($D40="","",SUMIF('TALLY BOX DUMP'!$1:$1,'ACH CALC'!AA$2,'TALLY BOX DUMP'!39:39))</f>
        <v>0</v>
      </c>
      <c r="AB40" s="21">
        <f ca="1">IF($D40="","",SUMIF('TALLY BOX DUMP'!$1:$1,'ACH CALC'!AB$2,'TALLY BOX DUMP'!39:39))</f>
        <v>0</v>
      </c>
      <c r="AC40" s="21">
        <f ca="1">IF($D40="","",SUMIF('TALLY BOX DUMP'!$1:$1,'ACH CALC'!AC$2,'TALLY BOX DUMP'!39:39))</f>
        <v>0</v>
      </c>
      <c r="AD40" s="21">
        <f ca="1">IF($D40="","",SUMIF('TALLY BOX DUMP'!$1:$1,'ACH CALC'!AD$2,'TALLY BOX DUMP'!39:39))</f>
        <v>0</v>
      </c>
      <c r="AE40" s="21">
        <f ca="1">IF($D40="","",SUMIF('TALLY BOX DUMP'!$1:$1,'ACH CALC'!AE$2,'TALLY BOX DUMP'!39:39))</f>
        <v>0</v>
      </c>
      <c r="AF40" s="21">
        <f ca="1">IF($D40="","",SUMIF('TALLY BOX DUMP'!$1:$1,'ACH CALC'!AF$2,'TALLY BOX DUMP'!39:39))</f>
        <v>0</v>
      </c>
      <c r="AG40" s="21">
        <f ca="1">IF($D40="","",SUMIF('TALLY BOX DUMP'!$1:$1,'ACH CALC'!AG$2,'TALLY BOX DUMP'!39:39))</f>
        <v>0</v>
      </c>
      <c r="AH40" s="21">
        <f ca="1">IF($D40="","",SUMIF('TALLY BOX DUMP'!$1:$1,'ACH CALC'!AH$2,'TALLY BOX DUMP'!39:39))</f>
        <v>0</v>
      </c>
      <c r="AI40" s="21">
        <f ca="1">IF($D40="","",SUMIF('TALLY BOX DUMP'!$1:$1,'ACH CALC'!AI$2,'TALLY BOX DUMP'!39:39))</f>
        <v>0</v>
      </c>
      <c r="AJ40" s="21">
        <f ca="1">IF($D40="","",SUMIF('TALLY BOX DUMP'!$1:$1,'ACH CALC'!AJ$2,'TALLY BOX DUMP'!39:39))</f>
        <v>0</v>
      </c>
      <c r="AK40" s="21">
        <f ca="1">IF($D40="","",SUMIF('TALLY BOX DUMP'!$1:$1,'ACH CALC'!AK$2,'TALLY BOX DUMP'!39:39))</f>
        <v>0</v>
      </c>
      <c r="AL40" s="21">
        <f ca="1">IF($D40="","",ROUND(SUMIF('TALLY KG DUMP'!$1:$1,'ACH CALC'!AL$2,'TALLY KG DUMP'!39:39)/30,1))</f>
        <v>0</v>
      </c>
      <c r="AM40" s="21">
        <f ca="1">IF($D40="","",SUMIF('TALLY BOX DUMP'!$1:$1,'ACH CALC'!AM$2,'TALLY BOX DUMP'!39:39))</f>
        <v>0</v>
      </c>
      <c r="AN40" s="21">
        <f ca="1">IF($D40="","",SUMIF('TALLY BOX DUMP'!$1:$1,'ACH CALC'!AN$2,'TALLY BOX DUMP'!39:39))</f>
        <v>0</v>
      </c>
      <c r="AO40" s="21">
        <f ca="1">IF($D40="","",SUMIF('TALLY BOX DUMP'!$1:$1,'ACH CALC'!AO$2,'TALLY BOX DUMP'!39:39))</f>
        <v>0</v>
      </c>
      <c r="AP40" s="21">
        <f ca="1">IF($D40="","",SUMIF('TALLY BOX DUMP'!$1:$1,'ACH CALC'!AP$2,'TALLY BOX DUMP'!39:39))</f>
        <v>0</v>
      </c>
      <c r="AQ40" s="21">
        <f ca="1">IF($D40="","",ROUND(SUMIF('TALLY KG DUMP'!$1:$1,'ACH CALC'!AQ$2,'TALLY KG DUMP'!39:39)/30,1))</f>
        <v>0</v>
      </c>
      <c r="AR40" s="21">
        <f ca="1">IF($D40="","",SUMIF('TALLY BOX DUMP'!$1:$1,'ACH CALC'!AR$2,'TALLY BOX DUMP'!39:39))</f>
        <v>0</v>
      </c>
      <c r="AS40" s="21">
        <f ca="1">IF($D40="","",SUMIF('TALLY BOX DUMP'!$1:$1,'ACH CALC'!AS$2,'TALLY BOX DUMP'!39:39))</f>
        <v>0</v>
      </c>
      <c r="AT40" s="21">
        <f ca="1">IF($D40="","",SUMIF('TALLY BOX DUMP'!$1:$1,'ACH CALC'!AT$2,'TALLY BOX DUMP'!39:39))</f>
        <v>0</v>
      </c>
      <c r="AU40" s="21">
        <f ca="1">IF($D40="","",SUMIF('TALLY BOX DUMP'!$1:$1,'ACH CALC'!AU$2,'TALLY BOX DUMP'!39:39))</f>
        <v>0</v>
      </c>
      <c r="AV40" s="21">
        <f ca="1">IF($D40="","",SUMIF('TALLY BOX DUMP'!$1:$1,'ACH CALC'!AV$2,'TALLY BOX DUMP'!39:39))</f>
        <v>0</v>
      </c>
      <c r="AW40" s="21">
        <f ca="1">IF($D40="","",SUMIF('TALLY BOX DUMP'!$1:$1,'ACH CALC'!AW$2,'TALLY BOX DUMP'!39:39))</f>
        <v>0</v>
      </c>
      <c r="AX40" s="21">
        <f ca="1">IF($D40="","",SUMIF('TALLY BOX DUMP'!$1:$1,'ACH CALC'!AX$2,'TALLY BOX DUMP'!39:39))</f>
        <v>0</v>
      </c>
      <c r="AY40" s="21">
        <f ca="1">IF($D40="","",SUMIF('TALLY BOX DUMP'!$1:$1,'ACH CALC'!AY$2,'TALLY BOX DUMP'!39:39))</f>
        <v>0</v>
      </c>
      <c r="AZ40" s="21">
        <f ca="1">IF($D40="","",SUMIF('TALLY BOX DUMP'!$1:$1,'ACH CALC'!AZ$2,'TALLY BOX DUMP'!39:39))</f>
        <v>0</v>
      </c>
      <c r="BA40" s="69">
        <f>(SUMIF('TALLY KG DUMP'!$2:$2,"Qty",'TALLY KG DUMP'!39:39)/1000)-(SUMIF('TALLY KG DUMP'!$1:$1,"GL",'TALLY KG DUMP'!39:39)/1000)</f>
        <v>0</v>
      </c>
      <c r="BB40" s="21" t="b">
        <f t="shared" ca="1" si="2"/>
        <v>1</v>
      </c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</row>
    <row r="41" spans="2:75" x14ac:dyDescent="0.25">
      <c r="B41" s="21" t="str">
        <f ca="1"/>
        <v>38</v>
      </c>
      <c r="C41" s="21" t="str">
        <f ca="1"/>
        <v>SUN06511</v>
      </c>
      <c r="D41" s="21" t="str">
        <f ca="1"/>
        <v>PEDDUR-SRI VASAVI AGENCY</v>
      </c>
      <c r="E41" s="21">
        <f ca="1">IF($D41="","",(SUMIF('TALLY KG DUMP'!$2:$2,"Qty",'TALLY KG DUMP'!40:40)/1000)-(SUMIF('TALLY KG DUMP'!$1:$1,"GL",'TALLY KG DUMP'!40:40)/1000))</f>
        <v>0.92400000000000004</v>
      </c>
      <c r="F41" s="21">
        <f ca="1">IF($D41="","",(SUMIF('TALLY KG DUMP'!$1:$1,'ACH CALC'!F$2,'TALLY KG DUMP'!40:40)/1000))</f>
        <v>0</v>
      </c>
      <c r="G41" s="21">
        <f ca="1">IF($D41="","",SUMIF('TALLY BOX DUMP'!$1:$1,'ACH CALC'!G$2,'TALLY BOX DUMP'!40:40)+Y41)</f>
        <v>0</v>
      </c>
      <c r="H41" s="21">
        <f t="shared" ca="1" si="0"/>
        <v>0</v>
      </c>
      <c r="I41" s="21">
        <f ca="1">IF($D41="","",SUMIF('TALLY BOX DUMP'!$1:$1,'ACH CALC'!I$2,'TALLY BOX DUMP'!40:40)+AA41)</f>
        <v>0</v>
      </c>
      <c r="J41" s="21">
        <f ca="1">IF($D41="","",SUMIF('TALLY BOX DUMP'!$1:$1,'ACH CALC'!J$2,'TALLY BOX DUMP'!40:40)+AB41)</f>
        <v>0</v>
      </c>
      <c r="K41" s="21">
        <f ca="1">IF($D41="","",SUMIF('TALLY BOX DUMP'!$1:$1,'ACH CALC'!K$2,'TALLY BOX DUMP'!40:40)+AC41)</f>
        <v>0</v>
      </c>
      <c r="L41" s="21">
        <f ca="1">IF($D41="","",SUMIF('TALLY BOX DUMP'!$1:$1,'ACH CALC'!L$2,'TALLY BOX DUMP'!40:40))</f>
        <v>0</v>
      </c>
      <c r="M41" s="21">
        <f ca="1">IF($D41="","",SUMIF('TALLY BOX DUMP'!$1:$1,'ACH CALC'!M$2,'TALLY BOX DUMP'!40:40)+AD41)</f>
        <v>0</v>
      </c>
      <c r="N41" s="21">
        <f ca="1">IF($D41="","",SUMIF('TALLY BOX DUMP'!$1:$1,'ACH CALC'!N$2,'TALLY BOX DUMP'!40:40))</f>
        <v>0</v>
      </c>
      <c r="O41" s="21">
        <f ca="1">IF($D41="","",SUMIF('TALLY BOX DUMP'!$1:$1,'ACH CALC'!O$2,'TALLY BOX DUMP'!40:40))</f>
        <v>0</v>
      </c>
      <c r="P41" s="21">
        <f ca="1">IF($D41="","",SUMIF('TALLY BOX DUMP'!$1:$1,'ACH CALC'!P$2,'TALLY BOX DUMP'!40:40))</f>
        <v>0</v>
      </c>
      <c r="Q41" s="21">
        <f t="shared" ca="1" si="1"/>
        <v>0</v>
      </c>
      <c r="R41" s="21">
        <f ca="1">IF($D41="","",SUMIF('TALLY BOX DUMP'!$1:$1,'ACH CALC'!R$2,'TALLY BOX DUMP'!40:40))</f>
        <v>0</v>
      </c>
      <c r="S41" s="21">
        <f ca="1">IF($D41="","",SUMIF('TALLY BOX DUMP'!$1:$1,'ACH CALC'!S$2,'TALLY BOX DUMP'!40:40))</f>
        <v>0</v>
      </c>
      <c r="T41" s="21">
        <f ca="1">IF($D41="","",SUMIF('TALLY BOX DUMP'!$1:$1,'ACH CALC'!T$2,'TALLY BOX DUMP'!40:40))</f>
        <v>0</v>
      </c>
      <c r="U41" s="21">
        <f ca="1">IF($D41="","",SUMIF('TALLY BOX DUMP'!$1:$1,'ACH CALC'!U$2,'TALLY BOX DUMP'!40:40))</f>
        <v>0</v>
      </c>
      <c r="V41" s="21">
        <f ca="1">IF($D41="","",SUMIF('TALLY BOX DUMP'!$1:$1,'ACH CALC'!V$2,'TALLY BOX DUMP'!40:40))</f>
        <v>0</v>
      </c>
      <c r="W41" s="21">
        <f ca="1">IF($D41="","",SUMIF('TALLY BOX DUMP'!$1:$1,'ACH CALC'!W$2,'TALLY BOX DUMP'!40:40))</f>
        <v>0</v>
      </c>
      <c r="X41" s="21">
        <f ca="1">IF($D41="","",SUMIF('TALLY BOX DUMP'!$1:$1,'ACH CALC'!X$2,'TALLY BOX DUMP'!40:40))</f>
        <v>0</v>
      </c>
      <c r="Y41" s="21">
        <f ca="1">IF($D41="","",SUMIF('TALLY BOX DUMP'!$1:$1,'ACH CALC'!Y$2,'TALLY BOX DUMP'!40:40))</f>
        <v>0</v>
      </c>
      <c r="Z41" s="21">
        <f ca="1">IF($D41="","",SUMIF('TALLY BOX DUMP'!$1:$1,'ACH CALC'!Z$2,'TALLY BOX DUMP'!40:40)+AE41)</f>
        <v>0</v>
      </c>
      <c r="AA41" s="21">
        <f ca="1">IF($D41="","",SUMIF('TALLY BOX DUMP'!$1:$1,'ACH CALC'!AA$2,'TALLY BOX DUMP'!40:40))</f>
        <v>0</v>
      </c>
      <c r="AB41" s="21">
        <f ca="1">IF($D41="","",SUMIF('TALLY BOX DUMP'!$1:$1,'ACH CALC'!AB$2,'TALLY BOX DUMP'!40:40))</f>
        <v>0</v>
      </c>
      <c r="AC41" s="21">
        <f ca="1">IF($D41="","",SUMIF('TALLY BOX DUMP'!$1:$1,'ACH CALC'!AC$2,'TALLY BOX DUMP'!40:40))</f>
        <v>0</v>
      </c>
      <c r="AD41" s="21">
        <f ca="1">IF($D41="","",SUMIF('TALLY BOX DUMP'!$1:$1,'ACH CALC'!AD$2,'TALLY BOX DUMP'!40:40))</f>
        <v>0</v>
      </c>
      <c r="AE41" s="21">
        <f ca="1">IF($D41="","",SUMIF('TALLY BOX DUMP'!$1:$1,'ACH CALC'!AE$2,'TALLY BOX DUMP'!40:40))</f>
        <v>0</v>
      </c>
      <c r="AF41" s="21">
        <f ca="1">IF($D41="","",SUMIF('TALLY BOX DUMP'!$1:$1,'ACH CALC'!AF$2,'TALLY BOX DUMP'!40:40))</f>
        <v>0</v>
      </c>
      <c r="AG41" s="21">
        <f ca="1">IF($D41="","",SUMIF('TALLY BOX DUMP'!$1:$1,'ACH CALC'!AG$2,'TALLY BOX DUMP'!40:40))</f>
        <v>0</v>
      </c>
      <c r="AH41" s="21">
        <f ca="1">IF($D41="","",SUMIF('TALLY BOX DUMP'!$1:$1,'ACH CALC'!AH$2,'TALLY BOX DUMP'!40:40))</f>
        <v>0</v>
      </c>
      <c r="AI41" s="21">
        <f ca="1">IF($D41="","",SUMIF('TALLY BOX DUMP'!$1:$1,'ACH CALC'!AI$2,'TALLY BOX DUMP'!40:40))</f>
        <v>0</v>
      </c>
      <c r="AJ41" s="21">
        <f ca="1">IF($D41="","",SUMIF('TALLY BOX DUMP'!$1:$1,'ACH CALC'!AJ$2,'TALLY BOX DUMP'!40:40))</f>
        <v>0</v>
      </c>
      <c r="AK41" s="21">
        <f ca="1">IF($D41="","",SUMIF('TALLY BOX DUMP'!$1:$1,'ACH CALC'!AK$2,'TALLY BOX DUMP'!40:40))</f>
        <v>0</v>
      </c>
      <c r="AL41" s="21">
        <f ca="1">IF($D41="","",ROUND(SUMIF('TALLY KG DUMP'!$1:$1,'ACH CALC'!AL$2,'TALLY KG DUMP'!40:40)/30,1))</f>
        <v>0</v>
      </c>
      <c r="AM41" s="21">
        <f ca="1">IF($D41="","",SUMIF('TALLY BOX DUMP'!$1:$1,'ACH CALC'!AM$2,'TALLY BOX DUMP'!40:40))</f>
        <v>0</v>
      </c>
      <c r="AN41" s="21">
        <f ca="1">IF($D41="","",SUMIF('TALLY BOX DUMP'!$1:$1,'ACH CALC'!AN$2,'TALLY BOX DUMP'!40:40))</f>
        <v>0</v>
      </c>
      <c r="AO41" s="21">
        <f ca="1">IF($D41="","",SUMIF('TALLY BOX DUMP'!$1:$1,'ACH CALC'!AO$2,'TALLY BOX DUMP'!40:40))</f>
        <v>0</v>
      </c>
      <c r="AP41" s="21">
        <f ca="1">IF($D41="","",SUMIF('TALLY BOX DUMP'!$1:$1,'ACH CALC'!AP$2,'TALLY BOX DUMP'!40:40))</f>
        <v>0</v>
      </c>
      <c r="AQ41" s="21">
        <f ca="1">IF($D41="","",ROUND(SUMIF('TALLY KG DUMP'!$1:$1,'ACH CALC'!AQ$2,'TALLY KG DUMP'!40:40)/30,1))</f>
        <v>0</v>
      </c>
      <c r="AR41" s="21">
        <f ca="1">IF($D41="","",SUMIF('TALLY BOX DUMP'!$1:$1,'ACH CALC'!AR$2,'TALLY BOX DUMP'!40:40))</f>
        <v>0</v>
      </c>
      <c r="AS41" s="21">
        <f ca="1">IF($D41="","",SUMIF('TALLY BOX DUMP'!$1:$1,'ACH CALC'!AS$2,'TALLY BOX DUMP'!40:40))</f>
        <v>0</v>
      </c>
      <c r="AT41" s="21">
        <f ca="1">IF($D41="","",SUMIF('TALLY BOX DUMP'!$1:$1,'ACH CALC'!AT$2,'TALLY BOX DUMP'!40:40))</f>
        <v>0</v>
      </c>
      <c r="AU41" s="21">
        <f ca="1">IF($D41="","",SUMIF('TALLY BOX DUMP'!$1:$1,'ACH CALC'!AU$2,'TALLY BOX DUMP'!40:40))</f>
        <v>0</v>
      </c>
      <c r="AV41" s="21">
        <f ca="1">IF($D41="","",SUMIF('TALLY BOX DUMP'!$1:$1,'ACH CALC'!AV$2,'TALLY BOX DUMP'!40:40))</f>
        <v>0</v>
      </c>
      <c r="AW41" s="21">
        <f ca="1">IF($D41="","",SUMIF('TALLY BOX DUMP'!$1:$1,'ACH CALC'!AW$2,'TALLY BOX DUMP'!40:40))</f>
        <v>0</v>
      </c>
      <c r="AX41" s="21">
        <f ca="1">IF($D41="","",SUMIF('TALLY BOX DUMP'!$1:$1,'ACH CALC'!AX$2,'TALLY BOX DUMP'!40:40))</f>
        <v>0</v>
      </c>
      <c r="AY41" s="21">
        <f ca="1">IF($D41="","",SUMIF('TALLY BOX DUMP'!$1:$1,'ACH CALC'!AY$2,'TALLY BOX DUMP'!40:40))</f>
        <v>0</v>
      </c>
      <c r="AZ41" s="21">
        <f ca="1">IF($D41="","",SUMIF('TALLY BOX DUMP'!$1:$1,'ACH CALC'!AZ$2,'TALLY BOX DUMP'!40:40))</f>
        <v>0</v>
      </c>
      <c r="BA41" s="69">
        <f>(SUMIF('TALLY KG DUMP'!$2:$2,"Qty",'TALLY KG DUMP'!40:40)/1000)-(SUMIF('TALLY KG DUMP'!$1:$1,"GL",'TALLY KG DUMP'!40:40)/1000)</f>
        <v>0.92400000000000004</v>
      </c>
      <c r="BB41" s="21" t="b">
        <f t="shared" ca="1" si="2"/>
        <v>1</v>
      </c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</row>
    <row r="42" spans="2:75" x14ac:dyDescent="0.25">
      <c r="B42" s="21" t="str">
        <f ca="1"/>
        <v>39</v>
      </c>
      <c r="C42" s="21" t="str">
        <f ca="1"/>
        <v>SUN07786</v>
      </c>
      <c r="D42" s="21" t="str">
        <f ca="1"/>
        <v>KANCHIPURAM-TVL.AMUDHAM TRADERS</v>
      </c>
      <c r="E42" s="21">
        <f ca="1">IF($D42="","",(SUMIF('TALLY KG DUMP'!$2:$2,"Qty",'TALLY KG DUMP'!41:41)/1000)-(SUMIF('TALLY KG DUMP'!$1:$1,"GL",'TALLY KG DUMP'!41:41)/1000))</f>
        <v>0</v>
      </c>
      <c r="F42" s="21">
        <f ca="1">IF($D42="","",(SUMIF('TALLY KG DUMP'!$1:$1,'ACH CALC'!F$2,'TALLY KG DUMP'!41:41)/1000))</f>
        <v>0</v>
      </c>
      <c r="G42" s="21">
        <f ca="1">IF($D42="","",SUMIF('TALLY BOX DUMP'!$1:$1,'ACH CALC'!G$2,'TALLY BOX DUMP'!41:41)+Y42)</f>
        <v>0</v>
      </c>
      <c r="H42" s="21">
        <f t="shared" ca="1" si="0"/>
        <v>0</v>
      </c>
      <c r="I42" s="21">
        <f ca="1">IF($D42="","",SUMIF('TALLY BOX DUMP'!$1:$1,'ACH CALC'!I$2,'TALLY BOX DUMP'!41:41)+AA42)</f>
        <v>0</v>
      </c>
      <c r="J42" s="21">
        <f ca="1">IF($D42="","",SUMIF('TALLY BOX DUMP'!$1:$1,'ACH CALC'!J$2,'TALLY BOX DUMP'!41:41)+AB42)</f>
        <v>0</v>
      </c>
      <c r="K42" s="21">
        <f ca="1">IF($D42="","",SUMIF('TALLY BOX DUMP'!$1:$1,'ACH CALC'!K$2,'TALLY BOX DUMP'!41:41)+AC42)</f>
        <v>0</v>
      </c>
      <c r="L42" s="21">
        <f ca="1">IF($D42="","",SUMIF('TALLY BOX DUMP'!$1:$1,'ACH CALC'!L$2,'TALLY BOX DUMP'!41:41))</f>
        <v>0</v>
      </c>
      <c r="M42" s="21">
        <f ca="1">IF($D42="","",SUMIF('TALLY BOX DUMP'!$1:$1,'ACH CALC'!M$2,'TALLY BOX DUMP'!41:41)+AD42)</f>
        <v>0</v>
      </c>
      <c r="N42" s="21">
        <f ca="1">IF($D42="","",SUMIF('TALLY BOX DUMP'!$1:$1,'ACH CALC'!N$2,'TALLY BOX DUMP'!41:41))</f>
        <v>0</v>
      </c>
      <c r="O42" s="21">
        <f ca="1">IF($D42="","",SUMIF('TALLY BOX DUMP'!$1:$1,'ACH CALC'!O$2,'TALLY BOX DUMP'!41:41))</f>
        <v>0</v>
      </c>
      <c r="P42" s="21">
        <f ca="1">IF($D42="","",SUMIF('TALLY BOX DUMP'!$1:$1,'ACH CALC'!P$2,'TALLY BOX DUMP'!41:41))</f>
        <v>0</v>
      </c>
      <c r="Q42" s="21">
        <f t="shared" ca="1" si="1"/>
        <v>0</v>
      </c>
      <c r="R42" s="21">
        <f ca="1">IF($D42="","",SUMIF('TALLY BOX DUMP'!$1:$1,'ACH CALC'!R$2,'TALLY BOX DUMP'!41:41))</f>
        <v>0</v>
      </c>
      <c r="S42" s="21">
        <f ca="1">IF($D42="","",SUMIF('TALLY BOX DUMP'!$1:$1,'ACH CALC'!S$2,'TALLY BOX DUMP'!41:41))</f>
        <v>0</v>
      </c>
      <c r="T42" s="21">
        <f ca="1">IF($D42="","",SUMIF('TALLY BOX DUMP'!$1:$1,'ACH CALC'!T$2,'TALLY BOX DUMP'!41:41))</f>
        <v>0</v>
      </c>
      <c r="U42" s="21">
        <f ca="1">IF($D42="","",SUMIF('TALLY BOX DUMP'!$1:$1,'ACH CALC'!U$2,'TALLY BOX DUMP'!41:41))</f>
        <v>0</v>
      </c>
      <c r="V42" s="21">
        <f ca="1">IF($D42="","",SUMIF('TALLY BOX DUMP'!$1:$1,'ACH CALC'!V$2,'TALLY BOX DUMP'!41:41))</f>
        <v>0</v>
      </c>
      <c r="W42" s="21">
        <f ca="1">IF($D42="","",SUMIF('TALLY BOX DUMP'!$1:$1,'ACH CALC'!W$2,'TALLY BOX DUMP'!41:41))</f>
        <v>0</v>
      </c>
      <c r="X42" s="21">
        <f ca="1">IF($D42="","",SUMIF('TALLY BOX DUMP'!$1:$1,'ACH CALC'!X$2,'TALLY BOX DUMP'!41:41))</f>
        <v>0</v>
      </c>
      <c r="Y42" s="21">
        <f ca="1">IF($D42="","",SUMIF('TALLY BOX DUMP'!$1:$1,'ACH CALC'!Y$2,'TALLY BOX DUMP'!41:41))</f>
        <v>0</v>
      </c>
      <c r="Z42" s="21">
        <f ca="1">IF($D42="","",SUMIF('TALLY BOX DUMP'!$1:$1,'ACH CALC'!Z$2,'TALLY BOX DUMP'!41:41)+AE42)</f>
        <v>0</v>
      </c>
      <c r="AA42" s="21">
        <f ca="1">IF($D42="","",SUMIF('TALLY BOX DUMP'!$1:$1,'ACH CALC'!AA$2,'TALLY BOX DUMP'!41:41))</f>
        <v>0</v>
      </c>
      <c r="AB42" s="21">
        <f ca="1">IF($D42="","",SUMIF('TALLY BOX DUMP'!$1:$1,'ACH CALC'!AB$2,'TALLY BOX DUMP'!41:41))</f>
        <v>0</v>
      </c>
      <c r="AC42" s="21">
        <f ca="1">IF($D42="","",SUMIF('TALLY BOX DUMP'!$1:$1,'ACH CALC'!AC$2,'TALLY BOX DUMP'!41:41))</f>
        <v>0</v>
      </c>
      <c r="AD42" s="21">
        <f ca="1">IF($D42="","",SUMIF('TALLY BOX DUMP'!$1:$1,'ACH CALC'!AD$2,'TALLY BOX DUMP'!41:41))</f>
        <v>0</v>
      </c>
      <c r="AE42" s="21">
        <f ca="1">IF($D42="","",SUMIF('TALLY BOX DUMP'!$1:$1,'ACH CALC'!AE$2,'TALLY BOX DUMP'!41:41))</f>
        <v>0</v>
      </c>
      <c r="AF42" s="21">
        <f ca="1">IF($D42="","",SUMIF('TALLY BOX DUMP'!$1:$1,'ACH CALC'!AF$2,'TALLY BOX DUMP'!41:41))</f>
        <v>0</v>
      </c>
      <c r="AG42" s="21">
        <f ca="1">IF($D42="","",SUMIF('TALLY BOX DUMP'!$1:$1,'ACH CALC'!AG$2,'TALLY BOX DUMP'!41:41))</f>
        <v>0</v>
      </c>
      <c r="AH42" s="21">
        <f ca="1">IF($D42="","",SUMIF('TALLY BOX DUMP'!$1:$1,'ACH CALC'!AH$2,'TALLY BOX DUMP'!41:41))</f>
        <v>0</v>
      </c>
      <c r="AI42" s="21">
        <f ca="1">IF($D42="","",SUMIF('TALLY BOX DUMP'!$1:$1,'ACH CALC'!AI$2,'TALLY BOX DUMP'!41:41))</f>
        <v>0</v>
      </c>
      <c r="AJ42" s="21">
        <f ca="1">IF($D42="","",SUMIF('TALLY BOX DUMP'!$1:$1,'ACH CALC'!AJ$2,'TALLY BOX DUMP'!41:41))</f>
        <v>0</v>
      </c>
      <c r="AK42" s="21">
        <f ca="1">IF($D42="","",SUMIF('TALLY BOX DUMP'!$1:$1,'ACH CALC'!AK$2,'TALLY BOX DUMP'!41:41))</f>
        <v>0</v>
      </c>
      <c r="AL42" s="21">
        <f ca="1">IF($D42="","",ROUND(SUMIF('TALLY KG DUMP'!$1:$1,'ACH CALC'!AL$2,'TALLY KG DUMP'!41:41)/30,1))</f>
        <v>0</v>
      </c>
      <c r="AM42" s="21">
        <f ca="1">IF($D42="","",SUMIF('TALLY BOX DUMP'!$1:$1,'ACH CALC'!AM$2,'TALLY BOX DUMP'!41:41))</f>
        <v>0</v>
      </c>
      <c r="AN42" s="21">
        <f ca="1">IF($D42="","",SUMIF('TALLY BOX DUMP'!$1:$1,'ACH CALC'!AN$2,'TALLY BOX DUMP'!41:41))</f>
        <v>0</v>
      </c>
      <c r="AO42" s="21">
        <f ca="1">IF($D42="","",SUMIF('TALLY BOX DUMP'!$1:$1,'ACH CALC'!AO$2,'TALLY BOX DUMP'!41:41))</f>
        <v>0</v>
      </c>
      <c r="AP42" s="21">
        <f ca="1">IF($D42="","",SUMIF('TALLY BOX DUMP'!$1:$1,'ACH CALC'!AP$2,'TALLY BOX DUMP'!41:41))</f>
        <v>0</v>
      </c>
      <c r="AQ42" s="21">
        <f ca="1">IF($D42="","",ROUND(SUMIF('TALLY KG DUMP'!$1:$1,'ACH CALC'!AQ$2,'TALLY KG DUMP'!41:41)/30,1))</f>
        <v>0</v>
      </c>
      <c r="AR42" s="21">
        <f ca="1">IF($D42="","",SUMIF('TALLY BOX DUMP'!$1:$1,'ACH CALC'!AR$2,'TALLY BOX DUMP'!41:41))</f>
        <v>0</v>
      </c>
      <c r="AS42" s="21">
        <f ca="1">IF($D42="","",SUMIF('TALLY BOX DUMP'!$1:$1,'ACH CALC'!AS$2,'TALLY BOX DUMP'!41:41))</f>
        <v>0</v>
      </c>
      <c r="AT42" s="21">
        <f ca="1">IF($D42="","",SUMIF('TALLY BOX DUMP'!$1:$1,'ACH CALC'!AT$2,'TALLY BOX DUMP'!41:41))</f>
        <v>0</v>
      </c>
      <c r="AU42" s="21">
        <f ca="1">IF($D42="","",SUMIF('TALLY BOX DUMP'!$1:$1,'ACH CALC'!AU$2,'TALLY BOX DUMP'!41:41))</f>
        <v>0</v>
      </c>
      <c r="AV42" s="21">
        <f ca="1">IF($D42="","",SUMIF('TALLY BOX DUMP'!$1:$1,'ACH CALC'!AV$2,'TALLY BOX DUMP'!41:41))</f>
        <v>0</v>
      </c>
      <c r="AW42" s="21">
        <f ca="1">IF($D42="","",SUMIF('TALLY BOX DUMP'!$1:$1,'ACH CALC'!AW$2,'TALLY BOX DUMP'!41:41))</f>
        <v>0</v>
      </c>
      <c r="AX42" s="21">
        <f ca="1">IF($D42="","",SUMIF('TALLY BOX DUMP'!$1:$1,'ACH CALC'!AX$2,'TALLY BOX DUMP'!41:41))</f>
        <v>0</v>
      </c>
      <c r="AY42" s="21">
        <f ca="1">IF($D42="","",SUMIF('TALLY BOX DUMP'!$1:$1,'ACH CALC'!AY$2,'TALLY BOX DUMP'!41:41))</f>
        <v>0</v>
      </c>
      <c r="AZ42" s="21">
        <f ca="1">IF($D42="","",SUMIF('TALLY BOX DUMP'!$1:$1,'ACH CALC'!AZ$2,'TALLY BOX DUMP'!41:41))</f>
        <v>0</v>
      </c>
      <c r="BA42" s="69">
        <f>(SUMIF('TALLY KG DUMP'!$2:$2,"Qty",'TALLY KG DUMP'!41:41)/1000)-(SUMIF('TALLY KG DUMP'!$1:$1,"GL",'TALLY KG DUMP'!41:41)/1000)</f>
        <v>0</v>
      </c>
      <c r="BB42" s="21" t="b">
        <f t="shared" ca="1" si="2"/>
        <v>1</v>
      </c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</row>
    <row r="43" spans="2:75" x14ac:dyDescent="0.25">
      <c r="B43" s="21" t="str">
        <f ca="1"/>
        <v>40</v>
      </c>
      <c r="C43" s="21" t="str">
        <f ca="1"/>
        <v>SUN01158</v>
      </c>
      <c r="D43" s="21" t="str">
        <f ca="1"/>
        <v>KANCHEEPURAM SRI HARI AGENCIES</v>
      </c>
      <c r="E43" s="21">
        <f ca="1">IF($D43="","",(SUMIF('TALLY KG DUMP'!$2:$2,"Qty",'TALLY KG DUMP'!42:42)/1000)-(SUMIF('TALLY KG DUMP'!$1:$1,"GL",'TALLY KG DUMP'!42:42)/1000))</f>
        <v>2.37</v>
      </c>
      <c r="F43" s="21">
        <f ca="1">IF($D43="","",(SUMIF('TALLY KG DUMP'!$1:$1,'ACH CALC'!F$2,'TALLY KG DUMP'!42:42)/1000))</f>
        <v>0</v>
      </c>
      <c r="G43" s="21">
        <f ca="1">IF($D43="","",SUMIF('TALLY BOX DUMP'!$1:$1,'ACH CALC'!G$2,'TALLY BOX DUMP'!42:42)+Y43)</f>
        <v>0</v>
      </c>
      <c r="H43" s="21">
        <f t="shared" ca="1" si="0"/>
        <v>0</v>
      </c>
      <c r="I43" s="21">
        <f ca="1">IF($D43="","",SUMIF('TALLY BOX DUMP'!$1:$1,'ACH CALC'!I$2,'TALLY BOX DUMP'!42:42)+AA43)</f>
        <v>0</v>
      </c>
      <c r="J43" s="21">
        <f ca="1">IF($D43="","",SUMIF('TALLY BOX DUMP'!$1:$1,'ACH CALC'!J$2,'TALLY BOX DUMP'!42:42)+AB43)</f>
        <v>0</v>
      </c>
      <c r="K43" s="21">
        <f ca="1">IF($D43="","",SUMIF('TALLY BOX DUMP'!$1:$1,'ACH CALC'!K$2,'TALLY BOX DUMP'!42:42)+AC43)</f>
        <v>0</v>
      </c>
      <c r="L43" s="21">
        <f ca="1">IF($D43="","",SUMIF('TALLY BOX DUMP'!$1:$1,'ACH CALC'!L$2,'TALLY BOX DUMP'!42:42))</f>
        <v>0</v>
      </c>
      <c r="M43" s="21">
        <f ca="1">IF($D43="","",SUMIF('TALLY BOX DUMP'!$1:$1,'ACH CALC'!M$2,'TALLY BOX DUMP'!42:42)+AD43)</f>
        <v>0</v>
      </c>
      <c r="N43" s="21">
        <f ca="1">IF($D43="","",SUMIF('TALLY BOX DUMP'!$1:$1,'ACH CALC'!N$2,'TALLY BOX DUMP'!42:42))</f>
        <v>0</v>
      </c>
      <c r="O43" s="21">
        <f ca="1">IF($D43="","",SUMIF('TALLY BOX DUMP'!$1:$1,'ACH CALC'!O$2,'TALLY BOX DUMP'!42:42))</f>
        <v>0</v>
      </c>
      <c r="P43" s="21">
        <f ca="1">IF($D43="","",SUMIF('TALLY BOX DUMP'!$1:$1,'ACH CALC'!P$2,'TALLY BOX DUMP'!42:42))</f>
        <v>0</v>
      </c>
      <c r="Q43" s="21">
        <f t="shared" ca="1" si="1"/>
        <v>0</v>
      </c>
      <c r="R43" s="21">
        <f ca="1">IF($D43="","",SUMIF('TALLY BOX DUMP'!$1:$1,'ACH CALC'!R$2,'TALLY BOX DUMP'!42:42))</f>
        <v>0</v>
      </c>
      <c r="S43" s="21">
        <f ca="1">IF($D43="","",SUMIF('TALLY BOX DUMP'!$1:$1,'ACH CALC'!S$2,'TALLY BOX DUMP'!42:42))</f>
        <v>0</v>
      </c>
      <c r="T43" s="21">
        <f ca="1">IF($D43="","",SUMIF('TALLY BOX DUMP'!$1:$1,'ACH CALC'!T$2,'TALLY BOX DUMP'!42:42))</f>
        <v>0</v>
      </c>
      <c r="U43" s="21">
        <f ca="1">IF($D43="","",SUMIF('TALLY BOX DUMP'!$1:$1,'ACH CALC'!U$2,'TALLY BOX DUMP'!42:42))</f>
        <v>0</v>
      </c>
      <c r="V43" s="21">
        <f ca="1">IF($D43="","",SUMIF('TALLY BOX DUMP'!$1:$1,'ACH CALC'!V$2,'TALLY BOX DUMP'!42:42))</f>
        <v>0</v>
      </c>
      <c r="W43" s="21">
        <f ca="1">IF($D43="","",SUMIF('TALLY BOX DUMP'!$1:$1,'ACH CALC'!W$2,'TALLY BOX DUMP'!42:42))</f>
        <v>0</v>
      </c>
      <c r="X43" s="21">
        <f ca="1">IF($D43="","",SUMIF('TALLY BOX DUMP'!$1:$1,'ACH CALC'!X$2,'TALLY BOX DUMP'!42:42))</f>
        <v>0</v>
      </c>
      <c r="Y43" s="21">
        <f ca="1">IF($D43="","",SUMIF('TALLY BOX DUMP'!$1:$1,'ACH CALC'!Y$2,'TALLY BOX DUMP'!42:42))</f>
        <v>0</v>
      </c>
      <c r="Z43" s="21">
        <f ca="1">IF($D43="","",SUMIF('TALLY BOX DUMP'!$1:$1,'ACH CALC'!Z$2,'TALLY BOX DUMP'!42:42)+AE43)</f>
        <v>0</v>
      </c>
      <c r="AA43" s="21">
        <f ca="1">IF($D43="","",SUMIF('TALLY BOX DUMP'!$1:$1,'ACH CALC'!AA$2,'TALLY BOX DUMP'!42:42))</f>
        <v>0</v>
      </c>
      <c r="AB43" s="21">
        <f ca="1">IF($D43="","",SUMIF('TALLY BOX DUMP'!$1:$1,'ACH CALC'!AB$2,'TALLY BOX DUMP'!42:42))</f>
        <v>0</v>
      </c>
      <c r="AC43" s="21">
        <f ca="1">IF($D43="","",SUMIF('TALLY BOX DUMP'!$1:$1,'ACH CALC'!AC$2,'TALLY BOX DUMP'!42:42))</f>
        <v>0</v>
      </c>
      <c r="AD43" s="21">
        <f ca="1">IF($D43="","",SUMIF('TALLY BOX DUMP'!$1:$1,'ACH CALC'!AD$2,'TALLY BOX DUMP'!42:42))</f>
        <v>0</v>
      </c>
      <c r="AE43" s="21">
        <f ca="1">IF($D43="","",SUMIF('TALLY BOX DUMP'!$1:$1,'ACH CALC'!AE$2,'TALLY BOX DUMP'!42:42))</f>
        <v>0</v>
      </c>
      <c r="AF43" s="21">
        <f ca="1">IF($D43="","",SUMIF('TALLY BOX DUMP'!$1:$1,'ACH CALC'!AF$2,'TALLY BOX DUMP'!42:42))</f>
        <v>0</v>
      </c>
      <c r="AG43" s="21">
        <f ca="1">IF($D43="","",SUMIF('TALLY BOX DUMP'!$1:$1,'ACH CALC'!AG$2,'TALLY BOX DUMP'!42:42))</f>
        <v>0</v>
      </c>
      <c r="AH43" s="21">
        <f ca="1">IF($D43="","",SUMIF('TALLY BOX DUMP'!$1:$1,'ACH CALC'!AH$2,'TALLY BOX DUMP'!42:42))</f>
        <v>0</v>
      </c>
      <c r="AI43" s="21">
        <f ca="1">IF($D43="","",SUMIF('TALLY BOX DUMP'!$1:$1,'ACH CALC'!AI$2,'TALLY BOX DUMP'!42:42))</f>
        <v>0</v>
      </c>
      <c r="AJ43" s="21">
        <f ca="1">IF($D43="","",SUMIF('TALLY BOX DUMP'!$1:$1,'ACH CALC'!AJ$2,'TALLY BOX DUMP'!42:42))</f>
        <v>0</v>
      </c>
      <c r="AK43" s="21">
        <f ca="1">IF($D43="","",SUMIF('TALLY BOX DUMP'!$1:$1,'ACH CALC'!AK$2,'TALLY BOX DUMP'!42:42))</f>
        <v>0</v>
      </c>
      <c r="AL43" s="21">
        <f ca="1">IF($D43="","",ROUND(SUMIF('TALLY KG DUMP'!$1:$1,'ACH CALC'!AL$2,'TALLY KG DUMP'!42:42)/30,1))</f>
        <v>0</v>
      </c>
      <c r="AM43" s="21">
        <f ca="1">IF($D43="","",SUMIF('TALLY BOX DUMP'!$1:$1,'ACH CALC'!AM$2,'TALLY BOX DUMP'!42:42))</f>
        <v>0</v>
      </c>
      <c r="AN43" s="21">
        <f ca="1">IF($D43="","",SUMIF('TALLY BOX DUMP'!$1:$1,'ACH CALC'!AN$2,'TALLY BOX DUMP'!42:42))</f>
        <v>0</v>
      </c>
      <c r="AO43" s="21">
        <f ca="1">IF($D43="","",SUMIF('TALLY BOX DUMP'!$1:$1,'ACH CALC'!AO$2,'TALLY BOX DUMP'!42:42))</f>
        <v>0</v>
      </c>
      <c r="AP43" s="21">
        <f ca="1">IF($D43="","",SUMIF('TALLY BOX DUMP'!$1:$1,'ACH CALC'!AP$2,'TALLY BOX DUMP'!42:42))</f>
        <v>0</v>
      </c>
      <c r="AQ43" s="21">
        <f ca="1">IF($D43="","",ROUND(SUMIF('TALLY KG DUMP'!$1:$1,'ACH CALC'!AQ$2,'TALLY KG DUMP'!42:42)/30,1))</f>
        <v>0</v>
      </c>
      <c r="AR43" s="21">
        <f ca="1">IF($D43="","",SUMIF('TALLY BOX DUMP'!$1:$1,'ACH CALC'!AR$2,'TALLY BOX DUMP'!42:42))</f>
        <v>0</v>
      </c>
      <c r="AS43" s="21">
        <f ca="1">IF($D43="","",SUMIF('TALLY BOX DUMP'!$1:$1,'ACH CALC'!AS$2,'TALLY BOX DUMP'!42:42))</f>
        <v>0</v>
      </c>
      <c r="AT43" s="21">
        <f ca="1">IF($D43="","",SUMIF('TALLY BOX DUMP'!$1:$1,'ACH CALC'!AT$2,'TALLY BOX DUMP'!42:42))</f>
        <v>0</v>
      </c>
      <c r="AU43" s="21">
        <f ca="1">IF($D43="","",SUMIF('TALLY BOX DUMP'!$1:$1,'ACH CALC'!AU$2,'TALLY BOX DUMP'!42:42))</f>
        <v>0</v>
      </c>
      <c r="AV43" s="21">
        <f ca="1">IF($D43="","",SUMIF('TALLY BOX DUMP'!$1:$1,'ACH CALC'!AV$2,'TALLY BOX DUMP'!42:42))</f>
        <v>0</v>
      </c>
      <c r="AW43" s="21">
        <f ca="1">IF($D43="","",SUMIF('TALLY BOX DUMP'!$1:$1,'ACH CALC'!AW$2,'TALLY BOX DUMP'!42:42))</f>
        <v>0</v>
      </c>
      <c r="AX43" s="21">
        <f ca="1">IF($D43="","",SUMIF('TALLY BOX DUMP'!$1:$1,'ACH CALC'!AX$2,'TALLY BOX DUMP'!42:42))</f>
        <v>0</v>
      </c>
      <c r="AY43" s="21">
        <f ca="1">IF($D43="","",SUMIF('TALLY BOX DUMP'!$1:$1,'ACH CALC'!AY$2,'TALLY BOX DUMP'!42:42))</f>
        <v>0</v>
      </c>
      <c r="AZ43" s="21">
        <f ca="1">IF($D43="","",SUMIF('TALLY BOX DUMP'!$1:$1,'ACH CALC'!AZ$2,'TALLY BOX DUMP'!42:42))</f>
        <v>0</v>
      </c>
      <c r="BA43" s="69">
        <f>(SUMIF('TALLY KG DUMP'!$2:$2,"Qty",'TALLY KG DUMP'!42:42)/1000)-(SUMIF('TALLY KG DUMP'!$1:$1,"GL",'TALLY KG DUMP'!42:42)/1000)</f>
        <v>2.37</v>
      </c>
      <c r="BB43" s="21" t="b">
        <f t="shared" ca="1" si="2"/>
        <v>1</v>
      </c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</row>
    <row r="44" spans="2:75" x14ac:dyDescent="0.25">
      <c r="B44" s="21" t="str">
        <f ca="1"/>
        <v>41</v>
      </c>
      <c r="C44" s="21" t="str">
        <f ca="1"/>
        <v>SUN04769</v>
      </c>
      <c r="D44" s="21" t="str">
        <f ca="1"/>
        <v>VELLORE AVENUE SUPERMARTS LTD</v>
      </c>
      <c r="E44" s="21">
        <f ca="1">IF($D44="","",(SUMIF('TALLY KG DUMP'!$2:$2,"Qty",'TALLY KG DUMP'!43:43)/1000)-(SUMIF('TALLY KG DUMP'!$1:$1,"GL",'TALLY KG DUMP'!43:43)/1000))</f>
        <v>4.33</v>
      </c>
      <c r="F44" s="21">
        <f ca="1">IF($D44="","",(SUMIF('TALLY KG DUMP'!$1:$1,'ACH CALC'!F$2,'TALLY KG DUMP'!43:43)/1000))</f>
        <v>0</v>
      </c>
      <c r="G44" s="21">
        <f ca="1">IF($D44="","",SUMIF('TALLY BOX DUMP'!$1:$1,'ACH CALC'!G$2,'TALLY BOX DUMP'!43:43)+Y44)</f>
        <v>0</v>
      </c>
      <c r="H44" s="21">
        <f t="shared" ca="1" si="0"/>
        <v>60</v>
      </c>
      <c r="I44" s="21">
        <f ca="1">IF($D44="","",SUMIF('TALLY BOX DUMP'!$1:$1,'ACH CALC'!I$2,'TALLY BOX DUMP'!43:43)+AA44)</f>
        <v>60</v>
      </c>
      <c r="J44" s="21">
        <f ca="1">IF($D44="","",SUMIF('TALLY BOX DUMP'!$1:$1,'ACH CALC'!J$2,'TALLY BOX DUMP'!43:43)+AB44)</f>
        <v>0</v>
      </c>
      <c r="K44" s="21">
        <f ca="1">IF($D44="","",SUMIF('TALLY BOX DUMP'!$1:$1,'ACH CALC'!K$2,'TALLY BOX DUMP'!43:43)+AC44)</f>
        <v>0</v>
      </c>
      <c r="L44" s="21">
        <f ca="1">IF($D44="","",SUMIF('TALLY BOX DUMP'!$1:$1,'ACH CALC'!L$2,'TALLY BOX DUMP'!43:43))</f>
        <v>0</v>
      </c>
      <c r="M44" s="21">
        <f ca="1">IF($D44="","",SUMIF('TALLY BOX DUMP'!$1:$1,'ACH CALC'!M$2,'TALLY BOX DUMP'!43:43)+AD44)</f>
        <v>0</v>
      </c>
      <c r="N44" s="21">
        <f ca="1">IF($D44="","",SUMIF('TALLY BOX DUMP'!$1:$1,'ACH CALC'!N$2,'TALLY BOX DUMP'!43:43))</f>
        <v>0</v>
      </c>
      <c r="O44" s="21">
        <f ca="1">IF($D44="","",SUMIF('TALLY BOX DUMP'!$1:$1,'ACH CALC'!O$2,'TALLY BOX DUMP'!43:43))</f>
        <v>0</v>
      </c>
      <c r="P44" s="21">
        <f ca="1">IF($D44="","",SUMIF('TALLY BOX DUMP'!$1:$1,'ACH CALC'!P$2,'TALLY BOX DUMP'!43:43))</f>
        <v>0</v>
      </c>
      <c r="Q44" s="21">
        <f t="shared" ca="1" si="1"/>
        <v>0</v>
      </c>
      <c r="R44" s="21">
        <f ca="1">IF($D44="","",SUMIF('TALLY BOX DUMP'!$1:$1,'ACH CALC'!R$2,'TALLY BOX DUMP'!43:43))</f>
        <v>0</v>
      </c>
      <c r="S44" s="21">
        <f ca="1">IF($D44="","",SUMIF('TALLY BOX DUMP'!$1:$1,'ACH CALC'!S$2,'TALLY BOX DUMP'!43:43))</f>
        <v>0</v>
      </c>
      <c r="T44" s="21">
        <f ca="1">IF($D44="","",SUMIF('TALLY BOX DUMP'!$1:$1,'ACH CALC'!T$2,'TALLY BOX DUMP'!43:43))</f>
        <v>0</v>
      </c>
      <c r="U44" s="21">
        <f ca="1">IF($D44="","",SUMIF('TALLY BOX DUMP'!$1:$1,'ACH CALC'!U$2,'TALLY BOX DUMP'!43:43))</f>
        <v>0</v>
      </c>
      <c r="V44" s="21">
        <f ca="1">IF($D44="","",SUMIF('TALLY BOX DUMP'!$1:$1,'ACH CALC'!V$2,'TALLY BOX DUMP'!43:43))</f>
        <v>0</v>
      </c>
      <c r="W44" s="21">
        <f ca="1">IF($D44="","",SUMIF('TALLY BOX DUMP'!$1:$1,'ACH CALC'!W$2,'TALLY BOX DUMP'!43:43))</f>
        <v>0</v>
      </c>
      <c r="X44" s="21">
        <f ca="1">IF($D44="","",SUMIF('TALLY BOX DUMP'!$1:$1,'ACH CALC'!X$2,'TALLY BOX DUMP'!43:43))</f>
        <v>0</v>
      </c>
      <c r="Y44" s="21">
        <f ca="1">IF($D44="","",SUMIF('TALLY BOX DUMP'!$1:$1,'ACH CALC'!Y$2,'TALLY BOX DUMP'!43:43))</f>
        <v>0</v>
      </c>
      <c r="Z44" s="21">
        <f ca="1">IF($D44="","",SUMIF('TALLY BOX DUMP'!$1:$1,'ACH CALC'!Z$2,'TALLY BOX DUMP'!43:43)+AE44)</f>
        <v>0</v>
      </c>
      <c r="AA44" s="21">
        <f ca="1">IF($D44="","",SUMIF('TALLY BOX DUMP'!$1:$1,'ACH CALC'!AA$2,'TALLY BOX DUMP'!43:43))</f>
        <v>0</v>
      </c>
      <c r="AB44" s="21">
        <f ca="1">IF($D44="","",SUMIF('TALLY BOX DUMP'!$1:$1,'ACH CALC'!AB$2,'TALLY BOX DUMP'!43:43))</f>
        <v>0</v>
      </c>
      <c r="AC44" s="21">
        <f ca="1">IF($D44="","",SUMIF('TALLY BOX DUMP'!$1:$1,'ACH CALC'!AC$2,'TALLY BOX DUMP'!43:43))</f>
        <v>0</v>
      </c>
      <c r="AD44" s="21">
        <f ca="1">IF($D44="","",SUMIF('TALLY BOX DUMP'!$1:$1,'ACH CALC'!AD$2,'TALLY BOX DUMP'!43:43))</f>
        <v>0</v>
      </c>
      <c r="AE44" s="21">
        <f ca="1">IF($D44="","",SUMIF('TALLY BOX DUMP'!$1:$1,'ACH CALC'!AE$2,'TALLY BOX DUMP'!43:43))</f>
        <v>0</v>
      </c>
      <c r="AF44" s="21">
        <f ca="1">IF($D44="","",SUMIF('TALLY BOX DUMP'!$1:$1,'ACH CALC'!AF$2,'TALLY BOX DUMP'!43:43))</f>
        <v>0</v>
      </c>
      <c r="AG44" s="21">
        <f ca="1">IF($D44="","",SUMIF('TALLY BOX DUMP'!$1:$1,'ACH CALC'!AG$2,'TALLY BOX DUMP'!43:43))</f>
        <v>0</v>
      </c>
      <c r="AH44" s="21">
        <f ca="1">IF($D44="","",SUMIF('TALLY BOX DUMP'!$1:$1,'ACH CALC'!AH$2,'TALLY BOX DUMP'!43:43))</f>
        <v>0</v>
      </c>
      <c r="AI44" s="21">
        <f ca="1">IF($D44="","",SUMIF('TALLY BOX DUMP'!$1:$1,'ACH CALC'!AI$2,'TALLY BOX DUMP'!43:43))</f>
        <v>0</v>
      </c>
      <c r="AJ44" s="21">
        <f ca="1">IF($D44="","",SUMIF('TALLY BOX DUMP'!$1:$1,'ACH CALC'!AJ$2,'TALLY BOX DUMP'!43:43))</f>
        <v>0</v>
      </c>
      <c r="AK44" s="21">
        <f ca="1">IF($D44="","",SUMIF('TALLY BOX DUMP'!$1:$1,'ACH CALC'!AK$2,'TALLY BOX DUMP'!43:43))</f>
        <v>0</v>
      </c>
      <c r="AL44" s="21">
        <f ca="1">IF($D44="","",ROUND(SUMIF('TALLY KG DUMP'!$1:$1,'ACH CALC'!AL$2,'TALLY KG DUMP'!43:43)/30,1))</f>
        <v>0</v>
      </c>
      <c r="AM44" s="21">
        <f ca="1">IF($D44="","",SUMIF('TALLY BOX DUMP'!$1:$1,'ACH CALC'!AM$2,'TALLY BOX DUMP'!43:43))</f>
        <v>0</v>
      </c>
      <c r="AN44" s="21">
        <f ca="1">IF($D44="","",SUMIF('TALLY BOX DUMP'!$1:$1,'ACH CALC'!AN$2,'TALLY BOX DUMP'!43:43))</f>
        <v>0</v>
      </c>
      <c r="AO44" s="21">
        <f ca="1">IF($D44="","",SUMIF('TALLY BOX DUMP'!$1:$1,'ACH CALC'!AO$2,'TALLY BOX DUMP'!43:43))</f>
        <v>0</v>
      </c>
      <c r="AP44" s="21">
        <f ca="1">IF($D44="","",SUMIF('TALLY BOX DUMP'!$1:$1,'ACH CALC'!AP$2,'TALLY BOX DUMP'!43:43))</f>
        <v>0</v>
      </c>
      <c r="AQ44" s="21">
        <f ca="1">IF($D44="","",ROUND(SUMIF('TALLY KG DUMP'!$1:$1,'ACH CALC'!AQ$2,'TALLY KG DUMP'!43:43)/30,1))</f>
        <v>0</v>
      </c>
      <c r="AR44" s="21">
        <f ca="1">IF($D44="","",SUMIF('TALLY BOX DUMP'!$1:$1,'ACH CALC'!AR$2,'TALLY BOX DUMP'!43:43))</f>
        <v>0</v>
      </c>
      <c r="AS44" s="21">
        <f ca="1">IF($D44="","",SUMIF('TALLY BOX DUMP'!$1:$1,'ACH CALC'!AS$2,'TALLY BOX DUMP'!43:43))</f>
        <v>0</v>
      </c>
      <c r="AT44" s="21">
        <f ca="1">IF($D44="","",SUMIF('TALLY BOX DUMP'!$1:$1,'ACH CALC'!AT$2,'TALLY BOX DUMP'!43:43))</f>
        <v>0</v>
      </c>
      <c r="AU44" s="21">
        <f ca="1">IF($D44="","",SUMIF('TALLY BOX DUMP'!$1:$1,'ACH CALC'!AU$2,'TALLY BOX DUMP'!43:43))</f>
        <v>0</v>
      </c>
      <c r="AV44" s="21">
        <f ca="1">IF($D44="","",SUMIF('TALLY BOX DUMP'!$1:$1,'ACH CALC'!AV$2,'TALLY BOX DUMP'!43:43))</f>
        <v>0</v>
      </c>
      <c r="AW44" s="21">
        <f ca="1">IF($D44="","",SUMIF('TALLY BOX DUMP'!$1:$1,'ACH CALC'!AW$2,'TALLY BOX DUMP'!43:43))</f>
        <v>0</v>
      </c>
      <c r="AX44" s="21">
        <f ca="1">IF($D44="","",SUMIF('TALLY BOX DUMP'!$1:$1,'ACH CALC'!AX$2,'TALLY BOX DUMP'!43:43))</f>
        <v>0</v>
      </c>
      <c r="AY44" s="21">
        <f ca="1">IF($D44="","",SUMIF('TALLY BOX DUMP'!$1:$1,'ACH CALC'!AY$2,'TALLY BOX DUMP'!43:43))</f>
        <v>0</v>
      </c>
      <c r="AZ44" s="21">
        <f ca="1">IF($D44="","",SUMIF('TALLY BOX DUMP'!$1:$1,'ACH CALC'!AZ$2,'TALLY BOX DUMP'!43:43))</f>
        <v>0</v>
      </c>
      <c r="BA44" s="69">
        <f>(SUMIF('TALLY KG DUMP'!$2:$2,"Qty",'TALLY KG DUMP'!43:43)/1000)-(SUMIF('TALLY KG DUMP'!$1:$1,"GL",'TALLY KG DUMP'!43:43)/1000)</f>
        <v>4.33</v>
      </c>
      <c r="BB44" s="21" t="b">
        <f t="shared" ca="1" si="2"/>
        <v>1</v>
      </c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</row>
    <row r="45" spans="2:75" x14ac:dyDescent="0.25">
      <c r="B45" s="21" t="str">
        <f ca="1"/>
        <v>42</v>
      </c>
      <c r="C45" s="21" t="str">
        <f ca="1"/>
        <v>SUN07404</v>
      </c>
      <c r="D45" s="21" t="str">
        <f ca="1"/>
        <v>TIRUPATTUR-KIRUBA AGENCIES</v>
      </c>
      <c r="E45" s="21">
        <f ca="1">IF($D45="","",(SUMIF('TALLY KG DUMP'!$2:$2,"Qty",'TALLY KG DUMP'!44:44)/1000)-(SUMIF('TALLY KG DUMP'!$1:$1,"GL",'TALLY KG DUMP'!44:44)/1000))</f>
        <v>1.996</v>
      </c>
      <c r="F45" s="21">
        <f ca="1">IF($D45="","",(SUMIF('TALLY KG DUMP'!$1:$1,'ACH CALC'!F$2,'TALLY KG DUMP'!44:44)/1000))</f>
        <v>0</v>
      </c>
      <c r="G45" s="21">
        <f ca="1">IF($D45="","",SUMIF('TALLY BOX DUMP'!$1:$1,'ACH CALC'!G$2,'TALLY BOX DUMP'!44:44)+Y45)</f>
        <v>0</v>
      </c>
      <c r="H45" s="21">
        <f t="shared" ca="1" si="0"/>
        <v>0</v>
      </c>
      <c r="I45" s="21">
        <f ca="1">IF($D45="","",SUMIF('TALLY BOX DUMP'!$1:$1,'ACH CALC'!I$2,'TALLY BOX DUMP'!44:44)+AA45)</f>
        <v>0</v>
      </c>
      <c r="J45" s="21">
        <f ca="1">IF($D45="","",SUMIF('TALLY BOX DUMP'!$1:$1,'ACH CALC'!J$2,'TALLY BOX DUMP'!44:44)+AB45)</f>
        <v>0</v>
      </c>
      <c r="K45" s="21">
        <f ca="1">IF($D45="","",SUMIF('TALLY BOX DUMP'!$1:$1,'ACH CALC'!K$2,'TALLY BOX DUMP'!44:44)+AC45)</f>
        <v>0</v>
      </c>
      <c r="L45" s="21">
        <f ca="1">IF($D45="","",SUMIF('TALLY BOX DUMP'!$1:$1,'ACH CALC'!L$2,'TALLY BOX DUMP'!44:44))</f>
        <v>0</v>
      </c>
      <c r="M45" s="21">
        <f ca="1">IF($D45="","",SUMIF('TALLY BOX DUMP'!$1:$1,'ACH CALC'!M$2,'TALLY BOX DUMP'!44:44)+AD45)</f>
        <v>0</v>
      </c>
      <c r="N45" s="21">
        <f ca="1">IF($D45="","",SUMIF('TALLY BOX DUMP'!$1:$1,'ACH CALC'!N$2,'TALLY BOX DUMP'!44:44))</f>
        <v>0</v>
      </c>
      <c r="O45" s="21">
        <f ca="1">IF($D45="","",SUMIF('TALLY BOX DUMP'!$1:$1,'ACH CALC'!O$2,'TALLY BOX DUMP'!44:44))</f>
        <v>0</v>
      </c>
      <c r="P45" s="21">
        <f ca="1">IF($D45="","",SUMIF('TALLY BOX DUMP'!$1:$1,'ACH CALC'!P$2,'TALLY BOX DUMP'!44:44))</f>
        <v>0</v>
      </c>
      <c r="Q45" s="21">
        <f t="shared" ca="1" si="1"/>
        <v>0</v>
      </c>
      <c r="R45" s="21">
        <f ca="1">IF($D45="","",SUMIF('TALLY BOX DUMP'!$1:$1,'ACH CALC'!R$2,'TALLY BOX DUMP'!44:44))</f>
        <v>0</v>
      </c>
      <c r="S45" s="21">
        <f ca="1">IF($D45="","",SUMIF('TALLY BOX DUMP'!$1:$1,'ACH CALC'!S$2,'TALLY BOX DUMP'!44:44))</f>
        <v>0</v>
      </c>
      <c r="T45" s="21">
        <f ca="1">IF($D45="","",SUMIF('TALLY BOX DUMP'!$1:$1,'ACH CALC'!T$2,'TALLY BOX DUMP'!44:44))</f>
        <v>0</v>
      </c>
      <c r="U45" s="21">
        <f ca="1">IF($D45="","",SUMIF('TALLY BOX DUMP'!$1:$1,'ACH CALC'!U$2,'TALLY BOX DUMP'!44:44))</f>
        <v>0</v>
      </c>
      <c r="V45" s="21">
        <f ca="1">IF($D45="","",SUMIF('TALLY BOX DUMP'!$1:$1,'ACH CALC'!V$2,'TALLY BOX DUMP'!44:44))</f>
        <v>0</v>
      </c>
      <c r="W45" s="21">
        <f ca="1">IF($D45="","",SUMIF('TALLY BOX DUMP'!$1:$1,'ACH CALC'!W$2,'TALLY BOX DUMP'!44:44))</f>
        <v>0</v>
      </c>
      <c r="X45" s="21">
        <f ca="1">IF($D45="","",SUMIF('TALLY BOX DUMP'!$1:$1,'ACH CALC'!X$2,'TALLY BOX DUMP'!44:44))</f>
        <v>0</v>
      </c>
      <c r="Y45" s="21">
        <f ca="1">IF($D45="","",SUMIF('TALLY BOX DUMP'!$1:$1,'ACH CALC'!Y$2,'TALLY BOX DUMP'!44:44))</f>
        <v>0</v>
      </c>
      <c r="Z45" s="21">
        <f ca="1">IF($D45="","",SUMIF('TALLY BOX DUMP'!$1:$1,'ACH CALC'!Z$2,'TALLY BOX DUMP'!44:44)+AE45)</f>
        <v>0</v>
      </c>
      <c r="AA45" s="21">
        <f ca="1">IF($D45="","",SUMIF('TALLY BOX DUMP'!$1:$1,'ACH CALC'!AA$2,'TALLY BOX DUMP'!44:44))</f>
        <v>0</v>
      </c>
      <c r="AB45" s="21">
        <f ca="1">IF($D45="","",SUMIF('TALLY BOX DUMP'!$1:$1,'ACH CALC'!AB$2,'TALLY BOX DUMP'!44:44))</f>
        <v>0</v>
      </c>
      <c r="AC45" s="21">
        <f ca="1">IF($D45="","",SUMIF('TALLY BOX DUMP'!$1:$1,'ACH CALC'!AC$2,'TALLY BOX DUMP'!44:44))</f>
        <v>0</v>
      </c>
      <c r="AD45" s="21">
        <f ca="1">IF($D45="","",SUMIF('TALLY BOX DUMP'!$1:$1,'ACH CALC'!AD$2,'TALLY BOX DUMP'!44:44))</f>
        <v>0</v>
      </c>
      <c r="AE45" s="21">
        <f ca="1">IF($D45="","",SUMIF('TALLY BOX DUMP'!$1:$1,'ACH CALC'!AE$2,'TALLY BOX DUMP'!44:44))</f>
        <v>0</v>
      </c>
      <c r="AF45" s="21">
        <f ca="1">IF($D45="","",SUMIF('TALLY BOX DUMP'!$1:$1,'ACH CALC'!AF$2,'TALLY BOX DUMP'!44:44))</f>
        <v>0</v>
      </c>
      <c r="AG45" s="21">
        <f ca="1">IF($D45="","",SUMIF('TALLY BOX DUMP'!$1:$1,'ACH CALC'!AG$2,'TALLY BOX DUMP'!44:44))</f>
        <v>0</v>
      </c>
      <c r="AH45" s="21">
        <f ca="1">IF($D45="","",SUMIF('TALLY BOX DUMP'!$1:$1,'ACH CALC'!AH$2,'TALLY BOX DUMP'!44:44))</f>
        <v>0</v>
      </c>
      <c r="AI45" s="21">
        <f ca="1">IF($D45="","",SUMIF('TALLY BOX DUMP'!$1:$1,'ACH CALC'!AI$2,'TALLY BOX DUMP'!44:44))</f>
        <v>0</v>
      </c>
      <c r="AJ45" s="21">
        <f ca="1">IF($D45="","",SUMIF('TALLY BOX DUMP'!$1:$1,'ACH CALC'!AJ$2,'TALLY BOX DUMP'!44:44))</f>
        <v>0</v>
      </c>
      <c r="AK45" s="21">
        <f ca="1">IF($D45="","",SUMIF('TALLY BOX DUMP'!$1:$1,'ACH CALC'!AK$2,'TALLY BOX DUMP'!44:44))</f>
        <v>0</v>
      </c>
      <c r="AL45" s="21">
        <f ca="1">IF($D45="","",ROUND(SUMIF('TALLY KG DUMP'!$1:$1,'ACH CALC'!AL$2,'TALLY KG DUMP'!44:44)/30,1))</f>
        <v>0</v>
      </c>
      <c r="AM45" s="21">
        <f ca="1">IF($D45="","",SUMIF('TALLY BOX DUMP'!$1:$1,'ACH CALC'!AM$2,'TALLY BOX DUMP'!44:44))</f>
        <v>19</v>
      </c>
      <c r="AN45" s="21">
        <f ca="1">IF($D45="","",SUMIF('TALLY BOX DUMP'!$1:$1,'ACH CALC'!AN$2,'TALLY BOX DUMP'!44:44))</f>
        <v>0</v>
      </c>
      <c r="AO45" s="21">
        <f ca="1">IF($D45="","",SUMIF('TALLY BOX DUMP'!$1:$1,'ACH CALC'!AO$2,'TALLY BOX DUMP'!44:44))</f>
        <v>2</v>
      </c>
      <c r="AP45" s="21">
        <f ca="1">IF($D45="","",SUMIF('TALLY BOX DUMP'!$1:$1,'ACH CALC'!AP$2,'TALLY BOX DUMP'!44:44))</f>
        <v>0</v>
      </c>
      <c r="AQ45" s="21">
        <f ca="1">IF($D45="","",ROUND(SUMIF('TALLY KG DUMP'!$1:$1,'ACH CALC'!AQ$2,'TALLY KG DUMP'!44:44)/30,1))</f>
        <v>0</v>
      </c>
      <c r="AR45" s="21">
        <f ca="1">IF($D45="","",SUMIF('TALLY BOX DUMP'!$1:$1,'ACH CALC'!AR$2,'TALLY BOX DUMP'!44:44))</f>
        <v>0</v>
      </c>
      <c r="AS45" s="21">
        <f ca="1">IF($D45="","",SUMIF('TALLY BOX DUMP'!$1:$1,'ACH CALC'!AS$2,'TALLY BOX DUMP'!44:44))</f>
        <v>0</v>
      </c>
      <c r="AT45" s="21">
        <f ca="1">IF($D45="","",SUMIF('TALLY BOX DUMP'!$1:$1,'ACH CALC'!AT$2,'TALLY BOX DUMP'!44:44))</f>
        <v>0</v>
      </c>
      <c r="AU45" s="21">
        <f ca="1">IF($D45="","",SUMIF('TALLY BOX DUMP'!$1:$1,'ACH CALC'!AU$2,'TALLY BOX DUMP'!44:44))</f>
        <v>0</v>
      </c>
      <c r="AV45" s="21">
        <f ca="1">IF($D45="","",SUMIF('TALLY BOX DUMP'!$1:$1,'ACH CALC'!AV$2,'TALLY BOX DUMP'!44:44))</f>
        <v>0</v>
      </c>
      <c r="AW45" s="21">
        <f ca="1">IF($D45="","",SUMIF('TALLY BOX DUMP'!$1:$1,'ACH CALC'!AW$2,'TALLY BOX DUMP'!44:44))</f>
        <v>0</v>
      </c>
      <c r="AX45" s="21">
        <f ca="1">IF($D45="","",SUMIF('TALLY BOX DUMP'!$1:$1,'ACH CALC'!AX$2,'TALLY BOX DUMP'!44:44))</f>
        <v>0</v>
      </c>
      <c r="AY45" s="21">
        <f ca="1">IF($D45="","",SUMIF('TALLY BOX DUMP'!$1:$1,'ACH CALC'!AY$2,'TALLY BOX DUMP'!44:44))</f>
        <v>0</v>
      </c>
      <c r="AZ45" s="21">
        <f ca="1">IF($D45="","",SUMIF('TALLY BOX DUMP'!$1:$1,'ACH CALC'!AZ$2,'TALLY BOX DUMP'!44:44))</f>
        <v>0</v>
      </c>
      <c r="BA45" s="69">
        <f>(SUMIF('TALLY KG DUMP'!$2:$2,"Qty",'TALLY KG DUMP'!44:44)/1000)-(SUMIF('TALLY KG DUMP'!$1:$1,"GL",'TALLY KG DUMP'!44:44)/1000)</f>
        <v>1.996</v>
      </c>
      <c r="BB45" s="21" t="b">
        <f t="shared" ca="1" si="2"/>
        <v>1</v>
      </c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</row>
    <row r="46" spans="2:75" x14ac:dyDescent="0.25">
      <c r="B46" s="21" t="str">
        <f ca="1"/>
        <v>43</v>
      </c>
      <c r="C46" s="21" t="str">
        <f ca="1"/>
        <v>SUN01871</v>
      </c>
      <c r="D46" s="21" t="str">
        <f ca="1"/>
        <v>ARCOT M.K.TRADERS</v>
      </c>
      <c r="E46" s="21">
        <f ca="1">IF($D46="","",(SUMIF('TALLY KG DUMP'!$2:$2,"Qty",'TALLY KG DUMP'!45:45)/1000)-(SUMIF('TALLY KG DUMP'!$1:$1,"GL",'TALLY KG DUMP'!45:45)/1000))</f>
        <v>0.88200000000000001</v>
      </c>
      <c r="F46" s="21">
        <f ca="1">IF($D46="","",(SUMIF('TALLY KG DUMP'!$1:$1,'ACH CALC'!F$2,'TALLY KG DUMP'!45:45)/1000))</f>
        <v>0</v>
      </c>
      <c r="G46" s="21">
        <f ca="1">IF($D46="","",SUMIF('TALLY BOX DUMP'!$1:$1,'ACH CALC'!G$2,'TALLY BOX DUMP'!45:45)+Y46)</f>
        <v>0</v>
      </c>
      <c r="H46" s="21">
        <f t="shared" ca="1" si="0"/>
        <v>0</v>
      </c>
      <c r="I46" s="21">
        <f ca="1">IF($D46="","",SUMIF('TALLY BOX DUMP'!$1:$1,'ACH CALC'!I$2,'TALLY BOX DUMP'!45:45)+AA46)</f>
        <v>0</v>
      </c>
      <c r="J46" s="21">
        <f ca="1">IF($D46="","",SUMIF('TALLY BOX DUMP'!$1:$1,'ACH CALC'!J$2,'TALLY BOX DUMP'!45:45)+AB46)</f>
        <v>0</v>
      </c>
      <c r="K46" s="21">
        <f ca="1">IF($D46="","",SUMIF('TALLY BOX DUMP'!$1:$1,'ACH CALC'!K$2,'TALLY BOX DUMP'!45:45)+AC46)</f>
        <v>0</v>
      </c>
      <c r="L46" s="21">
        <f ca="1">IF($D46="","",SUMIF('TALLY BOX DUMP'!$1:$1,'ACH CALC'!L$2,'TALLY BOX DUMP'!45:45))</f>
        <v>0</v>
      </c>
      <c r="M46" s="21">
        <f ca="1">IF($D46="","",SUMIF('TALLY BOX DUMP'!$1:$1,'ACH CALC'!M$2,'TALLY BOX DUMP'!45:45)+AD46)</f>
        <v>0</v>
      </c>
      <c r="N46" s="21">
        <f ca="1">IF($D46="","",SUMIF('TALLY BOX DUMP'!$1:$1,'ACH CALC'!N$2,'TALLY BOX DUMP'!45:45))</f>
        <v>0</v>
      </c>
      <c r="O46" s="21">
        <f ca="1">IF($D46="","",SUMIF('TALLY BOX DUMP'!$1:$1,'ACH CALC'!O$2,'TALLY BOX DUMP'!45:45))</f>
        <v>0</v>
      </c>
      <c r="P46" s="21">
        <f ca="1">IF($D46="","",SUMIF('TALLY BOX DUMP'!$1:$1,'ACH CALC'!P$2,'TALLY BOX DUMP'!45:45))</f>
        <v>0</v>
      </c>
      <c r="Q46" s="21">
        <f t="shared" ca="1" si="1"/>
        <v>0</v>
      </c>
      <c r="R46" s="21">
        <f ca="1">IF($D46="","",SUMIF('TALLY BOX DUMP'!$1:$1,'ACH CALC'!R$2,'TALLY BOX DUMP'!45:45))</f>
        <v>0</v>
      </c>
      <c r="S46" s="21">
        <f ca="1">IF($D46="","",SUMIF('TALLY BOX DUMP'!$1:$1,'ACH CALC'!S$2,'TALLY BOX DUMP'!45:45))</f>
        <v>0</v>
      </c>
      <c r="T46" s="21">
        <f ca="1">IF($D46="","",SUMIF('TALLY BOX DUMP'!$1:$1,'ACH CALC'!T$2,'TALLY BOX DUMP'!45:45))</f>
        <v>0</v>
      </c>
      <c r="U46" s="21">
        <f ca="1">IF($D46="","",SUMIF('TALLY BOX DUMP'!$1:$1,'ACH CALC'!U$2,'TALLY BOX DUMP'!45:45))</f>
        <v>0</v>
      </c>
      <c r="V46" s="21">
        <f ca="1">IF($D46="","",SUMIF('TALLY BOX DUMP'!$1:$1,'ACH CALC'!V$2,'TALLY BOX DUMP'!45:45))</f>
        <v>0</v>
      </c>
      <c r="W46" s="21">
        <f ca="1">IF($D46="","",SUMIF('TALLY BOX DUMP'!$1:$1,'ACH CALC'!W$2,'TALLY BOX DUMP'!45:45))</f>
        <v>0</v>
      </c>
      <c r="X46" s="21">
        <f ca="1">IF($D46="","",SUMIF('TALLY BOX DUMP'!$1:$1,'ACH CALC'!X$2,'TALLY BOX DUMP'!45:45))</f>
        <v>0</v>
      </c>
      <c r="Y46" s="21">
        <f ca="1">IF($D46="","",SUMIF('TALLY BOX DUMP'!$1:$1,'ACH CALC'!Y$2,'TALLY BOX DUMP'!45:45))</f>
        <v>0</v>
      </c>
      <c r="Z46" s="21">
        <f ca="1">IF($D46="","",SUMIF('TALLY BOX DUMP'!$1:$1,'ACH CALC'!Z$2,'TALLY BOX DUMP'!45:45)+AE46)</f>
        <v>0</v>
      </c>
      <c r="AA46" s="21">
        <f ca="1">IF($D46="","",SUMIF('TALLY BOX DUMP'!$1:$1,'ACH CALC'!AA$2,'TALLY BOX DUMP'!45:45))</f>
        <v>0</v>
      </c>
      <c r="AB46" s="21">
        <f ca="1">IF($D46="","",SUMIF('TALLY BOX DUMP'!$1:$1,'ACH CALC'!AB$2,'TALLY BOX DUMP'!45:45))</f>
        <v>0</v>
      </c>
      <c r="AC46" s="21">
        <f ca="1">IF($D46="","",SUMIF('TALLY BOX DUMP'!$1:$1,'ACH CALC'!AC$2,'TALLY BOX DUMP'!45:45))</f>
        <v>0</v>
      </c>
      <c r="AD46" s="21">
        <f ca="1">IF($D46="","",SUMIF('TALLY BOX DUMP'!$1:$1,'ACH CALC'!AD$2,'TALLY BOX DUMP'!45:45))</f>
        <v>0</v>
      </c>
      <c r="AE46" s="21">
        <f ca="1">IF($D46="","",SUMIF('TALLY BOX DUMP'!$1:$1,'ACH CALC'!AE$2,'TALLY BOX DUMP'!45:45))</f>
        <v>0</v>
      </c>
      <c r="AF46" s="21">
        <f ca="1">IF($D46="","",SUMIF('TALLY BOX DUMP'!$1:$1,'ACH CALC'!AF$2,'TALLY BOX DUMP'!45:45))</f>
        <v>0</v>
      </c>
      <c r="AG46" s="21">
        <f ca="1">IF($D46="","",SUMIF('TALLY BOX DUMP'!$1:$1,'ACH CALC'!AG$2,'TALLY BOX DUMP'!45:45))</f>
        <v>0</v>
      </c>
      <c r="AH46" s="21">
        <f ca="1">IF($D46="","",SUMIF('TALLY BOX DUMP'!$1:$1,'ACH CALC'!AH$2,'TALLY BOX DUMP'!45:45))</f>
        <v>0</v>
      </c>
      <c r="AI46" s="21">
        <f ca="1">IF($D46="","",SUMIF('TALLY BOX DUMP'!$1:$1,'ACH CALC'!AI$2,'TALLY BOX DUMP'!45:45))</f>
        <v>0</v>
      </c>
      <c r="AJ46" s="21">
        <f ca="1">IF($D46="","",SUMIF('TALLY BOX DUMP'!$1:$1,'ACH CALC'!AJ$2,'TALLY BOX DUMP'!45:45))</f>
        <v>0</v>
      </c>
      <c r="AK46" s="21">
        <f ca="1">IF($D46="","",SUMIF('TALLY BOX DUMP'!$1:$1,'ACH CALC'!AK$2,'TALLY BOX DUMP'!45:45))</f>
        <v>0</v>
      </c>
      <c r="AL46" s="21">
        <f ca="1">IF($D46="","",ROUND(SUMIF('TALLY KG DUMP'!$1:$1,'ACH CALC'!AL$2,'TALLY KG DUMP'!45:45)/30,1))</f>
        <v>0</v>
      </c>
      <c r="AM46" s="21">
        <f ca="1">IF($D46="","",SUMIF('TALLY BOX DUMP'!$1:$1,'ACH CALC'!AM$2,'TALLY BOX DUMP'!45:45))</f>
        <v>11</v>
      </c>
      <c r="AN46" s="21">
        <f ca="1">IF($D46="","",SUMIF('TALLY BOX DUMP'!$1:$1,'ACH CALC'!AN$2,'TALLY BOX DUMP'!45:45))</f>
        <v>0</v>
      </c>
      <c r="AO46" s="21">
        <f ca="1">IF($D46="","",SUMIF('TALLY BOX DUMP'!$1:$1,'ACH CALC'!AO$2,'TALLY BOX DUMP'!45:45))</f>
        <v>1</v>
      </c>
      <c r="AP46" s="21">
        <f ca="1">IF($D46="","",SUMIF('TALLY BOX DUMP'!$1:$1,'ACH CALC'!AP$2,'TALLY BOX DUMP'!45:45))</f>
        <v>0</v>
      </c>
      <c r="AQ46" s="21">
        <f ca="1">IF($D46="","",ROUND(SUMIF('TALLY KG DUMP'!$1:$1,'ACH CALC'!AQ$2,'TALLY KG DUMP'!45:45)/30,1))</f>
        <v>0</v>
      </c>
      <c r="AR46" s="21">
        <f ca="1">IF($D46="","",SUMIF('TALLY BOX DUMP'!$1:$1,'ACH CALC'!AR$2,'TALLY BOX DUMP'!45:45))</f>
        <v>0</v>
      </c>
      <c r="AS46" s="21">
        <f ca="1">IF($D46="","",SUMIF('TALLY BOX DUMP'!$1:$1,'ACH CALC'!AS$2,'TALLY BOX DUMP'!45:45))</f>
        <v>0</v>
      </c>
      <c r="AT46" s="21">
        <f ca="1">IF($D46="","",SUMIF('TALLY BOX DUMP'!$1:$1,'ACH CALC'!AT$2,'TALLY BOX DUMP'!45:45))</f>
        <v>0</v>
      </c>
      <c r="AU46" s="21">
        <f ca="1">IF($D46="","",SUMIF('TALLY BOX DUMP'!$1:$1,'ACH CALC'!AU$2,'TALLY BOX DUMP'!45:45))</f>
        <v>0</v>
      </c>
      <c r="AV46" s="21">
        <f ca="1">IF($D46="","",SUMIF('TALLY BOX DUMP'!$1:$1,'ACH CALC'!AV$2,'TALLY BOX DUMP'!45:45))</f>
        <v>0</v>
      </c>
      <c r="AW46" s="21">
        <f ca="1">IF($D46="","",SUMIF('TALLY BOX DUMP'!$1:$1,'ACH CALC'!AW$2,'TALLY BOX DUMP'!45:45))</f>
        <v>0</v>
      </c>
      <c r="AX46" s="21">
        <f ca="1">IF($D46="","",SUMIF('TALLY BOX DUMP'!$1:$1,'ACH CALC'!AX$2,'TALLY BOX DUMP'!45:45))</f>
        <v>0</v>
      </c>
      <c r="AY46" s="21">
        <f ca="1">IF($D46="","",SUMIF('TALLY BOX DUMP'!$1:$1,'ACH CALC'!AY$2,'TALLY BOX DUMP'!45:45))</f>
        <v>0</v>
      </c>
      <c r="AZ46" s="21">
        <f ca="1">IF($D46="","",SUMIF('TALLY BOX DUMP'!$1:$1,'ACH CALC'!AZ$2,'TALLY BOX DUMP'!45:45))</f>
        <v>0</v>
      </c>
      <c r="BA46" s="69">
        <f>(SUMIF('TALLY KG DUMP'!$2:$2,"Qty",'TALLY KG DUMP'!45:45)/1000)-(SUMIF('TALLY KG DUMP'!$1:$1,"GL",'TALLY KG DUMP'!45:45)/1000)</f>
        <v>0.88200000000000001</v>
      </c>
      <c r="BB46" s="21" t="b">
        <f t="shared" ca="1" si="2"/>
        <v>1</v>
      </c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</row>
    <row r="47" spans="2:75" x14ac:dyDescent="0.25">
      <c r="B47" s="21" t="str">
        <f ca="1"/>
        <v>44</v>
      </c>
      <c r="C47" s="21" t="str">
        <f ca="1"/>
        <v>SUN02861</v>
      </c>
      <c r="D47" s="21" t="str">
        <f ca="1"/>
        <v>VANIYAMBADI SREE RAGAVENDRA AGENCIES</v>
      </c>
      <c r="E47" s="21">
        <f ca="1">IF($D47="","",(SUMIF('TALLY KG DUMP'!$2:$2,"Qty",'TALLY KG DUMP'!46:46)/1000)-(SUMIF('TALLY KG DUMP'!$1:$1,"GL",'TALLY KG DUMP'!46:46)/1000))</f>
        <v>1.379</v>
      </c>
      <c r="F47" s="21">
        <f ca="1">IF($D47="","",(SUMIF('TALLY KG DUMP'!$1:$1,'ACH CALC'!F$2,'TALLY KG DUMP'!46:46)/1000))</f>
        <v>0</v>
      </c>
      <c r="G47" s="21">
        <f ca="1">IF($D47="","",SUMIF('TALLY BOX DUMP'!$1:$1,'ACH CALC'!G$2,'TALLY BOX DUMP'!46:46)+Y47)</f>
        <v>0</v>
      </c>
      <c r="H47" s="21">
        <f t="shared" ca="1" si="0"/>
        <v>0</v>
      </c>
      <c r="I47" s="21">
        <f ca="1">IF($D47="","",SUMIF('TALLY BOX DUMP'!$1:$1,'ACH CALC'!I$2,'TALLY BOX DUMP'!46:46)+AA47)</f>
        <v>0</v>
      </c>
      <c r="J47" s="21">
        <f ca="1">IF($D47="","",SUMIF('TALLY BOX DUMP'!$1:$1,'ACH CALC'!J$2,'TALLY BOX DUMP'!46:46)+AB47)</f>
        <v>0</v>
      </c>
      <c r="K47" s="21">
        <f ca="1">IF($D47="","",SUMIF('TALLY BOX DUMP'!$1:$1,'ACH CALC'!K$2,'TALLY BOX DUMP'!46:46)+AC47)</f>
        <v>0</v>
      </c>
      <c r="L47" s="21">
        <f ca="1">IF($D47="","",SUMIF('TALLY BOX DUMP'!$1:$1,'ACH CALC'!L$2,'TALLY BOX DUMP'!46:46))</f>
        <v>0</v>
      </c>
      <c r="M47" s="21">
        <f ca="1">IF($D47="","",SUMIF('TALLY BOX DUMP'!$1:$1,'ACH CALC'!M$2,'TALLY BOX DUMP'!46:46)+AD47)</f>
        <v>0</v>
      </c>
      <c r="N47" s="21">
        <f ca="1">IF($D47="","",SUMIF('TALLY BOX DUMP'!$1:$1,'ACH CALC'!N$2,'TALLY BOX DUMP'!46:46))</f>
        <v>0</v>
      </c>
      <c r="O47" s="21">
        <f ca="1">IF($D47="","",SUMIF('TALLY BOX DUMP'!$1:$1,'ACH CALC'!O$2,'TALLY BOX DUMP'!46:46))</f>
        <v>0</v>
      </c>
      <c r="P47" s="21">
        <f ca="1">IF($D47="","",SUMIF('TALLY BOX DUMP'!$1:$1,'ACH CALC'!P$2,'TALLY BOX DUMP'!46:46))</f>
        <v>0</v>
      </c>
      <c r="Q47" s="21">
        <f t="shared" ca="1" si="1"/>
        <v>0</v>
      </c>
      <c r="R47" s="21">
        <f ca="1">IF($D47="","",SUMIF('TALLY BOX DUMP'!$1:$1,'ACH CALC'!R$2,'TALLY BOX DUMP'!46:46))</f>
        <v>0</v>
      </c>
      <c r="S47" s="21">
        <f ca="1">IF($D47="","",SUMIF('TALLY BOX DUMP'!$1:$1,'ACH CALC'!S$2,'TALLY BOX DUMP'!46:46))</f>
        <v>0</v>
      </c>
      <c r="T47" s="21">
        <f ca="1">IF($D47="","",SUMIF('TALLY BOX DUMP'!$1:$1,'ACH CALC'!T$2,'TALLY BOX DUMP'!46:46))</f>
        <v>0</v>
      </c>
      <c r="U47" s="21">
        <f ca="1">IF($D47="","",SUMIF('TALLY BOX DUMP'!$1:$1,'ACH CALC'!U$2,'TALLY BOX DUMP'!46:46))</f>
        <v>0</v>
      </c>
      <c r="V47" s="21">
        <f ca="1">IF($D47="","",SUMIF('TALLY BOX DUMP'!$1:$1,'ACH CALC'!V$2,'TALLY BOX DUMP'!46:46))</f>
        <v>0</v>
      </c>
      <c r="W47" s="21">
        <f ca="1">IF($D47="","",SUMIF('TALLY BOX DUMP'!$1:$1,'ACH CALC'!W$2,'TALLY BOX DUMP'!46:46))</f>
        <v>0</v>
      </c>
      <c r="X47" s="21">
        <f ca="1">IF($D47="","",SUMIF('TALLY BOX DUMP'!$1:$1,'ACH CALC'!X$2,'TALLY BOX DUMP'!46:46))</f>
        <v>0</v>
      </c>
      <c r="Y47" s="21">
        <f ca="1">IF($D47="","",SUMIF('TALLY BOX DUMP'!$1:$1,'ACH CALC'!Y$2,'TALLY BOX DUMP'!46:46))</f>
        <v>0</v>
      </c>
      <c r="Z47" s="21">
        <f ca="1">IF($D47="","",SUMIF('TALLY BOX DUMP'!$1:$1,'ACH CALC'!Z$2,'TALLY BOX DUMP'!46:46)+AE47)</f>
        <v>0</v>
      </c>
      <c r="AA47" s="21">
        <f ca="1">IF($D47="","",SUMIF('TALLY BOX DUMP'!$1:$1,'ACH CALC'!AA$2,'TALLY BOX DUMP'!46:46))</f>
        <v>0</v>
      </c>
      <c r="AB47" s="21">
        <f ca="1">IF($D47="","",SUMIF('TALLY BOX DUMP'!$1:$1,'ACH CALC'!AB$2,'TALLY BOX DUMP'!46:46))</f>
        <v>0</v>
      </c>
      <c r="AC47" s="21">
        <f ca="1">IF($D47="","",SUMIF('TALLY BOX DUMP'!$1:$1,'ACH CALC'!AC$2,'TALLY BOX DUMP'!46:46))</f>
        <v>0</v>
      </c>
      <c r="AD47" s="21">
        <f ca="1">IF($D47="","",SUMIF('TALLY BOX DUMP'!$1:$1,'ACH CALC'!AD$2,'TALLY BOX DUMP'!46:46))</f>
        <v>0</v>
      </c>
      <c r="AE47" s="21">
        <f ca="1">IF($D47="","",SUMIF('TALLY BOX DUMP'!$1:$1,'ACH CALC'!AE$2,'TALLY BOX DUMP'!46:46))</f>
        <v>0</v>
      </c>
      <c r="AF47" s="21">
        <f ca="1">IF($D47="","",SUMIF('TALLY BOX DUMP'!$1:$1,'ACH CALC'!AF$2,'TALLY BOX DUMP'!46:46))</f>
        <v>0</v>
      </c>
      <c r="AG47" s="21">
        <f ca="1">IF($D47="","",SUMIF('TALLY BOX DUMP'!$1:$1,'ACH CALC'!AG$2,'TALLY BOX DUMP'!46:46))</f>
        <v>0</v>
      </c>
      <c r="AH47" s="21">
        <f ca="1">IF($D47="","",SUMIF('TALLY BOX DUMP'!$1:$1,'ACH CALC'!AH$2,'TALLY BOX DUMP'!46:46))</f>
        <v>0</v>
      </c>
      <c r="AI47" s="21">
        <f ca="1">IF($D47="","",SUMIF('TALLY BOX DUMP'!$1:$1,'ACH CALC'!AI$2,'TALLY BOX DUMP'!46:46))</f>
        <v>0</v>
      </c>
      <c r="AJ47" s="21">
        <f ca="1">IF($D47="","",SUMIF('TALLY BOX DUMP'!$1:$1,'ACH CALC'!AJ$2,'TALLY BOX DUMP'!46:46))</f>
        <v>0</v>
      </c>
      <c r="AK47" s="21">
        <f ca="1">IF($D47="","",SUMIF('TALLY BOX DUMP'!$1:$1,'ACH CALC'!AK$2,'TALLY BOX DUMP'!46:46))</f>
        <v>0</v>
      </c>
      <c r="AL47" s="21">
        <f ca="1">IF($D47="","",ROUND(SUMIF('TALLY KG DUMP'!$1:$1,'ACH CALC'!AL$2,'TALLY KG DUMP'!46:46)/30,1))</f>
        <v>0</v>
      </c>
      <c r="AM47" s="21">
        <f ca="1">IF($D47="","",SUMIF('TALLY BOX DUMP'!$1:$1,'ACH CALC'!AM$2,'TALLY BOX DUMP'!46:46))</f>
        <v>3</v>
      </c>
      <c r="AN47" s="21">
        <f ca="1">IF($D47="","",SUMIF('TALLY BOX DUMP'!$1:$1,'ACH CALC'!AN$2,'TALLY BOX DUMP'!46:46))</f>
        <v>0</v>
      </c>
      <c r="AO47" s="21">
        <f ca="1">IF($D47="","",SUMIF('TALLY BOX DUMP'!$1:$1,'ACH CALC'!AO$2,'TALLY BOX DUMP'!46:46))</f>
        <v>2</v>
      </c>
      <c r="AP47" s="21">
        <f ca="1">IF($D47="","",SUMIF('TALLY BOX DUMP'!$1:$1,'ACH CALC'!AP$2,'TALLY BOX DUMP'!46:46))</f>
        <v>0</v>
      </c>
      <c r="AQ47" s="21">
        <f ca="1">IF($D47="","",ROUND(SUMIF('TALLY KG DUMP'!$1:$1,'ACH CALC'!AQ$2,'TALLY KG DUMP'!46:46)/30,1))</f>
        <v>0</v>
      </c>
      <c r="AR47" s="21">
        <f ca="1">IF($D47="","",SUMIF('TALLY BOX DUMP'!$1:$1,'ACH CALC'!AR$2,'TALLY BOX DUMP'!46:46))</f>
        <v>0</v>
      </c>
      <c r="AS47" s="21">
        <f ca="1">IF($D47="","",SUMIF('TALLY BOX DUMP'!$1:$1,'ACH CALC'!AS$2,'TALLY BOX DUMP'!46:46))</f>
        <v>0</v>
      </c>
      <c r="AT47" s="21">
        <f ca="1">IF($D47="","",SUMIF('TALLY BOX DUMP'!$1:$1,'ACH CALC'!AT$2,'TALLY BOX DUMP'!46:46))</f>
        <v>0</v>
      </c>
      <c r="AU47" s="21">
        <f ca="1">IF($D47="","",SUMIF('TALLY BOX DUMP'!$1:$1,'ACH CALC'!AU$2,'TALLY BOX DUMP'!46:46))</f>
        <v>0</v>
      </c>
      <c r="AV47" s="21">
        <f ca="1">IF($D47="","",SUMIF('TALLY BOX DUMP'!$1:$1,'ACH CALC'!AV$2,'TALLY BOX DUMP'!46:46))</f>
        <v>0</v>
      </c>
      <c r="AW47" s="21">
        <f ca="1">IF($D47="","",SUMIF('TALLY BOX DUMP'!$1:$1,'ACH CALC'!AW$2,'TALLY BOX DUMP'!46:46))</f>
        <v>0</v>
      </c>
      <c r="AX47" s="21">
        <f ca="1">IF($D47="","",SUMIF('TALLY BOX DUMP'!$1:$1,'ACH CALC'!AX$2,'TALLY BOX DUMP'!46:46))</f>
        <v>0</v>
      </c>
      <c r="AY47" s="21">
        <f ca="1">IF($D47="","",SUMIF('TALLY BOX DUMP'!$1:$1,'ACH CALC'!AY$2,'TALLY BOX DUMP'!46:46))</f>
        <v>0</v>
      </c>
      <c r="AZ47" s="21">
        <f ca="1">IF($D47="","",SUMIF('TALLY BOX DUMP'!$1:$1,'ACH CALC'!AZ$2,'TALLY BOX DUMP'!46:46))</f>
        <v>0</v>
      </c>
      <c r="BA47" s="69">
        <f>(SUMIF('TALLY KG DUMP'!$2:$2,"Qty",'TALLY KG DUMP'!46:46)/1000)-(SUMIF('TALLY KG DUMP'!$1:$1,"GL",'TALLY KG DUMP'!46:46)/1000)</f>
        <v>1.379</v>
      </c>
      <c r="BB47" s="21" t="b">
        <f t="shared" ca="1" si="2"/>
        <v>1</v>
      </c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</row>
    <row r="48" spans="2:75" x14ac:dyDescent="0.25">
      <c r="B48" s="21" t="str">
        <f ca="1"/>
        <v>45</v>
      </c>
      <c r="C48" s="21" t="str">
        <f ca="1"/>
        <v>SUN03874</v>
      </c>
      <c r="D48" s="21" t="str">
        <f ca="1"/>
        <v>BLR - GOWRI PRIYA AGENCIES</v>
      </c>
      <c r="E48" s="21">
        <f ca="1">IF($D48="","",(SUMIF('TALLY KG DUMP'!$2:$2,"Qty",'TALLY KG DUMP'!47:47)/1000)-(SUMIF('TALLY KG DUMP'!$1:$1,"GL",'TALLY KG DUMP'!47:47)/1000))</f>
        <v>0</v>
      </c>
      <c r="F48" s="21">
        <f ca="1">IF($D48="","",(SUMIF('TALLY KG DUMP'!$1:$1,'ACH CALC'!F$2,'TALLY KG DUMP'!47:47)/1000))</f>
        <v>0</v>
      </c>
      <c r="G48" s="21">
        <f ca="1">IF($D48="","",SUMIF('TALLY BOX DUMP'!$1:$1,'ACH CALC'!G$2,'TALLY BOX DUMP'!47:47)+Y48)</f>
        <v>0</v>
      </c>
      <c r="H48" s="21">
        <f t="shared" ca="1" si="0"/>
        <v>0</v>
      </c>
      <c r="I48" s="21">
        <f ca="1">IF($D48="","",SUMIF('TALLY BOX DUMP'!$1:$1,'ACH CALC'!I$2,'TALLY BOX DUMP'!47:47)+AA48)</f>
        <v>0</v>
      </c>
      <c r="J48" s="21">
        <f ca="1">IF($D48="","",SUMIF('TALLY BOX DUMP'!$1:$1,'ACH CALC'!J$2,'TALLY BOX DUMP'!47:47)+AB48)</f>
        <v>0</v>
      </c>
      <c r="K48" s="21">
        <f ca="1">IF($D48="","",SUMIF('TALLY BOX DUMP'!$1:$1,'ACH CALC'!K$2,'TALLY BOX DUMP'!47:47)+AC48)</f>
        <v>0</v>
      </c>
      <c r="L48" s="21">
        <f ca="1">IF($D48="","",SUMIF('TALLY BOX DUMP'!$1:$1,'ACH CALC'!L$2,'TALLY BOX DUMP'!47:47))</f>
        <v>0</v>
      </c>
      <c r="M48" s="21">
        <f ca="1">IF($D48="","",SUMIF('TALLY BOX DUMP'!$1:$1,'ACH CALC'!M$2,'TALLY BOX DUMP'!47:47)+AD48)</f>
        <v>0</v>
      </c>
      <c r="N48" s="21">
        <f ca="1">IF($D48="","",SUMIF('TALLY BOX DUMP'!$1:$1,'ACH CALC'!N$2,'TALLY BOX DUMP'!47:47))</f>
        <v>0</v>
      </c>
      <c r="O48" s="21">
        <f ca="1">IF($D48="","",SUMIF('TALLY BOX DUMP'!$1:$1,'ACH CALC'!O$2,'TALLY BOX DUMP'!47:47))</f>
        <v>0</v>
      </c>
      <c r="P48" s="21">
        <f ca="1">IF($D48="","",SUMIF('TALLY BOX DUMP'!$1:$1,'ACH CALC'!P$2,'TALLY BOX DUMP'!47:47))</f>
        <v>0</v>
      </c>
      <c r="Q48" s="21">
        <f t="shared" ca="1" si="1"/>
        <v>0</v>
      </c>
      <c r="R48" s="21">
        <f ca="1">IF($D48="","",SUMIF('TALLY BOX DUMP'!$1:$1,'ACH CALC'!R$2,'TALLY BOX DUMP'!47:47))</f>
        <v>0</v>
      </c>
      <c r="S48" s="21">
        <f ca="1">IF($D48="","",SUMIF('TALLY BOX DUMP'!$1:$1,'ACH CALC'!S$2,'TALLY BOX DUMP'!47:47))</f>
        <v>0</v>
      </c>
      <c r="T48" s="21">
        <f ca="1">IF($D48="","",SUMIF('TALLY BOX DUMP'!$1:$1,'ACH CALC'!T$2,'TALLY BOX DUMP'!47:47))</f>
        <v>0</v>
      </c>
      <c r="U48" s="21">
        <f ca="1">IF($D48="","",SUMIF('TALLY BOX DUMP'!$1:$1,'ACH CALC'!U$2,'TALLY BOX DUMP'!47:47))</f>
        <v>0</v>
      </c>
      <c r="V48" s="21">
        <f ca="1">IF($D48="","",SUMIF('TALLY BOX DUMP'!$1:$1,'ACH CALC'!V$2,'TALLY BOX DUMP'!47:47))</f>
        <v>0</v>
      </c>
      <c r="W48" s="21">
        <f ca="1">IF($D48="","",SUMIF('TALLY BOX DUMP'!$1:$1,'ACH CALC'!W$2,'TALLY BOX DUMP'!47:47))</f>
        <v>0</v>
      </c>
      <c r="X48" s="21">
        <f ca="1">IF($D48="","",SUMIF('TALLY BOX DUMP'!$1:$1,'ACH CALC'!X$2,'TALLY BOX DUMP'!47:47))</f>
        <v>0</v>
      </c>
      <c r="Y48" s="21">
        <f ca="1">IF($D48="","",SUMIF('TALLY BOX DUMP'!$1:$1,'ACH CALC'!Y$2,'TALLY BOX DUMP'!47:47))</f>
        <v>0</v>
      </c>
      <c r="Z48" s="21">
        <f ca="1">IF($D48="","",SUMIF('TALLY BOX DUMP'!$1:$1,'ACH CALC'!Z$2,'TALLY BOX DUMP'!47:47)+AE48)</f>
        <v>0</v>
      </c>
      <c r="AA48" s="21">
        <f ca="1">IF($D48="","",SUMIF('TALLY BOX DUMP'!$1:$1,'ACH CALC'!AA$2,'TALLY BOX DUMP'!47:47))</f>
        <v>0</v>
      </c>
      <c r="AB48" s="21">
        <f ca="1">IF($D48="","",SUMIF('TALLY BOX DUMP'!$1:$1,'ACH CALC'!AB$2,'TALLY BOX DUMP'!47:47))</f>
        <v>0</v>
      </c>
      <c r="AC48" s="21">
        <f ca="1">IF($D48="","",SUMIF('TALLY BOX DUMP'!$1:$1,'ACH CALC'!AC$2,'TALLY BOX DUMP'!47:47))</f>
        <v>0</v>
      </c>
      <c r="AD48" s="21">
        <f ca="1">IF($D48="","",SUMIF('TALLY BOX DUMP'!$1:$1,'ACH CALC'!AD$2,'TALLY BOX DUMP'!47:47))</f>
        <v>0</v>
      </c>
      <c r="AE48" s="21">
        <f ca="1">IF($D48="","",SUMIF('TALLY BOX DUMP'!$1:$1,'ACH CALC'!AE$2,'TALLY BOX DUMP'!47:47))</f>
        <v>0</v>
      </c>
      <c r="AF48" s="21">
        <f ca="1">IF($D48="","",SUMIF('TALLY BOX DUMP'!$1:$1,'ACH CALC'!AF$2,'TALLY BOX DUMP'!47:47))</f>
        <v>0</v>
      </c>
      <c r="AG48" s="21">
        <f ca="1">IF($D48="","",SUMIF('TALLY BOX DUMP'!$1:$1,'ACH CALC'!AG$2,'TALLY BOX DUMP'!47:47))</f>
        <v>0</v>
      </c>
      <c r="AH48" s="21">
        <f ca="1">IF($D48="","",SUMIF('TALLY BOX DUMP'!$1:$1,'ACH CALC'!AH$2,'TALLY BOX DUMP'!47:47))</f>
        <v>0</v>
      </c>
      <c r="AI48" s="21">
        <f ca="1">IF($D48="","",SUMIF('TALLY BOX DUMP'!$1:$1,'ACH CALC'!AI$2,'TALLY BOX DUMP'!47:47))</f>
        <v>0</v>
      </c>
      <c r="AJ48" s="21">
        <f ca="1">IF($D48="","",SUMIF('TALLY BOX DUMP'!$1:$1,'ACH CALC'!AJ$2,'TALLY BOX DUMP'!47:47))</f>
        <v>0</v>
      </c>
      <c r="AK48" s="21">
        <f ca="1">IF($D48="","",SUMIF('TALLY BOX DUMP'!$1:$1,'ACH CALC'!AK$2,'TALLY BOX DUMP'!47:47))</f>
        <v>0</v>
      </c>
      <c r="AL48" s="21">
        <f ca="1">IF($D48="","",ROUND(SUMIF('TALLY KG DUMP'!$1:$1,'ACH CALC'!AL$2,'TALLY KG DUMP'!47:47)/30,1))</f>
        <v>0</v>
      </c>
      <c r="AM48" s="21">
        <f ca="1">IF($D48="","",SUMIF('TALLY BOX DUMP'!$1:$1,'ACH CALC'!AM$2,'TALLY BOX DUMP'!47:47))</f>
        <v>0</v>
      </c>
      <c r="AN48" s="21">
        <f ca="1">IF($D48="","",SUMIF('TALLY BOX DUMP'!$1:$1,'ACH CALC'!AN$2,'TALLY BOX DUMP'!47:47))</f>
        <v>0</v>
      </c>
      <c r="AO48" s="21">
        <f ca="1">IF($D48="","",SUMIF('TALLY BOX DUMP'!$1:$1,'ACH CALC'!AO$2,'TALLY BOX DUMP'!47:47))</f>
        <v>0</v>
      </c>
      <c r="AP48" s="21">
        <f ca="1">IF($D48="","",SUMIF('TALLY BOX DUMP'!$1:$1,'ACH CALC'!AP$2,'TALLY BOX DUMP'!47:47))</f>
        <v>0</v>
      </c>
      <c r="AQ48" s="21">
        <f ca="1">IF($D48="","",ROUND(SUMIF('TALLY KG DUMP'!$1:$1,'ACH CALC'!AQ$2,'TALLY KG DUMP'!47:47)/30,1))</f>
        <v>0</v>
      </c>
      <c r="AR48" s="21">
        <f ca="1">IF($D48="","",SUMIF('TALLY BOX DUMP'!$1:$1,'ACH CALC'!AR$2,'TALLY BOX DUMP'!47:47))</f>
        <v>0</v>
      </c>
      <c r="AS48" s="21">
        <f ca="1">IF($D48="","",SUMIF('TALLY BOX DUMP'!$1:$1,'ACH CALC'!AS$2,'TALLY BOX DUMP'!47:47))</f>
        <v>0</v>
      </c>
      <c r="AT48" s="21">
        <f ca="1">IF($D48="","",SUMIF('TALLY BOX DUMP'!$1:$1,'ACH CALC'!AT$2,'TALLY BOX DUMP'!47:47))</f>
        <v>0</v>
      </c>
      <c r="AU48" s="21">
        <f ca="1">IF($D48="","",SUMIF('TALLY BOX DUMP'!$1:$1,'ACH CALC'!AU$2,'TALLY BOX DUMP'!47:47))</f>
        <v>0</v>
      </c>
      <c r="AV48" s="21">
        <f ca="1">IF($D48="","",SUMIF('TALLY BOX DUMP'!$1:$1,'ACH CALC'!AV$2,'TALLY BOX DUMP'!47:47))</f>
        <v>0</v>
      </c>
      <c r="AW48" s="21">
        <f ca="1">IF($D48="","",SUMIF('TALLY BOX DUMP'!$1:$1,'ACH CALC'!AW$2,'TALLY BOX DUMP'!47:47))</f>
        <v>0</v>
      </c>
      <c r="AX48" s="21">
        <f ca="1">IF($D48="","",SUMIF('TALLY BOX DUMP'!$1:$1,'ACH CALC'!AX$2,'TALLY BOX DUMP'!47:47))</f>
        <v>0</v>
      </c>
      <c r="AY48" s="21">
        <f ca="1">IF($D48="","",SUMIF('TALLY BOX DUMP'!$1:$1,'ACH CALC'!AY$2,'TALLY BOX DUMP'!47:47))</f>
        <v>0</v>
      </c>
      <c r="AZ48" s="21">
        <f ca="1">IF($D48="","",SUMIF('TALLY BOX DUMP'!$1:$1,'ACH CALC'!AZ$2,'TALLY BOX DUMP'!47:47))</f>
        <v>0</v>
      </c>
      <c r="BA48" s="69">
        <f>(SUMIF('TALLY KG DUMP'!$2:$2,"Qty",'TALLY KG DUMP'!47:47)/1000)-(SUMIF('TALLY KG DUMP'!$1:$1,"GL",'TALLY KG DUMP'!47:47)/1000)</f>
        <v>0</v>
      </c>
      <c r="BB48" s="21" t="b">
        <f t="shared" ca="1" si="2"/>
        <v>1</v>
      </c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</row>
    <row r="49" spans="2:75" x14ac:dyDescent="0.25">
      <c r="B49" s="21" t="str">
        <f ca="1"/>
        <v>46</v>
      </c>
      <c r="C49" s="21" t="str">
        <f ca="1"/>
        <v>SUN06764</v>
      </c>
      <c r="D49" s="21" t="str">
        <f ca="1"/>
        <v>AP-SHABARI OILS</v>
      </c>
      <c r="E49" s="21">
        <f ca="1">IF($D49="","",(SUMIF('TALLY KG DUMP'!$2:$2,"Qty",'TALLY KG DUMP'!48:48)/1000)-(SUMIF('TALLY KG DUMP'!$1:$1,"GL",'TALLY KG DUMP'!48:48)/1000))</f>
        <v>0</v>
      </c>
      <c r="F49" s="21">
        <f ca="1">IF($D49="","",(SUMIF('TALLY KG DUMP'!$1:$1,'ACH CALC'!F$2,'TALLY KG DUMP'!48:48)/1000))</f>
        <v>0</v>
      </c>
      <c r="G49" s="21">
        <f ca="1">IF($D49="","",SUMIF('TALLY BOX DUMP'!$1:$1,'ACH CALC'!G$2,'TALLY BOX DUMP'!48:48)+Y49)</f>
        <v>0</v>
      </c>
      <c r="H49" s="21">
        <f t="shared" ca="1" si="0"/>
        <v>0</v>
      </c>
      <c r="I49" s="21">
        <f ca="1">IF($D49="","",SUMIF('TALLY BOX DUMP'!$1:$1,'ACH CALC'!I$2,'TALLY BOX DUMP'!48:48)+AA49)</f>
        <v>0</v>
      </c>
      <c r="J49" s="21">
        <f ca="1">IF($D49="","",SUMIF('TALLY BOX DUMP'!$1:$1,'ACH CALC'!J$2,'TALLY BOX DUMP'!48:48)+AB49)</f>
        <v>0</v>
      </c>
      <c r="K49" s="21">
        <f ca="1">IF($D49="","",SUMIF('TALLY BOX DUMP'!$1:$1,'ACH CALC'!K$2,'TALLY BOX DUMP'!48:48)+AC49)</f>
        <v>0</v>
      </c>
      <c r="L49" s="21">
        <f ca="1">IF($D49="","",SUMIF('TALLY BOX DUMP'!$1:$1,'ACH CALC'!L$2,'TALLY BOX DUMP'!48:48))</f>
        <v>0</v>
      </c>
      <c r="M49" s="21">
        <f ca="1">IF($D49="","",SUMIF('TALLY BOX DUMP'!$1:$1,'ACH CALC'!M$2,'TALLY BOX DUMP'!48:48)+AD49)</f>
        <v>0</v>
      </c>
      <c r="N49" s="21">
        <f ca="1">IF($D49="","",SUMIF('TALLY BOX DUMP'!$1:$1,'ACH CALC'!N$2,'TALLY BOX DUMP'!48:48))</f>
        <v>0</v>
      </c>
      <c r="O49" s="21">
        <f ca="1">IF($D49="","",SUMIF('TALLY BOX DUMP'!$1:$1,'ACH CALC'!O$2,'TALLY BOX DUMP'!48:48))</f>
        <v>0</v>
      </c>
      <c r="P49" s="21">
        <f ca="1">IF($D49="","",SUMIF('TALLY BOX DUMP'!$1:$1,'ACH CALC'!P$2,'TALLY BOX DUMP'!48:48))</f>
        <v>0</v>
      </c>
      <c r="Q49" s="21">
        <f t="shared" ca="1" si="1"/>
        <v>0</v>
      </c>
      <c r="R49" s="21">
        <f ca="1">IF($D49="","",SUMIF('TALLY BOX DUMP'!$1:$1,'ACH CALC'!R$2,'TALLY BOX DUMP'!48:48))</f>
        <v>0</v>
      </c>
      <c r="S49" s="21">
        <f ca="1">IF($D49="","",SUMIF('TALLY BOX DUMP'!$1:$1,'ACH CALC'!S$2,'TALLY BOX DUMP'!48:48))</f>
        <v>0</v>
      </c>
      <c r="T49" s="21">
        <f ca="1">IF($D49="","",SUMIF('TALLY BOX DUMP'!$1:$1,'ACH CALC'!T$2,'TALLY BOX DUMP'!48:48))</f>
        <v>0</v>
      </c>
      <c r="U49" s="21">
        <f ca="1">IF($D49="","",SUMIF('TALLY BOX DUMP'!$1:$1,'ACH CALC'!U$2,'TALLY BOX DUMP'!48:48))</f>
        <v>0</v>
      </c>
      <c r="V49" s="21">
        <f ca="1">IF($D49="","",SUMIF('TALLY BOX DUMP'!$1:$1,'ACH CALC'!V$2,'TALLY BOX DUMP'!48:48))</f>
        <v>0</v>
      </c>
      <c r="W49" s="21">
        <f ca="1">IF($D49="","",SUMIF('TALLY BOX DUMP'!$1:$1,'ACH CALC'!W$2,'TALLY BOX DUMP'!48:48))</f>
        <v>0</v>
      </c>
      <c r="X49" s="21">
        <f ca="1">IF($D49="","",SUMIF('TALLY BOX DUMP'!$1:$1,'ACH CALC'!X$2,'TALLY BOX DUMP'!48:48))</f>
        <v>0</v>
      </c>
      <c r="Y49" s="21">
        <f ca="1">IF($D49="","",SUMIF('TALLY BOX DUMP'!$1:$1,'ACH CALC'!Y$2,'TALLY BOX DUMP'!48:48))</f>
        <v>0</v>
      </c>
      <c r="Z49" s="21">
        <f ca="1">IF($D49="","",SUMIF('TALLY BOX DUMP'!$1:$1,'ACH CALC'!Z$2,'TALLY BOX DUMP'!48:48)+AE49)</f>
        <v>0</v>
      </c>
      <c r="AA49" s="21">
        <f ca="1">IF($D49="","",SUMIF('TALLY BOX DUMP'!$1:$1,'ACH CALC'!AA$2,'TALLY BOX DUMP'!48:48))</f>
        <v>0</v>
      </c>
      <c r="AB49" s="21">
        <f ca="1">IF($D49="","",SUMIF('TALLY BOX DUMP'!$1:$1,'ACH CALC'!AB$2,'TALLY BOX DUMP'!48:48))</f>
        <v>0</v>
      </c>
      <c r="AC49" s="21">
        <f ca="1">IF($D49="","",SUMIF('TALLY BOX DUMP'!$1:$1,'ACH CALC'!AC$2,'TALLY BOX DUMP'!48:48))</f>
        <v>0</v>
      </c>
      <c r="AD49" s="21">
        <f ca="1">IF($D49="","",SUMIF('TALLY BOX DUMP'!$1:$1,'ACH CALC'!AD$2,'TALLY BOX DUMP'!48:48))</f>
        <v>0</v>
      </c>
      <c r="AE49" s="21">
        <f ca="1">IF($D49="","",SUMIF('TALLY BOX DUMP'!$1:$1,'ACH CALC'!AE$2,'TALLY BOX DUMP'!48:48))</f>
        <v>0</v>
      </c>
      <c r="AF49" s="21">
        <f ca="1">IF($D49="","",SUMIF('TALLY BOX DUMP'!$1:$1,'ACH CALC'!AF$2,'TALLY BOX DUMP'!48:48))</f>
        <v>0</v>
      </c>
      <c r="AG49" s="21">
        <f ca="1">IF($D49="","",SUMIF('TALLY BOX DUMP'!$1:$1,'ACH CALC'!AG$2,'TALLY BOX DUMP'!48:48))</f>
        <v>0</v>
      </c>
      <c r="AH49" s="21">
        <f ca="1">IF($D49="","",SUMIF('TALLY BOX DUMP'!$1:$1,'ACH CALC'!AH$2,'TALLY BOX DUMP'!48:48))</f>
        <v>0</v>
      </c>
      <c r="AI49" s="21">
        <f ca="1">IF($D49="","",SUMIF('TALLY BOX DUMP'!$1:$1,'ACH CALC'!AI$2,'TALLY BOX DUMP'!48:48))</f>
        <v>0</v>
      </c>
      <c r="AJ49" s="21">
        <f ca="1">IF($D49="","",SUMIF('TALLY BOX DUMP'!$1:$1,'ACH CALC'!AJ$2,'TALLY BOX DUMP'!48:48))</f>
        <v>0</v>
      </c>
      <c r="AK49" s="21">
        <f ca="1">IF($D49="","",SUMIF('TALLY BOX DUMP'!$1:$1,'ACH CALC'!AK$2,'TALLY BOX DUMP'!48:48))</f>
        <v>0</v>
      </c>
      <c r="AL49" s="21">
        <f ca="1">IF($D49="","",ROUND(SUMIF('TALLY KG DUMP'!$1:$1,'ACH CALC'!AL$2,'TALLY KG DUMP'!48:48)/30,1))</f>
        <v>0</v>
      </c>
      <c r="AM49" s="21">
        <f ca="1">IF($D49="","",SUMIF('TALLY BOX DUMP'!$1:$1,'ACH CALC'!AM$2,'TALLY BOX DUMP'!48:48))</f>
        <v>0</v>
      </c>
      <c r="AN49" s="21">
        <f ca="1">IF($D49="","",SUMIF('TALLY BOX DUMP'!$1:$1,'ACH CALC'!AN$2,'TALLY BOX DUMP'!48:48))</f>
        <v>0</v>
      </c>
      <c r="AO49" s="21">
        <f ca="1">IF($D49="","",SUMIF('TALLY BOX DUMP'!$1:$1,'ACH CALC'!AO$2,'TALLY BOX DUMP'!48:48))</f>
        <v>0</v>
      </c>
      <c r="AP49" s="21">
        <f ca="1">IF($D49="","",SUMIF('TALLY BOX DUMP'!$1:$1,'ACH CALC'!AP$2,'TALLY BOX DUMP'!48:48))</f>
        <v>0</v>
      </c>
      <c r="AQ49" s="21">
        <f ca="1">IF($D49="","",ROUND(SUMIF('TALLY KG DUMP'!$1:$1,'ACH CALC'!AQ$2,'TALLY KG DUMP'!48:48)/30,1))</f>
        <v>0</v>
      </c>
      <c r="AR49" s="21">
        <f ca="1">IF($D49="","",SUMIF('TALLY BOX DUMP'!$1:$1,'ACH CALC'!AR$2,'TALLY BOX DUMP'!48:48))</f>
        <v>0</v>
      </c>
      <c r="AS49" s="21">
        <f ca="1">IF($D49="","",SUMIF('TALLY BOX DUMP'!$1:$1,'ACH CALC'!AS$2,'TALLY BOX DUMP'!48:48))</f>
        <v>0</v>
      </c>
      <c r="AT49" s="21">
        <f ca="1">IF($D49="","",SUMIF('TALLY BOX DUMP'!$1:$1,'ACH CALC'!AT$2,'TALLY BOX DUMP'!48:48))</f>
        <v>0</v>
      </c>
      <c r="AU49" s="21">
        <f ca="1">IF($D49="","",SUMIF('TALLY BOX DUMP'!$1:$1,'ACH CALC'!AU$2,'TALLY BOX DUMP'!48:48))</f>
        <v>0</v>
      </c>
      <c r="AV49" s="21">
        <f ca="1">IF($D49="","",SUMIF('TALLY BOX DUMP'!$1:$1,'ACH CALC'!AV$2,'TALLY BOX DUMP'!48:48))</f>
        <v>0</v>
      </c>
      <c r="AW49" s="21">
        <f ca="1">IF($D49="","",SUMIF('TALLY BOX DUMP'!$1:$1,'ACH CALC'!AW$2,'TALLY BOX DUMP'!48:48))</f>
        <v>0</v>
      </c>
      <c r="AX49" s="21">
        <f ca="1">IF($D49="","",SUMIF('TALLY BOX DUMP'!$1:$1,'ACH CALC'!AX$2,'TALLY BOX DUMP'!48:48))</f>
        <v>0</v>
      </c>
      <c r="AY49" s="21">
        <f ca="1">IF($D49="","",SUMIF('TALLY BOX DUMP'!$1:$1,'ACH CALC'!AY$2,'TALLY BOX DUMP'!48:48))</f>
        <v>0</v>
      </c>
      <c r="AZ49" s="21">
        <f ca="1">IF($D49="","",SUMIF('TALLY BOX DUMP'!$1:$1,'ACH CALC'!AZ$2,'TALLY BOX DUMP'!48:48))</f>
        <v>0</v>
      </c>
      <c r="BA49" s="69">
        <f>(SUMIF('TALLY KG DUMP'!$2:$2,"Qty",'TALLY KG DUMP'!48:48)/1000)-(SUMIF('TALLY KG DUMP'!$1:$1,"GL",'TALLY KG DUMP'!48:48)/1000)</f>
        <v>0</v>
      </c>
      <c r="BB49" s="21" t="b">
        <f t="shared" ca="1" si="2"/>
        <v>1</v>
      </c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</row>
    <row r="50" spans="2:75" x14ac:dyDescent="0.25">
      <c r="B50" s="21" t="str">
        <f ca="1"/>
        <v>47</v>
      </c>
      <c r="C50" s="21" t="str">
        <f ca="1"/>
        <v>SUN06759</v>
      </c>
      <c r="D50" s="21" t="str">
        <f ca="1"/>
        <v>AP-RAZIYA BABY OIL MILL (KADAPPA)</v>
      </c>
      <c r="E50" s="21">
        <f ca="1">IF($D50="","",(SUMIF('TALLY KG DUMP'!$2:$2,"Qty",'TALLY KG DUMP'!49:49)/1000)-(SUMIF('TALLY KG DUMP'!$1:$1,"GL",'TALLY KG DUMP'!49:49)/1000))</f>
        <v>0</v>
      </c>
      <c r="F50" s="21">
        <f ca="1">IF($D50="","",(SUMIF('TALLY KG DUMP'!$1:$1,'ACH CALC'!F$2,'TALLY KG DUMP'!49:49)/1000))</f>
        <v>0</v>
      </c>
      <c r="G50" s="21">
        <f ca="1">IF($D50="","",SUMIF('TALLY BOX DUMP'!$1:$1,'ACH CALC'!G$2,'TALLY BOX DUMP'!49:49)+Y50)</f>
        <v>0</v>
      </c>
      <c r="H50" s="21">
        <f t="shared" ca="1" si="0"/>
        <v>0</v>
      </c>
      <c r="I50" s="21">
        <f ca="1">IF($D50="","",SUMIF('TALLY BOX DUMP'!$1:$1,'ACH CALC'!I$2,'TALLY BOX DUMP'!49:49)+AA50)</f>
        <v>0</v>
      </c>
      <c r="J50" s="21">
        <f ca="1">IF($D50="","",SUMIF('TALLY BOX DUMP'!$1:$1,'ACH CALC'!J$2,'TALLY BOX DUMP'!49:49)+AB50)</f>
        <v>0</v>
      </c>
      <c r="K50" s="21">
        <f ca="1">IF($D50="","",SUMIF('TALLY BOX DUMP'!$1:$1,'ACH CALC'!K$2,'TALLY BOX DUMP'!49:49)+AC50)</f>
        <v>0</v>
      </c>
      <c r="L50" s="21">
        <f ca="1">IF($D50="","",SUMIF('TALLY BOX DUMP'!$1:$1,'ACH CALC'!L$2,'TALLY BOX DUMP'!49:49))</f>
        <v>0</v>
      </c>
      <c r="M50" s="21">
        <f ca="1">IF($D50="","",SUMIF('TALLY BOX DUMP'!$1:$1,'ACH CALC'!M$2,'TALLY BOX DUMP'!49:49)+AD50)</f>
        <v>0</v>
      </c>
      <c r="N50" s="21">
        <f ca="1">IF($D50="","",SUMIF('TALLY BOX DUMP'!$1:$1,'ACH CALC'!N$2,'TALLY BOX DUMP'!49:49))</f>
        <v>0</v>
      </c>
      <c r="O50" s="21">
        <f ca="1">IF($D50="","",SUMIF('TALLY BOX DUMP'!$1:$1,'ACH CALC'!O$2,'TALLY BOX DUMP'!49:49))</f>
        <v>0</v>
      </c>
      <c r="P50" s="21">
        <f ca="1">IF($D50="","",SUMIF('TALLY BOX DUMP'!$1:$1,'ACH CALC'!P$2,'TALLY BOX DUMP'!49:49))</f>
        <v>0</v>
      </c>
      <c r="Q50" s="21">
        <f t="shared" ca="1" si="1"/>
        <v>0</v>
      </c>
      <c r="R50" s="21">
        <f ca="1">IF($D50="","",SUMIF('TALLY BOX DUMP'!$1:$1,'ACH CALC'!R$2,'TALLY BOX DUMP'!49:49))</f>
        <v>0</v>
      </c>
      <c r="S50" s="21">
        <f ca="1">IF($D50="","",SUMIF('TALLY BOX DUMP'!$1:$1,'ACH CALC'!S$2,'TALLY BOX DUMP'!49:49))</f>
        <v>0</v>
      </c>
      <c r="T50" s="21">
        <f ca="1">IF($D50="","",SUMIF('TALLY BOX DUMP'!$1:$1,'ACH CALC'!T$2,'TALLY BOX DUMP'!49:49))</f>
        <v>0</v>
      </c>
      <c r="U50" s="21">
        <f ca="1">IF($D50="","",SUMIF('TALLY BOX DUMP'!$1:$1,'ACH CALC'!U$2,'TALLY BOX DUMP'!49:49))</f>
        <v>0</v>
      </c>
      <c r="V50" s="21">
        <f ca="1">IF($D50="","",SUMIF('TALLY BOX DUMP'!$1:$1,'ACH CALC'!V$2,'TALLY BOX DUMP'!49:49))</f>
        <v>0</v>
      </c>
      <c r="W50" s="21">
        <f ca="1">IF($D50="","",SUMIF('TALLY BOX DUMP'!$1:$1,'ACH CALC'!W$2,'TALLY BOX DUMP'!49:49))</f>
        <v>0</v>
      </c>
      <c r="X50" s="21">
        <f ca="1">IF($D50="","",SUMIF('TALLY BOX DUMP'!$1:$1,'ACH CALC'!X$2,'TALLY BOX DUMP'!49:49))</f>
        <v>0</v>
      </c>
      <c r="Y50" s="21">
        <f ca="1">IF($D50="","",SUMIF('TALLY BOX DUMP'!$1:$1,'ACH CALC'!Y$2,'TALLY BOX DUMP'!49:49))</f>
        <v>0</v>
      </c>
      <c r="Z50" s="21">
        <f ca="1">IF($D50="","",SUMIF('TALLY BOX DUMP'!$1:$1,'ACH CALC'!Z$2,'TALLY BOX DUMP'!49:49)+AE50)</f>
        <v>0</v>
      </c>
      <c r="AA50" s="21">
        <f ca="1">IF($D50="","",SUMIF('TALLY BOX DUMP'!$1:$1,'ACH CALC'!AA$2,'TALLY BOX DUMP'!49:49))</f>
        <v>0</v>
      </c>
      <c r="AB50" s="21">
        <f ca="1">IF($D50="","",SUMIF('TALLY BOX DUMP'!$1:$1,'ACH CALC'!AB$2,'TALLY BOX DUMP'!49:49))</f>
        <v>0</v>
      </c>
      <c r="AC50" s="21">
        <f ca="1">IF($D50="","",SUMIF('TALLY BOX DUMP'!$1:$1,'ACH CALC'!AC$2,'TALLY BOX DUMP'!49:49))</f>
        <v>0</v>
      </c>
      <c r="AD50" s="21">
        <f ca="1">IF($D50="","",SUMIF('TALLY BOX DUMP'!$1:$1,'ACH CALC'!AD$2,'TALLY BOX DUMP'!49:49))</f>
        <v>0</v>
      </c>
      <c r="AE50" s="21">
        <f ca="1">IF($D50="","",SUMIF('TALLY BOX DUMP'!$1:$1,'ACH CALC'!AE$2,'TALLY BOX DUMP'!49:49))</f>
        <v>0</v>
      </c>
      <c r="AF50" s="21">
        <f ca="1">IF($D50="","",SUMIF('TALLY BOX DUMP'!$1:$1,'ACH CALC'!AF$2,'TALLY BOX DUMP'!49:49))</f>
        <v>0</v>
      </c>
      <c r="AG50" s="21">
        <f ca="1">IF($D50="","",SUMIF('TALLY BOX DUMP'!$1:$1,'ACH CALC'!AG$2,'TALLY BOX DUMP'!49:49))</f>
        <v>0</v>
      </c>
      <c r="AH50" s="21">
        <f ca="1">IF($D50="","",SUMIF('TALLY BOX DUMP'!$1:$1,'ACH CALC'!AH$2,'TALLY BOX DUMP'!49:49))</f>
        <v>0</v>
      </c>
      <c r="AI50" s="21">
        <f ca="1">IF($D50="","",SUMIF('TALLY BOX DUMP'!$1:$1,'ACH CALC'!AI$2,'TALLY BOX DUMP'!49:49))</f>
        <v>0</v>
      </c>
      <c r="AJ50" s="21">
        <f ca="1">IF($D50="","",SUMIF('TALLY BOX DUMP'!$1:$1,'ACH CALC'!AJ$2,'TALLY BOX DUMP'!49:49))</f>
        <v>0</v>
      </c>
      <c r="AK50" s="21">
        <f ca="1">IF($D50="","",SUMIF('TALLY BOX DUMP'!$1:$1,'ACH CALC'!AK$2,'TALLY BOX DUMP'!49:49))</f>
        <v>0</v>
      </c>
      <c r="AL50" s="21">
        <f ca="1">IF($D50="","",ROUND(SUMIF('TALLY KG DUMP'!$1:$1,'ACH CALC'!AL$2,'TALLY KG DUMP'!49:49)/30,1))</f>
        <v>0</v>
      </c>
      <c r="AM50" s="21">
        <f ca="1">IF($D50="","",SUMIF('TALLY BOX DUMP'!$1:$1,'ACH CALC'!AM$2,'TALLY BOX DUMP'!49:49))</f>
        <v>0</v>
      </c>
      <c r="AN50" s="21">
        <f ca="1">IF($D50="","",SUMIF('TALLY BOX DUMP'!$1:$1,'ACH CALC'!AN$2,'TALLY BOX DUMP'!49:49))</f>
        <v>0</v>
      </c>
      <c r="AO50" s="21">
        <f ca="1">IF($D50="","",SUMIF('TALLY BOX DUMP'!$1:$1,'ACH CALC'!AO$2,'TALLY BOX DUMP'!49:49))</f>
        <v>0</v>
      </c>
      <c r="AP50" s="21">
        <f ca="1">IF($D50="","",SUMIF('TALLY BOX DUMP'!$1:$1,'ACH CALC'!AP$2,'TALLY BOX DUMP'!49:49))</f>
        <v>0</v>
      </c>
      <c r="AQ50" s="21">
        <f ca="1">IF($D50="","",ROUND(SUMIF('TALLY KG DUMP'!$1:$1,'ACH CALC'!AQ$2,'TALLY KG DUMP'!49:49)/30,1))</f>
        <v>0</v>
      </c>
      <c r="AR50" s="21">
        <f ca="1">IF($D50="","",SUMIF('TALLY BOX DUMP'!$1:$1,'ACH CALC'!AR$2,'TALLY BOX DUMP'!49:49))</f>
        <v>0</v>
      </c>
      <c r="AS50" s="21">
        <f ca="1">IF($D50="","",SUMIF('TALLY BOX DUMP'!$1:$1,'ACH CALC'!AS$2,'TALLY BOX DUMP'!49:49))</f>
        <v>0</v>
      </c>
      <c r="AT50" s="21">
        <f ca="1">IF($D50="","",SUMIF('TALLY BOX DUMP'!$1:$1,'ACH CALC'!AT$2,'TALLY BOX DUMP'!49:49))</f>
        <v>0</v>
      </c>
      <c r="AU50" s="21">
        <f ca="1">IF($D50="","",SUMIF('TALLY BOX DUMP'!$1:$1,'ACH CALC'!AU$2,'TALLY BOX DUMP'!49:49))</f>
        <v>0</v>
      </c>
      <c r="AV50" s="21">
        <f ca="1">IF($D50="","",SUMIF('TALLY BOX DUMP'!$1:$1,'ACH CALC'!AV$2,'TALLY BOX DUMP'!49:49))</f>
        <v>0</v>
      </c>
      <c r="AW50" s="21">
        <f ca="1">IF($D50="","",SUMIF('TALLY BOX DUMP'!$1:$1,'ACH CALC'!AW$2,'TALLY BOX DUMP'!49:49))</f>
        <v>0</v>
      </c>
      <c r="AX50" s="21">
        <f ca="1">IF($D50="","",SUMIF('TALLY BOX DUMP'!$1:$1,'ACH CALC'!AX$2,'TALLY BOX DUMP'!49:49))</f>
        <v>0</v>
      </c>
      <c r="AY50" s="21">
        <f ca="1">IF($D50="","",SUMIF('TALLY BOX DUMP'!$1:$1,'ACH CALC'!AY$2,'TALLY BOX DUMP'!49:49))</f>
        <v>0</v>
      </c>
      <c r="AZ50" s="21">
        <f ca="1">IF($D50="","",SUMIF('TALLY BOX DUMP'!$1:$1,'ACH CALC'!AZ$2,'TALLY BOX DUMP'!49:49))</f>
        <v>0</v>
      </c>
      <c r="BA50" s="69">
        <f>(SUMIF('TALLY KG DUMP'!$2:$2,"Qty",'TALLY KG DUMP'!49:49)/1000)-(SUMIF('TALLY KG DUMP'!$1:$1,"GL",'TALLY KG DUMP'!49:49)/1000)</f>
        <v>0</v>
      </c>
      <c r="BB50" s="21" t="b">
        <f t="shared" ca="1" si="2"/>
        <v>1</v>
      </c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</row>
    <row r="51" spans="2:75" x14ac:dyDescent="0.25">
      <c r="B51" s="21" t="str">
        <f ca="1"/>
        <v>48</v>
      </c>
      <c r="C51" s="21" t="str">
        <f ca="1"/>
        <v>SUN02038</v>
      </c>
      <c r="D51" s="21" t="str">
        <f ca="1"/>
        <v>CBE.LIYA OIL TRADERS</v>
      </c>
      <c r="E51" s="21">
        <f ca="1">IF($D51="","",(SUMIF('TALLY KG DUMP'!$2:$2,"Qty",'TALLY KG DUMP'!50:50)/1000)-(SUMIF('TALLY KG DUMP'!$1:$1,"GL",'TALLY KG DUMP'!50:50)/1000))</f>
        <v>0.91</v>
      </c>
      <c r="F51" s="21">
        <f ca="1">IF($D51="","",(SUMIF('TALLY KG DUMP'!$1:$1,'ACH CALC'!F$2,'TALLY KG DUMP'!50:50)/1000))</f>
        <v>0</v>
      </c>
      <c r="G51" s="21">
        <f ca="1">IF($D51="","",SUMIF('TALLY BOX DUMP'!$1:$1,'ACH CALC'!G$2,'TALLY BOX DUMP'!50:50)+Y51)</f>
        <v>0</v>
      </c>
      <c r="H51" s="21">
        <f t="shared" ca="1" si="0"/>
        <v>0</v>
      </c>
      <c r="I51" s="21">
        <f ca="1">IF($D51="","",SUMIF('TALLY BOX DUMP'!$1:$1,'ACH CALC'!I$2,'TALLY BOX DUMP'!50:50)+AA51)</f>
        <v>0</v>
      </c>
      <c r="J51" s="21">
        <f ca="1">IF($D51="","",SUMIF('TALLY BOX DUMP'!$1:$1,'ACH CALC'!J$2,'TALLY BOX DUMP'!50:50)+AB51)</f>
        <v>0</v>
      </c>
      <c r="K51" s="21">
        <f ca="1">IF($D51="","",SUMIF('TALLY BOX DUMP'!$1:$1,'ACH CALC'!K$2,'TALLY BOX DUMP'!50:50)+AC51)</f>
        <v>0</v>
      </c>
      <c r="L51" s="21">
        <f ca="1">IF($D51="","",SUMIF('TALLY BOX DUMP'!$1:$1,'ACH CALC'!L$2,'TALLY BOX DUMP'!50:50))</f>
        <v>0</v>
      </c>
      <c r="M51" s="21">
        <f ca="1">IF($D51="","",SUMIF('TALLY BOX DUMP'!$1:$1,'ACH CALC'!M$2,'TALLY BOX DUMP'!50:50)+AD51)</f>
        <v>0</v>
      </c>
      <c r="N51" s="21">
        <f ca="1">IF($D51="","",SUMIF('TALLY BOX DUMP'!$1:$1,'ACH CALC'!N$2,'TALLY BOX DUMP'!50:50))</f>
        <v>0</v>
      </c>
      <c r="O51" s="21">
        <f ca="1">IF($D51="","",SUMIF('TALLY BOX DUMP'!$1:$1,'ACH CALC'!O$2,'TALLY BOX DUMP'!50:50))</f>
        <v>0</v>
      </c>
      <c r="P51" s="21">
        <f ca="1">IF($D51="","",SUMIF('TALLY BOX DUMP'!$1:$1,'ACH CALC'!P$2,'TALLY BOX DUMP'!50:50))</f>
        <v>0</v>
      </c>
      <c r="Q51" s="21">
        <f t="shared" ca="1" si="1"/>
        <v>0</v>
      </c>
      <c r="R51" s="21">
        <f ca="1">IF($D51="","",SUMIF('TALLY BOX DUMP'!$1:$1,'ACH CALC'!R$2,'TALLY BOX DUMP'!50:50))</f>
        <v>0</v>
      </c>
      <c r="S51" s="21">
        <f ca="1">IF($D51="","",SUMIF('TALLY BOX DUMP'!$1:$1,'ACH CALC'!S$2,'TALLY BOX DUMP'!50:50))</f>
        <v>0</v>
      </c>
      <c r="T51" s="21">
        <f ca="1">IF($D51="","",SUMIF('TALLY BOX DUMP'!$1:$1,'ACH CALC'!T$2,'TALLY BOX DUMP'!50:50))</f>
        <v>0</v>
      </c>
      <c r="U51" s="21">
        <f ca="1">IF($D51="","",SUMIF('TALLY BOX DUMP'!$1:$1,'ACH CALC'!U$2,'TALLY BOX DUMP'!50:50))</f>
        <v>0</v>
      </c>
      <c r="V51" s="21">
        <f ca="1">IF($D51="","",SUMIF('TALLY BOX DUMP'!$1:$1,'ACH CALC'!V$2,'TALLY BOX DUMP'!50:50))</f>
        <v>0</v>
      </c>
      <c r="W51" s="21">
        <f ca="1">IF($D51="","",SUMIF('TALLY BOX DUMP'!$1:$1,'ACH CALC'!W$2,'TALLY BOX DUMP'!50:50))</f>
        <v>0</v>
      </c>
      <c r="X51" s="21">
        <f ca="1">IF($D51="","",SUMIF('TALLY BOX DUMP'!$1:$1,'ACH CALC'!X$2,'TALLY BOX DUMP'!50:50))</f>
        <v>0</v>
      </c>
      <c r="Y51" s="21">
        <f ca="1">IF($D51="","",SUMIF('TALLY BOX DUMP'!$1:$1,'ACH CALC'!Y$2,'TALLY BOX DUMP'!50:50))</f>
        <v>0</v>
      </c>
      <c r="Z51" s="21">
        <f ca="1">IF($D51="","",SUMIF('TALLY BOX DUMP'!$1:$1,'ACH CALC'!Z$2,'TALLY BOX DUMP'!50:50)+AE51)</f>
        <v>0</v>
      </c>
      <c r="AA51" s="21">
        <f ca="1">IF($D51="","",SUMIF('TALLY BOX DUMP'!$1:$1,'ACH CALC'!AA$2,'TALLY BOX DUMP'!50:50))</f>
        <v>0</v>
      </c>
      <c r="AB51" s="21">
        <f ca="1">IF($D51="","",SUMIF('TALLY BOX DUMP'!$1:$1,'ACH CALC'!AB$2,'TALLY BOX DUMP'!50:50))</f>
        <v>0</v>
      </c>
      <c r="AC51" s="21">
        <f ca="1">IF($D51="","",SUMIF('TALLY BOX DUMP'!$1:$1,'ACH CALC'!AC$2,'TALLY BOX DUMP'!50:50))</f>
        <v>0</v>
      </c>
      <c r="AD51" s="21">
        <f ca="1">IF($D51="","",SUMIF('TALLY BOX DUMP'!$1:$1,'ACH CALC'!AD$2,'TALLY BOX DUMP'!50:50))</f>
        <v>0</v>
      </c>
      <c r="AE51" s="21">
        <f ca="1">IF($D51="","",SUMIF('TALLY BOX DUMP'!$1:$1,'ACH CALC'!AE$2,'TALLY BOX DUMP'!50:50))</f>
        <v>0</v>
      </c>
      <c r="AF51" s="21">
        <f ca="1">IF($D51="","",SUMIF('TALLY BOX DUMP'!$1:$1,'ACH CALC'!AF$2,'TALLY BOX DUMP'!50:50))</f>
        <v>0</v>
      </c>
      <c r="AG51" s="21">
        <f ca="1">IF($D51="","",SUMIF('TALLY BOX DUMP'!$1:$1,'ACH CALC'!AG$2,'TALLY BOX DUMP'!50:50))</f>
        <v>0</v>
      </c>
      <c r="AH51" s="21">
        <f ca="1">IF($D51="","",SUMIF('TALLY BOX DUMP'!$1:$1,'ACH CALC'!AH$2,'TALLY BOX DUMP'!50:50))</f>
        <v>0</v>
      </c>
      <c r="AI51" s="21">
        <f ca="1">IF($D51="","",SUMIF('TALLY BOX DUMP'!$1:$1,'ACH CALC'!AI$2,'TALLY BOX DUMP'!50:50))</f>
        <v>0</v>
      </c>
      <c r="AJ51" s="21">
        <f ca="1">IF($D51="","",SUMIF('TALLY BOX DUMP'!$1:$1,'ACH CALC'!AJ$2,'TALLY BOX DUMP'!50:50))</f>
        <v>0</v>
      </c>
      <c r="AK51" s="21">
        <f ca="1">IF($D51="","",SUMIF('TALLY BOX DUMP'!$1:$1,'ACH CALC'!AK$2,'TALLY BOX DUMP'!50:50))</f>
        <v>0</v>
      </c>
      <c r="AL51" s="21">
        <f ca="1">IF($D51="","",ROUND(SUMIF('TALLY KG DUMP'!$1:$1,'ACH CALC'!AL$2,'TALLY KG DUMP'!50:50)/30,1))</f>
        <v>0</v>
      </c>
      <c r="AM51" s="21">
        <f ca="1">IF($D51="","",SUMIF('TALLY BOX DUMP'!$1:$1,'ACH CALC'!AM$2,'TALLY BOX DUMP'!50:50))</f>
        <v>0</v>
      </c>
      <c r="AN51" s="21">
        <f ca="1">IF($D51="","",SUMIF('TALLY BOX DUMP'!$1:$1,'ACH CALC'!AN$2,'TALLY BOX DUMP'!50:50))</f>
        <v>0</v>
      </c>
      <c r="AO51" s="21">
        <f ca="1">IF($D51="","",SUMIF('TALLY BOX DUMP'!$1:$1,'ACH CALC'!AO$2,'TALLY BOX DUMP'!50:50))</f>
        <v>0</v>
      </c>
      <c r="AP51" s="21">
        <f ca="1">IF($D51="","",SUMIF('TALLY BOX DUMP'!$1:$1,'ACH CALC'!AP$2,'TALLY BOX DUMP'!50:50))</f>
        <v>0</v>
      </c>
      <c r="AQ51" s="21">
        <f ca="1">IF($D51="","",ROUND(SUMIF('TALLY KG DUMP'!$1:$1,'ACH CALC'!AQ$2,'TALLY KG DUMP'!50:50)/30,1))</f>
        <v>0</v>
      </c>
      <c r="AR51" s="21">
        <f ca="1">IF($D51="","",SUMIF('TALLY BOX DUMP'!$1:$1,'ACH CALC'!AR$2,'TALLY BOX DUMP'!50:50))</f>
        <v>0</v>
      </c>
      <c r="AS51" s="21">
        <f ca="1">IF($D51="","",SUMIF('TALLY BOX DUMP'!$1:$1,'ACH CALC'!AS$2,'TALLY BOX DUMP'!50:50))</f>
        <v>0</v>
      </c>
      <c r="AT51" s="21">
        <f ca="1">IF($D51="","",SUMIF('TALLY BOX DUMP'!$1:$1,'ACH CALC'!AT$2,'TALLY BOX DUMP'!50:50))</f>
        <v>0</v>
      </c>
      <c r="AU51" s="21">
        <f ca="1">IF($D51="","",SUMIF('TALLY BOX DUMP'!$1:$1,'ACH CALC'!AU$2,'TALLY BOX DUMP'!50:50))</f>
        <v>0</v>
      </c>
      <c r="AV51" s="21">
        <f ca="1">IF($D51="","",SUMIF('TALLY BOX DUMP'!$1:$1,'ACH CALC'!AV$2,'TALLY BOX DUMP'!50:50))</f>
        <v>0</v>
      </c>
      <c r="AW51" s="21">
        <f ca="1">IF($D51="","",SUMIF('TALLY BOX DUMP'!$1:$1,'ACH CALC'!AW$2,'TALLY BOX DUMP'!50:50))</f>
        <v>0</v>
      </c>
      <c r="AX51" s="21">
        <f ca="1">IF($D51="","",SUMIF('TALLY BOX DUMP'!$1:$1,'ACH CALC'!AX$2,'TALLY BOX DUMP'!50:50))</f>
        <v>0</v>
      </c>
      <c r="AY51" s="21">
        <f ca="1">IF($D51="","",SUMIF('TALLY BOX DUMP'!$1:$1,'ACH CALC'!AY$2,'TALLY BOX DUMP'!50:50))</f>
        <v>0</v>
      </c>
      <c r="AZ51" s="21">
        <f ca="1">IF($D51="","",SUMIF('TALLY BOX DUMP'!$1:$1,'ACH CALC'!AZ$2,'TALLY BOX DUMP'!50:50))</f>
        <v>0</v>
      </c>
      <c r="BA51" s="69">
        <f>(SUMIF('TALLY KG DUMP'!$2:$2,"Qty",'TALLY KG DUMP'!50:50)/1000)-(SUMIF('TALLY KG DUMP'!$1:$1,"GL",'TALLY KG DUMP'!50:50)/1000)</f>
        <v>0.91</v>
      </c>
      <c r="BB51" s="21" t="b">
        <f t="shared" ca="1" si="2"/>
        <v>1</v>
      </c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</row>
    <row r="52" spans="2:75" x14ac:dyDescent="0.25">
      <c r="B52" s="21" t="str">
        <f ca="1"/>
        <v>49</v>
      </c>
      <c r="C52" s="21" t="str">
        <f ca="1"/>
        <v>SUN07563</v>
      </c>
      <c r="D52" s="21" t="str">
        <f ca="1"/>
        <v>CBE-ALANKAR SUPER MARKET PRIVATE LIMITED</v>
      </c>
      <c r="E52" s="21">
        <f ca="1">IF($D52="","",(SUMIF('TALLY KG DUMP'!$2:$2,"Qty",'TALLY KG DUMP'!51:51)/1000)-(SUMIF('TALLY KG DUMP'!$1:$1,"GL",'TALLY KG DUMP'!51:51)/1000))</f>
        <v>1.82</v>
      </c>
      <c r="F52" s="21">
        <f ca="1">IF($D52="","",(SUMIF('TALLY KG DUMP'!$1:$1,'ACH CALC'!F$2,'TALLY KG DUMP'!51:51)/1000))</f>
        <v>0</v>
      </c>
      <c r="G52" s="21">
        <f ca="1">IF($D52="","",SUMIF('TALLY BOX DUMP'!$1:$1,'ACH CALC'!G$2,'TALLY BOX DUMP'!51:51)+Y52)</f>
        <v>0</v>
      </c>
      <c r="H52" s="21">
        <f t="shared" ca="1" si="0"/>
        <v>0</v>
      </c>
      <c r="I52" s="21">
        <f ca="1">IF($D52="","",SUMIF('TALLY BOX DUMP'!$1:$1,'ACH CALC'!I$2,'TALLY BOX DUMP'!51:51)+AA52)</f>
        <v>0</v>
      </c>
      <c r="J52" s="21">
        <f ca="1">IF($D52="","",SUMIF('TALLY BOX DUMP'!$1:$1,'ACH CALC'!J$2,'TALLY BOX DUMP'!51:51)+AB52)</f>
        <v>0</v>
      </c>
      <c r="K52" s="21">
        <f ca="1">IF($D52="","",SUMIF('TALLY BOX DUMP'!$1:$1,'ACH CALC'!K$2,'TALLY BOX DUMP'!51:51)+AC52)</f>
        <v>0</v>
      </c>
      <c r="L52" s="21">
        <f ca="1">IF($D52="","",SUMIF('TALLY BOX DUMP'!$1:$1,'ACH CALC'!L$2,'TALLY BOX DUMP'!51:51))</f>
        <v>0</v>
      </c>
      <c r="M52" s="21">
        <f ca="1">IF($D52="","",SUMIF('TALLY BOX DUMP'!$1:$1,'ACH CALC'!M$2,'TALLY BOX DUMP'!51:51)+AD52)</f>
        <v>0</v>
      </c>
      <c r="N52" s="21">
        <f ca="1">IF($D52="","",SUMIF('TALLY BOX DUMP'!$1:$1,'ACH CALC'!N$2,'TALLY BOX DUMP'!51:51))</f>
        <v>0</v>
      </c>
      <c r="O52" s="21">
        <f ca="1">IF($D52="","",SUMIF('TALLY BOX DUMP'!$1:$1,'ACH CALC'!O$2,'TALLY BOX DUMP'!51:51))</f>
        <v>0</v>
      </c>
      <c r="P52" s="21">
        <f ca="1">IF($D52="","",SUMIF('TALLY BOX DUMP'!$1:$1,'ACH CALC'!P$2,'TALLY BOX DUMP'!51:51))</f>
        <v>0</v>
      </c>
      <c r="Q52" s="21">
        <f t="shared" ca="1" si="1"/>
        <v>0</v>
      </c>
      <c r="R52" s="21">
        <f ca="1">IF($D52="","",SUMIF('TALLY BOX DUMP'!$1:$1,'ACH CALC'!R$2,'TALLY BOX DUMP'!51:51))</f>
        <v>0</v>
      </c>
      <c r="S52" s="21">
        <f ca="1">IF($D52="","",SUMIF('TALLY BOX DUMP'!$1:$1,'ACH CALC'!S$2,'TALLY BOX DUMP'!51:51))</f>
        <v>0</v>
      </c>
      <c r="T52" s="21">
        <f ca="1">IF($D52="","",SUMIF('TALLY BOX DUMP'!$1:$1,'ACH CALC'!T$2,'TALLY BOX DUMP'!51:51))</f>
        <v>0</v>
      </c>
      <c r="U52" s="21">
        <f ca="1">IF($D52="","",SUMIF('TALLY BOX DUMP'!$1:$1,'ACH CALC'!U$2,'TALLY BOX DUMP'!51:51))</f>
        <v>0</v>
      </c>
      <c r="V52" s="21">
        <f ca="1">IF($D52="","",SUMIF('TALLY BOX DUMP'!$1:$1,'ACH CALC'!V$2,'TALLY BOX DUMP'!51:51))</f>
        <v>0</v>
      </c>
      <c r="W52" s="21">
        <f ca="1">IF($D52="","",SUMIF('TALLY BOX DUMP'!$1:$1,'ACH CALC'!W$2,'TALLY BOX DUMP'!51:51))</f>
        <v>0</v>
      </c>
      <c r="X52" s="21">
        <f ca="1">IF($D52="","",SUMIF('TALLY BOX DUMP'!$1:$1,'ACH CALC'!X$2,'TALLY BOX DUMP'!51:51))</f>
        <v>0</v>
      </c>
      <c r="Y52" s="21">
        <f ca="1">IF($D52="","",SUMIF('TALLY BOX DUMP'!$1:$1,'ACH CALC'!Y$2,'TALLY BOX DUMP'!51:51))</f>
        <v>0</v>
      </c>
      <c r="Z52" s="21">
        <f ca="1">IF($D52="","",SUMIF('TALLY BOX DUMP'!$1:$1,'ACH CALC'!Z$2,'TALLY BOX DUMP'!51:51)+AE52)</f>
        <v>0</v>
      </c>
      <c r="AA52" s="21">
        <f ca="1">IF($D52="","",SUMIF('TALLY BOX DUMP'!$1:$1,'ACH CALC'!AA$2,'TALLY BOX DUMP'!51:51))</f>
        <v>0</v>
      </c>
      <c r="AB52" s="21">
        <f ca="1">IF($D52="","",SUMIF('TALLY BOX DUMP'!$1:$1,'ACH CALC'!AB$2,'TALLY BOX DUMP'!51:51))</f>
        <v>0</v>
      </c>
      <c r="AC52" s="21">
        <f ca="1">IF($D52="","",SUMIF('TALLY BOX DUMP'!$1:$1,'ACH CALC'!AC$2,'TALLY BOX DUMP'!51:51))</f>
        <v>0</v>
      </c>
      <c r="AD52" s="21">
        <f ca="1">IF($D52="","",SUMIF('TALLY BOX DUMP'!$1:$1,'ACH CALC'!AD$2,'TALLY BOX DUMP'!51:51))</f>
        <v>0</v>
      </c>
      <c r="AE52" s="21">
        <f ca="1">IF($D52="","",SUMIF('TALLY BOX DUMP'!$1:$1,'ACH CALC'!AE$2,'TALLY BOX DUMP'!51:51))</f>
        <v>0</v>
      </c>
      <c r="AF52" s="21">
        <f ca="1">IF($D52="","",SUMIF('TALLY BOX DUMP'!$1:$1,'ACH CALC'!AF$2,'TALLY BOX DUMP'!51:51))</f>
        <v>0</v>
      </c>
      <c r="AG52" s="21">
        <f ca="1">IF($D52="","",SUMIF('TALLY BOX DUMP'!$1:$1,'ACH CALC'!AG$2,'TALLY BOX DUMP'!51:51))</f>
        <v>0</v>
      </c>
      <c r="AH52" s="21">
        <f ca="1">IF($D52="","",SUMIF('TALLY BOX DUMP'!$1:$1,'ACH CALC'!AH$2,'TALLY BOX DUMP'!51:51))</f>
        <v>0</v>
      </c>
      <c r="AI52" s="21">
        <f ca="1">IF($D52="","",SUMIF('TALLY BOX DUMP'!$1:$1,'ACH CALC'!AI$2,'TALLY BOX DUMP'!51:51))</f>
        <v>0</v>
      </c>
      <c r="AJ52" s="21">
        <f ca="1">IF($D52="","",SUMIF('TALLY BOX DUMP'!$1:$1,'ACH CALC'!AJ$2,'TALLY BOX DUMP'!51:51))</f>
        <v>0</v>
      </c>
      <c r="AK52" s="21">
        <f ca="1">IF($D52="","",SUMIF('TALLY BOX DUMP'!$1:$1,'ACH CALC'!AK$2,'TALLY BOX DUMP'!51:51))</f>
        <v>0</v>
      </c>
      <c r="AL52" s="21">
        <f ca="1">IF($D52="","",ROUND(SUMIF('TALLY KG DUMP'!$1:$1,'ACH CALC'!AL$2,'TALLY KG DUMP'!51:51)/30,1))</f>
        <v>0</v>
      </c>
      <c r="AM52" s="21">
        <f ca="1">IF($D52="","",SUMIF('TALLY BOX DUMP'!$1:$1,'ACH CALC'!AM$2,'TALLY BOX DUMP'!51:51))</f>
        <v>0</v>
      </c>
      <c r="AN52" s="21">
        <f ca="1">IF($D52="","",SUMIF('TALLY BOX DUMP'!$1:$1,'ACH CALC'!AN$2,'TALLY BOX DUMP'!51:51))</f>
        <v>0</v>
      </c>
      <c r="AO52" s="21">
        <f ca="1">IF($D52="","",SUMIF('TALLY BOX DUMP'!$1:$1,'ACH CALC'!AO$2,'TALLY BOX DUMP'!51:51))</f>
        <v>0</v>
      </c>
      <c r="AP52" s="21">
        <f ca="1">IF($D52="","",SUMIF('TALLY BOX DUMP'!$1:$1,'ACH CALC'!AP$2,'TALLY BOX DUMP'!51:51))</f>
        <v>0</v>
      </c>
      <c r="AQ52" s="21">
        <f ca="1">IF($D52="","",ROUND(SUMIF('TALLY KG DUMP'!$1:$1,'ACH CALC'!AQ$2,'TALLY KG DUMP'!51:51)/30,1))</f>
        <v>0</v>
      </c>
      <c r="AR52" s="21">
        <f ca="1">IF($D52="","",SUMIF('TALLY BOX DUMP'!$1:$1,'ACH CALC'!AR$2,'TALLY BOX DUMP'!51:51))</f>
        <v>0</v>
      </c>
      <c r="AS52" s="21">
        <f ca="1">IF($D52="","",SUMIF('TALLY BOX DUMP'!$1:$1,'ACH CALC'!AS$2,'TALLY BOX DUMP'!51:51))</f>
        <v>0</v>
      </c>
      <c r="AT52" s="21">
        <f ca="1">IF($D52="","",SUMIF('TALLY BOX DUMP'!$1:$1,'ACH CALC'!AT$2,'TALLY BOX DUMP'!51:51))</f>
        <v>0</v>
      </c>
      <c r="AU52" s="21">
        <f ca="1">IF($D52="","",SUMIF('TALLY BOX DUMP'!$1:$1,'ACH CALC'!AU$2,'TALLY BOX DUMP'!51:51))</f>
        <v>0</v>
      </c>
      <c r="AV52" s="21">
        <f ca="1">IF($D52="","",SUMIF('TALLY BOX DUMP'!$1:$1,'ACH CALC'!AV$2,'TALLY BOX DUMP'!51:51))</f>
        <v>0</v>
      </c>
      <c r="AW52" s="21">
        <f ca="1">IF($D52="","",SUMIF('TALLY BOX DUMP'!$1:$1,'ACH CALC'!AW$2,'TALLY BOX DUMP'!51:51))</f>
        <v>0</v>
      </c>
      <c r="AX52" s="21">
        <f ca="1">IF($D52="","",SUMIF('TALLY BOX DUMP'!$1:$1,'ACH CALC'!AX$2,'TALLY BOX DUMP'!51:51))</f>
        <v>0</v>
      </c>
      <c r="AY52" s="21">
        <f ca="1">IF($D52="","",SUMIF('TALLY BOX DUMP'!$1:$1,'ACH CALC'!AY$2,'TALLY BOX DUMP'!51:51))</f>
        <v>0</v>
      </c>
      <c r="AZ52" s="21">
        <f ca="1">IF($D52="","",SUMIF('TALLY BOX DUMP'!$1:$1,'ACH CALC'!AZ$2,'TALLY BOX DUMP'!51:51))</f>
        <v>0</v>
      </c>
      <c r="BA52" s="69">
        <f>(SUMIF('TALLY KG DUMP'!$2:$2,"Qty",'TALLY KG DUMP'!51:51)/1000)-(SUMIF('TALLY KG DUMP'!$1:$1,"GL",'TALLY KG DUMP'!51:51)/1000)</f>
        <v>1.82</v>
      </c>
      <c r="BB52" s="21" t="b">
        <f t="shared" ca="1" si="2"/>
        <v>1</v>
      </c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</row>
    <row r="53" spans="2:75" x14ac:dyDescent="0.25">
      <c r="B53" s="21" t="str">
        <f ca="1"/>
        <v>50</v>
      </c>
      <c r="C53" s="21" t="str">
        <f ca="1"/>
        <v>SUN07710</v>
      </c>
      <c r="D53" s="21" t="str">
        <f ca="1"/>
        <v>COIMBATORE-GEETHA CANTEEN</v>
      </c>
      <c r="E53" s="21">
        <f ca="1">IF($D53="","",(SUMIF('TALLY KG DUMP'!$2:$2,"Qty",'TALLY KG DUMP'!52:52)/1000)-(SUMIF('TALLY KG DUMP'!$1:$1,"GL",'TALLY KG DUMP'!52:52)/1000))</f>
        <v>0</v>
      </c>
      <c r="F53" s="21">
        <f ca="1">IF($D53="","",(SUMIF('TALLY KG DUMP'!$1:$1,'ACH CALC'!F$2,'TALLY KG DUMP'!52:52)/1000))</f>
        <v>0</v>
      </c>
      <c r="G53" s="21">
        <f ca="1">IF($D53="","",SUMIF('TALLY BOX DUMP'!$1:$1,'ACH CALC'!G$2,'TALLY BOX DUMP'!52:52)+Y53)</f>
        <v>0</v>
      </c>
      <c r="H53" s="21">
        <f t="shared" ca="1" si="0"/>
        <v>0</v>
      </c>
      <c r="I53" s="21">
        <f ca="1">IF($D53="","",SUMIF('TALLY BOX DUMP'!$1:$1,'ACH CALC'!I$2,'TALLY BOX DUMP'!52:52)+AA53)</f>
        <v>0</v>
      </c>
      <c r="J53" s="21">
        <f ca="1">IF($D53="","",SUMIF('TALLY BOX DUMP'!$1:$1,'ACH CALC'!J$2,'TALLY BOX DUMP'!52:52)+AB53)</f>
        <v>0</v>
      </c>
      <c r="K53" s="21">
        <f ca="1">IF($D53="","",SUMIF('TALLY BOX DUMP'!$1:$1,'ACH CALC'!K$2,'TALLY BOX DUMP'!52:52)+AC53)</f>
        <v>0</v>
      </c>
      <c r="L53" s="21">
        <f ca="1">IF($D53="","",SUMIF('TALLY BOX DUMP'!$1:$1,'ACH CALC'!L$2,'TALLY BOX DUMP'!52:52))</f>
        <v>0</v>
      </c>
      <c r="M53" s="21">
        <f ca="1">IF($D53="","",SUMIF('TALLY BOX DUMP'!$1:$1,'ACH CALC'!M$2,'TALLY BOX DUMP'!52:52)+AD53)</f>
        <v>0</v>
      </c>
      <c r="N53" s="21">
        <f ca="1">IF($D53="","",SUMIF('TALLY BOX DUMP'!$1:$1,'ACH CALC'!N$2,'TALLY BOX DUMP'!52:52))</f>
        <v>0</v>
      </c>
      <c r="O53" s="21">
        <f ca="1">IF($D53="","",SUMIF('TALLY BOX DUMP'!$1:$1,'ACH CALC'!O$2,'TALLY BOX DUMP'!52:52))</f>
        <v>0</v>
      </c>
      <c r="P53" s="21">
        <f ca="1">IF($D53="","",SUMIF('TALLY BOX DUMP'!$1:$1,'ACH CALC'!P$2,'TALLY BOX DUMP'!52:52))</f>
        <v>0</v>
      </c>
      <c r="Q53" s="21">
        <f t="shared" ca="1" si="1"/>
        <v>0</v>
      </c>
      <c r="R53" s="21">
        <f ca="1">IF($D53="","",SUMIF('TALLY BOX DUMP'!$1:$1,'ACH CALC'!R$2,'TALLY BOX DUMP'!52:52))</f>
        <v>0</v>
      </c>
      <c r="S53" s="21">
        <f ca="1">IF($D53="","",SUMIF('TALLY BOX DUMP'!$1:$1,'ACH CALC'!S$2,'TALLY BOX DUMP'!52:52))</f>
        <v>0</v>
      </c>
      <c r="T53" s="21">
        <f ca="1">IF($D53="","",SUMIF('TALLY BOX DUMP'!$1:$1,'ACH CALC'!T$2,'TALLY BOX DUMP'!52:52))</f>
        <v>0</v>
      </c>
      <c r="U53" s="21">
        <f ca="1">IF($D53="","",SUMIF('TALLY BOX DUMP'!$1:$1,'ACH CALC'!U$2,'TALLY BOX DUMP'!52:52))</f>
        <v>0</v>
      </c>
      <c r="V53" s="21">
        <f ca="1">IF($D53="","",SUMIF('TALLY BOX DUMP'!$1:$1,'ACH CALC'!V$2,'TALLY BOX DUMP'!52:52))</f>
        <v>0</v>
      </c>
      <c r="W53" s="21">
        <f ca="1">IF($D53="","",SUMIF('TALLY BOX DUMP'!$1:$1,'ACH CALC'!W$2,'TALLY BOX DUMP'!52:52))</f>
        <v>0</v>
      </c>
      <c r="X53" s="21">
        <f ca="1">IF($D53="","",SUMIF('TALLY BOX DUMP'!$1:$1,'ACH CALC'!X$2,'TALLY BOX DUMP'!52:52))</f>
        <v>0</v>
      </c>
      <c r="Y53" s="21">
        <f ca="1">IF($D53="","",SUMIF('TALLY BOX DUMP'!$1:$1,'ACH CALC'!Y$2,'TALLY BOX DUMP'!52:52))</f>
        <v>0</v>
      </c>
      <c r="Z53" s="21">
        <f ca="1">IF($D53="","",SUMIF('TALLY BOX DUMP'!$1:$1,'ACH CALC'!Z$2,'TALLY BOX DUMP'!52:52)+AE53)</f>
        <v>0</v>
      </c>
      <c r="AA53" s="21">
        <f ca="1">IF($D53="","",SUMIF('TALLY BOX DUMP'!$1:$1,'ACH CALC'!AA$2,'TALLY BOX DUMP'!52:52))</f>
        <v>0</v>
      </c>
      <c r="AB53" s="21">
        <f ca="1">IF($D53="","",SUMIF('TALLY BOX DUMP'!$1:$1,'ACH CALC'!AB$2,'TALLY BOX DUMP'!52:52))</f>
        <v>0</v>
      </c>
      <c r="AC53" s="21">
        <f ca="1">IF($D53="","",SUMIF('TALLY BOX DUMP'!$1:$1,'ACH CALC'!AC$2,'TALLY BOX DUMP'!52:52))</f>
        <v>0</v>
      </c>
      <c r="AD53" s="21">
        <f ca="1">IF($D53="","",SUMIF('TALLY BOX DUMP'!$1:$1,'ACH CALC'!AD$2,'TALLY BOX DUMP'!52:52))</f>
        <v>0</v>
      </c>
      <c r="AE53" s="21">
        <f ca="1">IF($D53="","",SUMIF('TALLY BOX DUMP'!$1:$1,'ACH CALC'!AE$2,'TALLY BOX DUMP'!52:52))</f>
        <v>0</v>
      </c>
      <c r="AF53" s="21">
        <f ca="1">IF($D53="","",SUMIF('TALLY BOX DUMP'!$1:$1,'ACH CALC'!AF$2,'TALLY BOX DUMP'!52:52))</f>
        <v>0</v>
      </c>
      <c r="AG53" s="21">
        <f ca="1">IF($D53="","",SUMIF('TALLY BOX DUMP'!$1:$1,'ACH CALC'!AG$2,'TALLY BOX DUMP'!52:52))</f>
        <v>0</v>
      </c>
      <c r="AH53" s="21">
        <f ca="1">IF($D53="","",SUMIF('TALLY BOX DUMP'!$1:$1,'ACH CALC'!AH$2,'TALLY BOX DUMP'!52:52))</f>
        <v>0</v>
      </c>
      <c r="AI53" s="21">
        <f ca="1">IF($D53="","",SUMIF('TALLY BOX DUMP'!$1:$1,'ACH CALC'!AI$2,'TALLY BOX DUMP'!52:52))</f>
        <v>0</v>
      </c>
      <c r="AJ53" s="21">
        <f ca="1">IF($D53="","",SUMIF('TALLY BOX DUMP'!$1:$1,'ACH CALC'!AJ$2,'TALLY BOX DUMP'!52:52))</f>
        <v>0</v>
      </c>
      <c r="AK53" s="21">
        <f ca="1">IF($D53="","",SUMIF('TALLY BOX DUMP'!$1:$1,'ACH CALC'!AK$2,'TALLY BOX DUMP'!52:52))</f>
        <v>0</v>
      </c>
      <c r="AL53" s="21">
        <f ca="1">IF($D53="","",ROUND(SUMIF('TALLY KG DUMP'!$1:$1,'ACH CALC'!AL$2,'TALLY KG DUMP'!52:52)/30,1))</f>
        <v>0</v>
      </c>
      <c r="AM53" s="21">
        <f ca="1">IF($D53="","",SUMIF('TALLY BOX DUMP'!$1:$1,'ACH CALC'!AM$2,'TALLY BOX DUMP'!52:52))</f>
        <v>0</v>
      </c>
      <c r="AN53" s="21">
        <f ca="1">IF($D53="","",SUMIF('TALLY BOX DUMP'!$1:$1,'ACH CALC'!AN$2,'TALLY BOX DUMP'!52:52))</f>
        <v>0</v>
      </c>
      <c r="AO53" s="21">
        <f ca="1">IF($D53="","",SUMIF('TALLY BOX DUMP'!$1:$1,'ACH CALC'!AO$2,'TALLY BOX DUMP'!52:52))</f>
        <v>0</v>
      </c>
      <c r="AP53" s="21">
        <f ca="1">IF($D53="","",SUMIF('TALLY BOX DUMP'!$1:$1,'ACH CALC'!AP$2,'TALLY BOX DUMP'!52:52))</f>
        <v>0</v>
      </c>
      <c r="AQ53" s="21">
        <f ca="1">IF($D53="","",ROUND(SUMIF('TALLY KG DUMP'!$1:$1,'ACH CALC'!AQ$2,'TALLY KG DUMP'!52:52)/30,1))</f>
        <v>0</v>
      </c>
      <c r="AR53" s="21">
        <f ca="1">IF($D53="","",SUMIF('TALLY BOX DUMP'!$1:$1,'ACH CALC'!AR$2,'TALLY BOX DUMP'!52:52))</f>
        <v>0</v>
      </c>
      <c r="AS53" s="21">
        <f ca="1">IF($D53="","",SUMIF('TALLY BOX DUMP'!$1:$1,'ACH CALC'!AS$2,'TALLY BOX DUMP'!52:52))</f>
        <v>0</v>
      </c>
      <c r="AT53" s="21">
        <f ca="1">IF($D53="","",SUMIF('TALLY BOX DUMP'!$1:$1,'ACH CALC'!AT$2,'TALLY BOX DUMP'!52:52))</f>
        <v>0</v>
      </c>
      <c r="AU53" s="21">
        <f ca="1">IF($D53="","",SUMIF('TALLY BOX DUMP'!$1:$1,'ACH CALC'!AU$2,'TALLY BOX DUMP'!52:52))</f>
        <v>0</v>
      </c>
      <c r="AV53" s="21">
        <f ca="1">IF($D53="","",SUMIF('TALLY BOX DUMP'!$1:$1,'ACH CALC'!AV$2,'TALLY BOX DUMP'!52:52))</f>
        <v>0</v>
      </c>
      <c r="AW53" s="21">
        <f ca="1">IF($D53="","",SUMIF('TALLY BOX DUMP'!$1:$1,'ACH CALC'!AW$2,'TALLY BOX DUMP'!52:52))</f>
        <v>0</v>
      </c>
      <c r="AX53" s="21">
        <f ca="1">IF($D53="","",SUMIF('TALLY BOX DUMP'!$1:$1,'ACH CALC'!AX$2,'TALLY BOX DUMP'!52:52))</f>
        <v>0</v>
      </c>
      <c r="AY53" s="21">
        <f ca="1">IF($D53="","",SUMIF('TALLY BOX DUMP'!$1:$1,'ACH CALC'!AY$2,'TALLY BOX DUMP'!52:52))</f>
        <v>0</v>
      </c>
      <c r="AZ53" s="21">
        <f ca="1">IF($D53="","",SUMIF('TALLY BOX DUMP'!$1:$1,'ACH CALC'!AZ$2,'TALLY BOX DUMP'!52:52))</f>
        <v>0</v>
      </c>
      <c r="BA53" s="69">
        <f>(SUMIF('TALLY KG DUMP'!$2:$2,"Qty",'TALLY KG DUMP'!52:52)/1000)-(SUMIF('TALLY KG DUMP'!$1:$1,"GL",'TALLY KG DUMP'!52:52)/1000)</f>
        <v>0</v>
      </c>
      <c r="BB53" s="21" t="b">
        <f t="shared" ca="1" si="2"/>
        <v>1</v>
      </c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</row>
    <row r="54" spans="2:75" x14ac:dyDescent="0.25">
      <c r="B54" s="21" t="str">
        <f ca="1"/>
        <v>51</v>
      </c>
      <c r="C54" s="21" t="str">
        <f ca="1"/>
        <v>SUN07713</v>
      </c>
      <c r="D54" s="21" t="str">
        <f ca="1"/>
        <v>COIMBATORE-GEETHA RESTAURANT</v>
      </c>
      <c r="E54" s="21">
        <f ca="1">IF($D54="","",(SUMIF('TALLY KG DUMP'!$2:$2,"Qty",'TALLY KG DUMP'!53:53)/1000)-(SUMIF('TALLY KG DUMP'!$1:$1,"GL",'TALLY KG DUMP'!53:53)/1000))</f>
        <v>0</v>
      </c>
      <c r="F54" s="21">
        <f ca="1">IF($D54="","",(SUMIF('TALLY KG DUMP'!$1:$1,'ACH CALC'!F$2,'TALLY KG DUMP'!53:53)/1000))</f>
        <v>0</v>
      </c>
      <c r="G54" s="21">
        <f ca="1">IF($D54="","",SUMIF('TALLY BOX DUMP'!$1:$1,'ACH CALC'!G$2,'TALLY BOX DUMP'!53:53)+Y54)</f>
        <v>0</v>
      </c>
      <c r="H54" s="21">
        <f t="shared" ca="1" si="0"/>
        <v>0</v>
      </c>
      <c r="I54" s="21">
        <f ca="1">IF($D54="","",SUMIF('TALLY BOX DUMP'!$1:$1,'ACH CALC'!I$2,'TALLY BOX DUMP'!53:53)+AA54)</f>
        <v>0</v>
      </c>
      <c r="J54" s="21">
        <f ca="1">IF($D54="","",SUMIF('TALLY BOX DUMP'!$1:$1,'ACH CALC'!J$2,'TALLY BOX DUMP'!53:53)+AB54)</f>
        <v>0</v>
      </c>
      <c r="K54" s="21">
        <f ca="1">IF($D54="","",SUMIF('TALLY BOX DUMP'!$1:$1,'ACH CALC'!K$2,'TALLY BOX DUMP'!53:53)+AC54)</f>
        <v>0</v>
      </c>
      <c r="L54" s="21">
        <f ca="1">IF($D54="","",SUMIF('TALLY BOX DUMP'!$1:$1,'ACH CALC'!L$2,'TALLY BOX DUMP'!53:53))</f>
        <v>0</v>
      </c>
      <c r="M54" s="21">
        <f ca="1">IF($D54="","",SUMIF('TALLY BOX DUMP'!$1:$1,'ACH CALC'!M$2,'TALLY BOX DUMP'!53:53)+AD54)</f>
        <v>0</v>
      </c>
      <c r="N54" s="21">
        <f ca="1">IF($D54="","",SUMIF('TALLY BOX DUMP'!$1:$1,'ACH CALC'!N$2,'TALLY BOX DUMP'!53:53))</f>
        <v>0</v>
      </c>
      <c r="O54" s="21">
        <f ca="1">IF($D54="","",SUMIF('TALLY BOX DUMP'!$1:$1,'ACH CALC'!O$2,'TALLY BOX DUMP'!53:53))</f>
        <v>0</v>
      </c>
      <c r="P54" s="21">
        <f ca="1">IF($D54="","",SUMIF('TALLY BOX DUMP'!$1:$1,'ACH CALC'!P$2,'TALLY BOX DUMP'!53:53))</f>
        <v>0</v>
      </c>
      <c r="Q54" s="21">
        <f t="shared" ca="1" si="1"/>
        <v>0</v>
      </c>
      <c r="R54" s="21">
        <f ca="1">IF($D54="","",SUMIF('TALLY BOX DUMP'!$1:$1,'ACH CALC'!R$2,'TALLY BOX DUMP'!53:53))</f>
        <v>0</v>
      </c>
      <c r="S54" s="21">
        <f ca="1">IF($D54="","",SUMIF('TALLY BOX DUMP'!$1:$1,'ACH CALC'!S$2,'TALLY BOX DUMP'!53:53))</f>
        <v>0</v>
      </c>
      <c r="T54" s="21">
        <f ca="1">IF($D54="","",SUMIF('TALLY BOX DUMP'!$1:$1,'ACH CALC'!T$2,'TALLY BOX DUMP'!53:53))</f>
        <v>0</v>
      </c>
      <c r="U54" s="21">
        <f ca="1">IF($D54="","",SUMIF('TALLY BOX DUMP'!$1:$1,'ACH CALC'!U$2,'TALLY BOX DUMP'!53:53))</f>
        <v>0</v>
      </c>
      <c r="V54" s="21">
        <f ca="1">IF($D54="","",SUMIF('TALLY BOX DUMP'!$1:$1,'ACH CALC'!V$2,'TALLY BOX DUMP'!53:53))</f>
        <v>0</v>
      </c>
      <c r="W54" s="21">
        <f ca="1">IF($D54="","",SUMIF('TALLY BOX DUMP'!$1:$1,'ACH CALC'!W$2,'TALLY BOX DUMP'!53:53))</f>
        <v>0</v>
      </c>
      <c r="X54" s="21">
        <f ca="1">IF($D54="","",SUMIF('TALLY BOX DUMP'!$1:$1,'ACH CALC'!X$2,'TALLY BOX DUMP'!53:53))</f>
        <v>0</v>
      </c>
      <c r="Y54" s="21">
        <f ca="1">IF($D54="","",SUMIF('TALLY BOX DUMP'!$1:$1,'ACH CALC'!Y$2,'TALLY BOX DUMP'!53:53))</f>
        <v>0</v>
      </c>
      <c r="Z54" s="21">
        <f ca="1">IF($D54="","",SUMIF('TALLY BOX DUMP'!$1:$1,'ACH CALC'!Z$2,'TALLY BOX DUMP'!53:53)+AE54)</f>
        <v>0</v>
      </c>
      <c r="AA54" s="21">
        <f ca="1">IF($D54="","",SUMIF('TALLY BOX DUMP'!$1:$1,'ACH CALC'!AA$2,'TALLY BOX DUMP'!53:53))</f>
        <v>0</v>
      </c>
      <c r="AB54" s="21">
        <f ca="1">IF($D54="","",SUMIF('TALLY BOX DUMP'!$1:$1,'ACH CALC'!AB$2,'TALLY BOX DUMP'!53:53))</f>
        <v>0</v>
      </c>
      <c r="AC54" s="21">
        <f ca="1">IF($D54="","",SUMIF('TALLY BOX DUMP'!$1:$1,'ACH CALC'!AC$2,'TALLY BOX DUMP'!53:53))</f>
        <v>0</v>
      </c>
      <c r="AD54" s="21">
        <f ca="1">IF($D54="","",SUMIF('TALLY BOX DUMP'!$1:$1,'ACH CALC'!AD$2,'TALLY BOX DUMP'!53:53))</f>
        <v>0</v>
      </c>
      <c r="AE54" s="21">
        <f ca="1">IF($D54="","",SUMIF('TALLY BOX DUMP'!$1:$1,'ACH CALC'!AE$2,'TALLY BOX DUMP'!53:53))</f>
        <v>0</v>
      </c>
      <c r="AF54" s="21">
        <f ca="1">IF($D54="","",SUMIF('TALLY BOX DUMP'!$1:$1,'ACH CALC'!AF$2,'TALLY BOX DUMP'!53:53))</f>
        <v>0</v>
      </c>
      <c r="AG54" s="21">
        <f ca="1">IF($D54="","",SUMIF('TALLY BOX DUMP'!$1:$1,'ACH CALC'!AG$2,'TALLY BOX DUMP'!53:53))</f>
        <v>0</v>
      </c>
      <c r="AH54" s="21">
        <f ca="1">IF($D54="","",SUMIF('TALLY BOX DUMP'!$1:$1,'ACH CALC'!AH$2,'TALLY BOX DUMP'!53:53))</f>
        <v>0</v>
      </c>
      <c r="AI54" s="21">
        <f ca="1">IF($D54="","",SUMIF('TALLY BOX DUMP'!$1:$1,'ACH CALC'!AI$2,'TALLY BOX DUMP'!53:53))</f>
        <v>0</v>
      </c>
      <c r="AJ54" s="21">
        <f ca="1">IF($D54="","",SUMIF('TALLY BOX DUMP'!$1:$1,'ACH CALC'!AJ$2,'TALLY BOX DUMP'!53:53))</f>
        <v>0</v>
      </c>
      <c r="AK54" s="21">
        <f ca="1">IF($D54="","",SUMIF('TALLY BOX DUMP'!$1:$1,'ACH CALC'!AK$2,'TALLY BOX DUMP'!53:53))</f>
        <v>0</v>
      </c>
      <c r="AL54" s="21">
        <f ca="1">IF($D54="","",ROUND(SUMIF('TALLY KG DUMP'!$1:$1,'ACH CALC'!AL$2,'TALLY KG DUMP'!53:53)/30,1))</f>
        <v>0</v>
      </c>
      <c r="AM54" s="21">
        <f ca="1">IF($D54="","",SUMIF('TALLY BOX DUMP'!$1:$1,'ACH CALC'!AM$2,'TALLY BOX DUMP'!53:53))</f>
        <v>0</v>
      </c>
      <c r="AN54" s="21">
        <f ca="1">IF($D54="","",SUMIF('TALLY BOX DUMP'!$1:$1,'ACH CALC'!AN$2,'TALLY BOX DUMP'!53:53))</f>
        <v>0</v>
      </c>
      <c r="AO54" s="21">
        <f ca="1">IF($D54="","",SUMIF('TALLY BOX DUMP'!$1:$1,'ACH CALC'!AO$2,'TALLY BOX DUMP'!53:53))</f>
        <v>0</v>
      </c>
      <c r="AP54" s="21">
        <f ca="1">IF($D54="","",SUMIF('TALLY BOX DUMP'!$1:$1,'ACH CALC'!AP$2,'TALLY BOX DUMP'!53:53))</f>
        <v>0</v>
      </c>
      <c r="AQ54" s="21">
        <f ca="1">IF($D54="","",ROUND(SUMIF('TALLY KG DUMP'!$1:$1,'ACH CALC'!AQ$2,'TALLY KG DUMP'!53:53)/30,1))</f>
        <v>0</v>
      </c>
      <c r="AR54" s="21">
        <f ca="1">IF($D54="","",SUMIF('TALLY BOX DUMP'!$1:$1,'ACH CALC'!AR$2,'TALLY BOX DUMP'!53:53))</f>
        <v>0</v>
      </c>
      <c r="AS54" s="21">
        <f ca="1">IF($D54="","",SUMIF('TALLY BOX DUMP'!$1:$1,'ACH CALC'!AS$2,'TALLY BOX DUMP'!53:53))</f>
        <v>0</v>
      </c>
      <c r="AT54" s="21">
        <f ca="1">IF($D54="","",SUMIF('TALLY BOX DUMP'!$1:$1,'ACH CALC'!AT$2,'TALLY BOX DUMP'!53:53))</f>
        <v>0</v>
      </c>
      <c r="AU54" s="21">
        <f ca="1">IF($D54="","",SUMIF('TALLY BOX DUMP'!$1:$1,'ACH CALC'!AU$2,'TALLY BOX DUMP'!53:53))</f>
        <v>0</v>
      </c>
      <c r="AV54" s="21">
        <f ca="1">IF($D54="","",SUMIF('TALLY BOX DUMP'!$1:$1,'ACH CALC'!AV$2,'TALLY BOX DUMP'!53:53))</f>
        <v>0</v>
      </c>
      <c r="AW54" s="21">
        <f ca="1">IF($D54="","",SUMIF('TALLY BOX DUMP'!$1:$1,'ACH CALC'!AW$2,'TALLY BOX DUMP'!53:53))</f>
        <v>0</v>
      </c>
      <c r="AX54" s="21">
        <f ca="1">IF($D54="","",SUMIF('TALLY BOX DUMP'!$1:$1,'ACH CALC'!AX$2,'TALLY BOX DUMP'!53:53))</f>
        <v>0</v>
      </c>
      <c r="AY54" s="21">
        <f ca="1">IF($D54="","",SUMIF('TALLY BOX DUMP'!$1:$1,'ACH CALC'!AY$2,'TALLY BOX DUMP'!53:53))</f>
        <v>0</v>
      </c>
      <c r="AZ54" s="21">
        <f ca="1">IF($D54="","",SUMIF('TALLY BOX DUMP'!$1:$1,'ACH CALC'!AZ$2,'TALLY BOX DUMP'!53:53))</f>
        <v>0</v>
      </c>
      <c r="BA54" s="69">
        <f>(SUMIF('TALLY KG DUMP'!$2:$2,"Qty",'TALLY KG DUMP'!53:53)/1000)-(SUMIF('TALLY KG DUMP'!$1:$1,"GL",'TALLY KG DUMP'!53:53)/1000)</f>
        <v>0</v>
      </c>
      <c r="BB54" s="21" t="b">
        <f t="shared" ca="1" si="2"/>
        <v>1</v>
      </c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</row>
    <row r="55" spans="2:75" x14ac:dyDescent="0.25">
      <c r="B55" s="21" t="str">
        <f ca="1"/>
        <v>52</v>
      </c>
      <c r="C55" s="21" t="str">
        <f ca="1"/>
        <v>SUN05493</v>
      </c>
      <c r="D55" s="21" t="str">
        <f ca="1"/>
        <v>CBE ZION TRADERS</v>
      </c>
      <c r="E55" s="21">
        <f ca="1">IF($D55="","",(SUMIF('TALLY KG DUMP'!$2:$2,"Qty",'TALLY KG DUMP'!54:54)/1000)-(SUMIF('TALLY KG DUMP'!$1:$1,"GL",'TALLY KG DUMP'!54:54)/1000))</f>
        <v>0.06</v>
      </c>
      <c r="F55" s="21">
        <f ca="1">IF($D55="","",(SUMIF('TALLY KG DUMP'!$1:$1,'ACH CALC'!F$2,'TALLY KG DUMP'!54:54)/1000))</f>
        <v>0</v>
      </c>
      <c r="G55" s="21">
        <f ca="1">IF($D55="","",SUMIF('TALLY BOX DUMP'!$1:$1,'ACH CALC'!G$2,'TALLY BOX DUMP'!54:54)+Y55)</f>
        <v>0</v>
      </c>
      <c r="H55" s="21">
        <f t="shared" ca="1" si="0"/>
        <v>0</v>
      </c>
      <c r="I55" s="21">
        <f ca="1">IF($D55="","",SUMIF('TALLY BOX DUMP'!$1:$1,'ACH CALC'!I$2,'TALLY BOX DUMP'!54:54)+AA55)</f>
        <v>0</v>
      </c>
      <c r="J55" s="21">
        <f ca="1">IF($D55="","",SUMIF('TALLY BOX DUMP'!$1:$1,'ACH CALC'!J$2,'TALLY BOX DUMP'!54:54)+AB55)</f>
        <v>0</v>
      </c>
      <c r="K55" s="21">
        <f ca="1">IF($D55="","",SUMIF('TALLY BOX DUMP'!$1:$1,'ACH CALC'!K$2,'TALLY BOX DUMP'!54:54)+AC55)</f>
        <v>0</v>
      </c>
      <c r="L55" s="21">
        <f ca="1">IF($D55="","",SUMIF('TALLY BOX DUMP'!$1:$1,'ACH CALC'!L$2,'TALLY BOX DUMP'!54:54))</f>
        <v>0</v>
      </c>
      <c r="M55" s="21">
        <f ca="1">IF($D55="","",SUMIF('TALLY BOX DUMP'!$1:$1,'ACH CALC'!M$2,'TALLY BOX DUMP'!54:54)+AD55)</f>
        <v>0</v>
      </c>
      <c r="N55" s="21">
        <f ca="1">IF($D55="","",SUMIF('TALLY BOX DUMP'!$1:$1,'ACH CALC'!N$2,'TALLY BOX DUMP'!54:54))</f>
        <v>0</v>
      </c>
      <c r="O55" s="21">
        <f ca="1">IF($D55="","",SUMIF('TALLY BOX DUMP'!$1:$1,'ACH CALC'!O$2,'TALLY BOX DUMP'!54:54))</f>
        <v>0</v>
      </c>
      <c r="P55" s="21">
        <f ca="1">IF($D55="","",SUMIF('TALLY BOX DUMP'!$1:$1,'ACH CALC'!P$2,'TALLY BOX DUMP'!54:54))</f>
        <v>0</v>
      </c>
      <c r="Q55" s="21">
        <f t="shared" ca="1" si="1"/>
        <v>0</v>
      </c>
      <c r="R55" s="21">
        <f ca="1">IF($D55="","",SUMIF('TALLY BOX DUMP'!$1:$1,'ACH CALC'!R$2,'TALLY BOX DUMP'!54:54))</f>
        <v>0</v>
      </c>
      <c r="S55" s="21">
        <f ca="1">IF($D55="","",SUMIF('TALLY BOX DUMP'!$1:$1,'ACH CALC'!S$2,'TALLY BOX DUMP'!54:54))</f>
        <v>0</v>
      </c>
      <c r="T55" s="21">
        <f ca="1">IF($D55="","",SUMIF('TALLY BOX DUMP'!$1:$1,'ACH CALC'!T$2,'TALLY BOX DUMP'!54:54))</f>
        <v>0</v>
      </c>
      <c r="U55" s="21">
        <f ca="1">IF($D55="","",SUMIF('TALLY BOX DUMP'!$1:$1,'ACH CALC'!U$2,'TALLY BOX DUMP'!54:54))</f>
        <v>0</v>
      </c>
      <c r="V55" s="21">
        <f ca="1">IF($D55="","",SUMIF('TALLY BOX DUMP'!$1:$1,'ACH CALC'!V$2,'TALLY BOX DUMP'!54:54))</f>
        <v>0</v>
      </c>
      <c r="W55" s="21">
        <f ca="1">IF($D55="","",SUMIF('TALLY BOX DUMP'!$1:$1,'ACH CALC'!W$2,'TALLY BOX DUMP'!54:54))</f>
        <v>0</v>
      </c>
      <c r="X55" s="21">
        <f ca="1">IF($D55="","",SUMIF('TALLY BOX DUMP'!$1:$1,'ACH CALC'!X$2,'TALLY BOX DUMP'!54:54))</f>
        <v>0</v>
      </c>
      <c r="Y55" s="21">
        <f ca="1">IF($D55="","",SUMIF('TALLY BOX DUMP'!$1:$1,'ACH CALC'!Y$2,'TALLY BOX DUMP'!54:54))</f>
        <v>0</v>
      </c>
      <c r="Z55" s="21">
        <f ca="1">IF($D55="","",SUMIF('TALLY BOX DUMP'!$1:$1,'ACH CALC'!Z$2,'TALLY BOX DUMP'!54:54)+AE55)</f>
        <v>0</v>
      </c>
      <c r="AA55" s="21">
        <f ca="1">IF($D55="","",SUMIF('TALLY BOX DUMP'!$1:$1,'ACH CALC'!AA$2,'TALLY BOX DUMP'!54:54))</f>
        <v>0</v>
      </c>
      <c r="AB55" s="21">
        <f ca="1">IF($D55="","",SUMIF('TALLY BOX DUMP'!$1:$1,'ACH CALC'!AB$2,'TALLY BOX DUMP'!54:54))</f>
        <v>0</v>
      </c>
      <c r="AC55" s="21">
        <f ca="1">IF($D55="","",SUMIF('TALLY BOX DUMP'!$1:$1,'ACH CALC'!AC$2,'TALLY BOX DUMP'!54:54))</f>
        <v>0</v>
      </c>
      <c r="AD55" s="21">
        <f ca="1">IF($D55="","",SUMIF('TALLY BOX DUMP'!$1:$1,'ACH CALC'!AD$2,'TALLY BOX DUMP'!54:54))</f>
        <v>0</v>
      </c>
      <c r="AE55" s="21">
        <f ca="1">IF($D55="","",SUMIF('TALLY BOX DUMP'!$1:$1,'ACH CALC'!AE$2,'TALLY BOX DUMP'!54:54))</f>
        <v>0</v>
      </c>
      <c r="AF55" s="21">
        <f ca="1">IF($D55="","",SUMIF('TALLY BOX DUMP'!$1:$1,'ACH CALC'!AF$2,'TALLY BOX DUMP'!54:54))</f>
        <v>0</v>
      </c>
      <c r="AG55" s="21">
        <f ca="1">IF($D55="","",SUMIF('TALLY BOX DUMP'!$1:$1,'ACH CALC'!AG$2,'TALLY BOX DUMP'!54:54))</f>
        <v>0</v>
      </c>
      <c r="AH55" s="21">
        <f ca="1">IF($D55="","",SUMIF('TALLY BOX DUMP'!$1:$1,'ACH CALC'!AH$2,'TALLY BOX DUMP'!54:54))</f>
        <v>0</v>
      </c>
      <c r="AI55" s="21">
        <f ca="1">IF($D55="","",SUMIF('TALLY BOX DUMP'!$1:$1,'ACH CALC'!AI$2,'TALLY BOX DUMP'!54:54))</f>
        <v>0</v>
      </c>
      <c r="AJ55" s="21">
        <f ca="1">IF($D55="","",SUMIF('TALLY BOX DUMP'!$1:$1,'ACH CALC'!AJ$2,'TALLY BOX DUMP'!54:54))</f>
        <v>0</v>
      </c>
      <c r="AK55" s="21">
        <f ca="1">IF($D55="","",SUMIF('TALLY BOX DUMP'!$1:$1,'ACH CALC'!AK$2,'TALLY BOX DUMP'!54:54))</f>
        <v>0</v>
      </c>
      <c r="AL55" s="21">
        <f ca="1">IF($D55="","",ROUND(SUMIF('TALLY KG DUMP'!$1:$1,'ACH CALC'!AL$2,'TALLY KG DUMP'!54:54)/30,1))</f>
        <v>0</v>
      </c>
      <c r="AM55" s="21">
        <f ca="1">IF($D55="","",SUMIF('TALLY BOX DUMP'!$1:$1,'ACH CALC'!AM$2,'TALLY BOX DUMP'!54:54))</f>
        <v>1</v>
      </c>
      <c r="AN55" s="21">
        <f ca="1">IF($D55="","",SUMIF('TALLY BOX DUMP'!$1:$1,'ACH CALC'!AN$2,'TALLY BOX DUMP'!54:54))</f>
        <v>0</v>
      </c>
      <c r="AO55" s="21">
        <f ca="1">IF($D55="","",SUMIF('TALLY BOX DUMP'!$1:$1,'ACH CALC'!AO$2,'TALLY BOX DUMP'!54:54))</f>
        <v>0</v>
      </c>
      <c r="AP55" s="21">
        <f ca="1">IF($D55="","",SUMIF('TALLY BOX DUMP'!$1:$1,'ACH CALC'!AP$2,'TALLY BOX DUMP'!54:54))</f>
        <v>0</v>
      </c>
      <c r="AQ55" s="21">
        <f ca="1">IF($D55="","",ROUND(SUMIF('TALLY KG DUMP'!$1:$1,'ACH CALC'!AQ$2,'TALLY KG DUMP'!54:54)/30,1))</f>
        <v>0</v>
      </c>
      <c r="AR55" s="21">
        <f ca="1">IF($D55="","",SUMIF('TALLY BOX DUMP'!$1:$1,'ACH CALC'!AR$2,'TALLY BOX DUMP'!54:54))</f>
        <v>0</v>
      </c>
      <c r="AS55" s="21">
        <f ca="1">IF($D55="","",SUMIF('TALLY BOX DUMP'!$1:$1,'ACH CALC'!AS$2,'TALLY BOX DUMP'!54:54))</f>
        <v>0</v>
      </c>
      <c r="AT55" s="21">
        <f ca="1">IF($D55="","",SUMIF('TALLY BOX DUMP'!$1:$1,'ACH CALC'!AT$2,'TALLY BOX DUMP'!54:54))</f>
        <v>0</v>
      </c>
      <c r="AU55" s="21">
        <f ca="1">IF($D55="","",SUMIF('TALLY BOX DUMP'!$1:$1,'ACH CALC'!AU$2,'TALLY BOX DUMP'!54:54))</f>
        <v>0</v>
      </c>
      <c r="AV55" s="21">
        <f ca="1">IF($D55="","",SUMIF('TALLY BOX DUMP'!$1:$1,'ACH CALC'!AV$2,'TALLY BOX DUMP'!54:54))</f>
        <v>0</v>
      </c>
      <c r="AW55" s="21">
        <f ca="1">IF($D55="","",SUMIF('TALLY BOX DUMP'!$1:$1,'ACH CALC'!AW$2,'TALLY BOX DUMP'!54:54))</f>
        <v>0</v>
      </c>
      <c r="AX55" s="21">
        <f ca="1">IF($D55="","",SUMIF('TALLY BOX DUMP'!$1:$1,'ACH CALC'!AX$2,'TALLY BOX DUMP'!54:54))</f>
        <v>0</v>
      </c>
      <c r="AY55" s="21">
        <f ca="1">IF($D55="","",SUMIF('TALLY BOX DUMP'!$1:$1,'ACH CALC'!AY$2,'TALLY BOX DUMP'!54:54))</f>
        <v>0</v>
      </c>
      <c r="AZ55" s="21">
        <f ca="1">IF($D55="","",SUMIF('TALLY BOX DUMP'!$1:$1,'ACH CALC'!AZ$2,'TALLY BOX DUMP'!54:54))</f>
        <v>0</v>
      </c>
      <c r="BA55" s="69">
        <f>(SUMIF('TALLY KG DUMP'!$2:$2,"Qty",'TALLY KG DUMP'!54:54)/1000)-(SUMIF('TALLY KG DUMP'!$1:$1,"GL",'TALLY KG DUMP'!54:54)/1000)</f>
        <v>0.06</v>
      </c>
      <c r="BB55" s="21" t="b">
        <f t="shared" ca="1" si="2"/>
        <v>1</v>
      </c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</row>
    <row r="56" spans="2:75" x14ac:dyDescent="0.25">
      <c r="B56" s="21" t="str">
        <f ca="1"/>
        <v>53</v>
      </c>
      <c r="C56" s="21" t="str">
        <f ca="1"/>
        <v>SUN03509</v>
      </c>
      <c r="D56" s="21" t="str">
        <f ca="1"/>
        <v>COONOOR G.V.AGENCIES</v>
      </c>
      <c r="E56" s="21">
        <f ca="1">IF($D56="","",(SUMIF('TALLY KG DUMP'!$2:$2,"Qty",'TALLY KG DUMP'!55:55)/1000)-(SUMIF('TALLY KG DUMP'!$1:$1,"GL",'TALLY KG DUMP'!55:55)/1000))</f>
        <v>23.103999999999999</v>
      </c>
      <c r="F56" s="21">
        <f ca="1">IF($D56="","",(SUMIF('TALLY KG DUMP'!$1:$1,'ACH CALC'!F$2,'TALLY KG DUMP'!55:55)/1000))</f>
        <v>0</v>
      </c>
      <c r="G56" s="21">
        <f ca="1">IF($D56="","",SUMIF('TALLY BOX DUMP'!$1:$1,'ACH CALC'!G$2,'TALLY BOX DUMP'!55:55)+Y56)</f>
        <v>0</v>
      </c>
      <c r="H56" s="21">
        <f t="shared" ca="1" si="0"/>
        <v>0</v>
      </c>
      <c r="I56" s="21">
        <f ca="1">IF($D56="","",SUMIF('TALLY BOX DUMP'!$1:$1,'ACH CALC'!I$2,'TALLY BOX DUMP'!55:55)+AA56)</f>
        <v>0</v>
      </c>
      <c r="J56" s="21">
        <f ca="1">IF($D56="","",SUMIF('TALLY BOX DUMP'!$1:$1,'ACH CALC'!J$2,'TALLY BOX DUMP'!55:55)+AB56)</f>
        <v>0</v>
      </c>
      <c r="K56" s="21">
        <f ca="1">IF($D56="","",SUMIF('TALLY BOX DUMP'!$1:$1,'ACH CALC'!K$2,'TALLY BOX DUMP'!55:55)+AC56)</f>
        <v>0</v>
      </c>
      <c r="L56" s="21">
        <f ca="1">IF($D56="","",SUMIF('TALLY BOX DUMP'!$1:$1,'ACH CALC'!L$2,'TALLY BOX DUMP'!55:55))</f>
        <v>0</v>
      </c>
      <c r="M56" s="21">
        <f ca="1">IF($D56="","",SUMIF('TALLY BOX DUMP'!$1:$1,'ACH CALC'!M$2,'TALLY BOX DUMP'!55:55)+AD56)</f>
        <v>0</v>
      </c>
      <c r="N56" s="21">
        <f ca="1">IF($D56="","",SUMIF('TALLY BOX DUMP'!$1:$1,'ACH CALC'!N$2,'TALLY BOX DUMP'!55:55))</f>
        <v>0</v>
      </c>
      <c r="O56" s="21">
        <f ca="1">IF($D56="","",SUMIF('TALLY BOX DUMP'!$1:$1,'ACH CALC'!O$2,'TALLY BOX DUMP'!55:55))</f>
        <v>0</v>
      </c>
      <c r="P56" s="21">
        <f ca="1">IF($D56="","",SUMIF('TALLY BOX DUMP'!$1:$1,'ACH CALC'!P$2,'TALLY BOX DUMP'!55:55))</f>
        <v>0</v>
      </c>
      <c r="Q56" s="21">
        <f t="shared" ca="1" si="1"/>
        <v>0</v>
      </c>
      <c r="R56" s="21">
        <f ca="1">IF($D56="","",SUMIF('TALLY BOX DUMP'!$1:$1,'ACH CALC'!R$2,'TALLY BOX DUMP'!55:55))</f>
        <v>0</v>
      </c>
      <c r="S56" s="21">
        <f ca="1">IF($D56="","",SUMIF('TALLY BOX DUMP'!$1:$1,'ACH CALC'!S$2,'TALLY BOX DUMP'!55:55))</f>
        <v>0</v>
      </c>
      <c r="T56" s="21">
        <f ca="1">IF($D56="","",SUMIF('TALLY BOX DUMP'!$1:$1,'ACH CALC'!T$2,'TALLY BOX DUMP'!55:55))</f>
        <v>0</v>
      </c>
      <c r="U56" s="21">
        <f ca="1">IF($D56="","",SUMIF('TALLY BOX DUMP'!$1:$1,'ACH CALC'!U$2,'TALLY BOX DUMP'!55:55))</f>
        <v>0</v>
      </c>
      <c r="V56" s="21">
        <f ca="1">IF($D56="","",SUMIF('TALLY BOX DUMP'!$1:$1,'ACH CALC'!V$2,'TALLY BOX DUMP'!55:55))</f>
        <v>0</v>
      </c>
      <c r="W56" s="21">
        <f ca="1">IF($D56="","",SUMIF('TALLY BOX DUMP'!$1:$1,'ACH CALC'!W$2,'TALLY BOX DUMP'!55:55))</f>
        <v>0</v>
      </c>
      <c r="X56" s="21">
        <f ca="1">IF($D56="","",SUMIF('TALLY BOX DUMP'!$1:$1,'ACH CALC'!X$2,'TALLY BOX DUMP'!55:55))</f>
        <v>0</v>
      </c>
      <c r="Y56" s="21">
        <f ca="1">IF($D56="","",SUMIF('TALLY BOX DUMP'!$1:$1,'ACH CALC'!Y$2,'TALLY BOX DUMP'!55:55))</f>
        <v>0</v>
      </c>
      <c r="Z56" s="21">
        <f ca="1">IF($D56="","",SUMIF('TALLY BOX DUMP'!$1:$1,'ACH CALC'!Z$2,'TALLY BOX DUMP'!55:55)+AE56)</f>
        <v>0</v>
      </c>
      <c r="AA56" s="21">
        <f ca="1">IF($D56="","",SUMIF('TALLY BOX DUMP'!$1:$1,'ACH CALC'!AA$2,'TALLY BOX DUMP'!55:55))</f>
        <v>0</v>
      </c>
      <c r="AB56" s="21">
        <f ca="1">IF($D56="","",SUMIF('TALLY BOX DUMP'!$1:$1,'ACH CALC'!AB$2,'TALLY BOX DUMP'!55:55))</f>
        <v>0</v>
      </c>
      <c r="AC56" s="21">
        <f ca="1">IF($D56="","",SUMIF('TALLY BOX DUMP'!$1:$1,'ACH CALC'!AC$2,'TALLY BOX DUMP'!55:55))</f>
        <v>0</v>
      </c>
      <c r="AD56" s="21">
        <f ca="1">IF($D56="","",SUMIF('TALLY BOX DUMP'!$1:$1,'ACH CALC'!AD$2,'TALLY BOX DUMP'!55:55))</f>
        <v>0</v>
      </c>
      <c r="AE56" s="21">
        <f ca="1">IF($D56="","",SUMIF('TALLY BOX DUMP'!$1:$1,'ACH CALC'!AE$2,'TALLY BOX DUMP'!55:55))</f>
        <v>0</v>
      </c>
      <c r="AF56" s="21">
        <f ca="1">IF($D56="","",SUMIF('TALLY BOX DUMP'!$1:$1,'ACH CALC'!AF$2,'TALLY BOX DUMP'!55:55))</f>
        <v>0</v>
      </c>
      <c r="AG56" s="21">
        <f ca="1">IF($D56="","",SUMIF('TALLY BOX DUMP'!$1:$1,'ACH CALC'!AG$2,'TALLY BOX DUMP'!55:55))</f>
        <v>0</v>
      </c>
      <c r="AH56" s="21">
        <f ca="1">IF($D56="","",SUMIF('TALLY BOX DUMP'!$1:$1,'ACH CALC'!AH$2,'TALLY BOX DUMP'!55:55))</f>
        <v>0</v>
      </c>
      <c r="AI56" s="21">
        <f ca="1">IF($D56="","",SUMIF('TALLY BOX DUMP'!$1:$1,'ACH CALC'!AI$2,'TALLY BOX DUMP'!55:55))</f>
        <v>0</v>
      </c>
      <c r="AJ56" s="21">
        <f ca="1">IF($D56="","",SUMIF('TALLY BOX DUMP'!$1:$1,'ACH CALC'!AJ$2,'TALLY BOX DUMP'!55:55))</f>
        <v>0</v>
      </c>
      <c r="AK56" s="21">
        <f ca="1">IF($D56="","",SUMIF('TALLY BOX DUMP'!$1:$1,'ACH CALC'!AK$2,'TALLY BOX DUMP'!55:55))</f>
        <v>0</v>
      </c>
      <c r="AL56" s="21">
        <f ca="1">IF($D56="","",ROUND(SUMIF('TALLY KG DUMP'!$1:$1,'ACH CALC'!AL$2,'TALLY KG DUMP'!55:55)/30,1))</f>
        <v>0</v>
      </c>
      <c r="AM56" s="21">
        <f ca="1">IF($D56="","",SUMIF('TALLY BOX DUMP'!$1:$1,'ACH CALC'!AM$2,'TALLY BOX DUMP'!55:55))</f>
        <v>0</v>
      </c>
      <c r="AN56" s="21">
        <f ca="1">IF($D56="","",SUMIF('TALLY BOX DUMP'!$1:$1,'ACH CALC'!AN$2,'TALLY BOX DUMP'!55:55))</f>
        <v>0</v>
      </c>
      <c r="AO56" s="21">
        <f ca="1">IF($D56="","",SUMIF('TALLY BOX DUMP'!$1:$1,'ACH CALC'!AO$2,'TALLY BOX DUMP'!55:55))</f>
        <v>0</v>
      </c>
      <c r="AP56" s="21">
        <f ca="1">IF($D56="","",SUMIF('TALLY BOX DUMP'!$1:$1,'ACH CALC'!AP$2,'TALLY BOX DUMP'!55:55))</f>
        <v>0</v>
      </c>
      <c r="AQ56" s="21">
        <f ca="1">IF($D56="","",ROUND(SUMIF('TALLY KG DUMP'!$1:$1,'ACH CALC'!AQ$2,'TALLY KG DUMP'!55:55)/30,1))</f>
        <v>0</v>
      </c>
      <c r="AR56" s="21">
        <f ca="1">IF($D56="","",SUMIF('TALLY BOX DUMP'!$1:$1,'ACH CALC'!AR$2,'TALLY BOX DUMP'!55:55))</f>
        <v>0</v>
      </c>
      <c r="AS56" s="21">
        <f ca="1">IF($D56="","",SUMIF('TALLY BOX DUMP'!$1:$1,'ACH CALC'!AS$2,'TALLY BOX DUMP'!55:55))</f>
        <v>0</v>
      </c>
      <c r="AT56" s="21">
        <f ca="1">IF($D56="","",SUMIF('TALLY BOX DUMP'!$1:$1,'ACH CALC'!AT$2,'TALLY BOX DUMP'!55:55))</f>
        <v>0</v>
      </c>
      <c r="AU56" s="21">
        <f ca="1">IF($D56="","",SUMIF('TALLY BOX DUMP'!$1:$1,'ACH CALC'!AU$2,'TALLY BOX DUMP'!55:55))</f>
        <v>0</v>
      </c>
      <c r="AV56" s="21">
        <f ca="1">IF($D56="","",SUMIF('TALLY BOX DUMP'!$1:$1,'ACH CALC'!AV$2,'TALLY BOX DUMP'!55:55))</f>
        <v>0</v>
      </c>
      <c r="AW56" s="21">
        <f ca="1">IF($D56="","",SUMIF('TALLY BOX DUMP'!$1:$1,'ACH CALC'!AW$2,'TALLY BOX DUMP'!55:55))</f>
        <v>0</v>
      </c>
      <c r="AX56" s="21">
        <f ca="1">IF($D56="","",SUMIF('TALLY BOX DUMP'!$1:$1,'ACH CALC'!AX$2,'TALLY BOX DUMP'!55:55))</f>
        <v>0</v>
      </c>
      <c r="AY56" s="21">
        <f ca="1">IF($D56="","",SUMIF('TALLY BOX DUMP'!$1:$1,'ACH CALC'!AY$2,'TALLY BOX DUMP'!55:55))</f>
        <v>0</v>
      </c>
      <c r="AZ56" s="21">
        <f ca="1">IF($D56="","",SUMIF('TALLY BOX DUMP'!$1:$1,'ACH CALC'!AZ$2,'TALLY BOX DUMP'!55:55))</f>
        <v>0</v>
      </c>
      <c r="BA56" s="69">
        <f>(SUMIF('TALLY KG DUMP'!$2:$2,"Qty",'TALLY KG DUMP'!55:55)/1000)-(SUMIF('TALLY KG DUMP'!$1:$1,"GL",'TALLY KG DUMP'!55:55)/1000)</f>
        <v>23.103999999999999</v>
      </c>
      <c r="BB56" s="21" t="b">
        <f t="shared" ca="1" si="2"/>
        <v>1</v>
      </c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</row>
    <row r="57" spans="2:75" x14ac:dyDescent="0.25">
      <c r="B57" s="21" t="str">
        <f ca="1"/>
        <v>54</v>
      </c>
      <c r="C57" s="21" t="str">
        <f ca="1"/>
        <v>SUN06997</v>
      </c>
      <c r="D57" s="21" t="str">
        <f ca="1"/>
        <v>AP-VAMSADHARA TRADERS</v>
      </c>
      <c r="E57" s="21">
        <f ca="1">IF($D57="","",(SUMIF('TALLY KG DUMP'!$2:$2,"Qty",'TALLY KG DUMP'!56:56)/1000)-(SUMIF('TALLY KG DUMP'!$1:$1,"GL",'TALLY KG DUMP'!56:56)/1000))</f>
        <v>0</v>
      </c>
      <c r="F57" s="21">
        <f ca="1">IF($D57="","",(SUMIF('TALLY KG DUMP'!$1:$1,'ACH CALC'!F$2,'TALLY KG DUMP'!56:56)/1000))</f>
        <v>0</v>
      </c>
      <c r="G57" s="21">
        <f ca="1">IF($D57="","",SUMIF('TALLY BOX DUMP'!$1:$1,'ACH CALC'!G$2,'TALLY BOX DUMP'!56:56)+Y57)</f>
        <v>0</v>
      </c>
      <c r="H57" s="21">
        <f t="shared" ca="1" si="0"/>
        <v>0</v>
      </c>
      <c r="I57" s="21">
        <f ca="1">IF($D57="","",SUMIF('TALLY BOX DUMP'!$1:$1,'ACH CALC'!I$2,'TALLY BOX DUMP'!56:56)+AA57)</f>
        <v>0</v>
      </c>
      <c r="J57" s="21">
        <f ca="1">IF($D57="","",SUMIF('TALLY BOX DUMP'!$1:$1,'ACH CALC'!J$2,'TALLY BOX DUMP'!56:56)+AB57)</f>
        <v>0</v>
      </c>
      <c r="K57" s="21">
        <f ca="1">IF($D57="","",SUMIF('TALLY BOX DUMP'!$1:$1,'ACH CALC'!K$2,'TALLY BOX DUMP'!56:56)+AC57)</f>
        <v>0</v>
      </c>
      <c r="L57" s="21">
        <f ca="1">IF($D57="","",SUMIF('TALLY BOX DUMP'!$1:$1,'ACH CALC'!L$2,'TALLY BOX DUMP'!56:56))</f>
        <v>0</v>
      </c>
      <c r="M57" s="21">
        <f ca="1">IF($D57="","",SUMIF('TALLY BOX DUMP'!$1:$1,'ACH CALC'!M$2,'TALLY BOX DUMP'!56:56)+AD57)</f>
        <v>0</v>
      </c>
      <c r="N57" s="21">
        <f ca="1">IF($D57="","",SUMIF('TALLY BOX DUMP'!$1:$1,'ACH CALC'!N$2,'TALLY BOX DUMP'!56:56))</f>
        <v>0</v>
      </c>
      <c r="O57" s="21">
        <f ca="1">IF($D57="","",SUMIF('TALLY BOX DUMP'!$1:$1,'ACH CALC'!O$2,'TALLY BOX DUMP'!56:56))</f>
        <v>0</v>
      </c>
      <c r="P57" s="21">
        <f ca="1">IF($D57="","",SUMIF('TALLY BOX DUMP'!$1:$1,'ACH CALC'!P$2,'TALLY BOX DUMP'!56:56))</f>
        <v>0</v>
      </c>
      <c r="Q57" s="21">
        <f t="shared" ca="1" si="1"/>
        <v>0</v>
      </c>
      <c r="R57" s="21">
        <f ca="1">IF($D57="","",SUMIF('TALLY BOX DUMP'!$1:$1,'ACH CALC'!R$2,'TALLY BOX DUMP'!56:56))</f>
        <v>0</v>
      </c>
      <c r="S57" s="21">
        <f ca="1">IF($D57="","",SUMIF('TALLY BOX DUMP'!$1:$1,'ACH CALC'!S$2,'TALLY BOX DUMP'!56:56))</f>
        <v>0</v>
      </c>
      <c r="T57" s="21">
        <f ca="1">IF($D57="","",SUMIF('TALLY BOX DUMP'!$1:$1,'ACH CALC'!T$2,'TALLY BOX DUMP'!56:56))</f>
        <v>0</v>
      </c>
      <c r="U57" s="21">
        <f ca="1">IF($D57="","",SUMIF('TALLY BOX DUMP'!$1:$1,'ACH CALC'!U$2,'TALLY BOX DUMP'!56:56))</f>
        <v>0</v>
      </c>
      <c r="V57" s="21">
        <f ca="1">IF($D57="","",SUMIF('TALLY BOX DUMP'!$1:$1,'ACH CALC'!V$2,'TALLY BOX DUMP'!56:56))</f>
        <v>0</v>
      </c>
      <c r="W57" s="21">
        <f ca="1">IF($D57="","",SUMIF('TALLY BOX DUMP'!$1:$1,'ACH CALC'!W$2,'TALLY BOX DUMP'!56:56))</f>
        <v>0</v>
      </c>
      <c r="X57" s="21">
        <f ca="1">IF($D57="","",SUMIF('TALLY BOX DUMP'!$1:$1,'ACH CALC'!X$2,'TALLY BOX DUMP'!56:56))</f>
        <v>0</v>
      </c>
      <c r="Y57" s="21">
        <f ca="1">IF($D57="","",SUMIF('TALLY BOX DUMP'!$1:$1,'ACH CALC'!Y$2,'TALLY BOX DUMP'!56:56))</f>
        <v>0</v>
      </c>
      <c r="Z57" s="21">
        <f ca="1">IF($D57="","",SUMIF('TALLY BOX DUMP'!$1:$1,'ACH CALC'!Z$2,'TALLY BOX DUMP'!56:56)+AE57)</f>
        <v>0</v>
      </c>
      <c r="AA57" s="21">
        <f ca="1">IF($D57="","",SUMIF('TALLY BOX DUMP'!$1:$1,'ACH CALC'!AA$2,'TALLY BOX DUMP'!56:56))</f>
        <v>0</v>
      </c>
      <c r="AB57" s="21">
        <f ca="1">IF($D57="","",SUMIF('TALLY BOX DUMP'!$1:$1,'ACH CALC'!AB$2,'TALLY BOX DUMP'!56:56))</f>
        <v>0</v>
      </c>
      <c r="AC57" s="21">
        <f ca="1">IF($D57="","",SUMIF('TALLY BOX DUMP'!$1:$1,'ACH CALC'!AC$2,'TALLY BOX DUMP'!56:56))</f>
        <v>0</v>
      </c>
      <c r="AD57" s="21">
        <f ca="1">IF($D57="","",SUMIF('TALLY BOX DUMP'!$1:$1,'ACH CALC'!AD$2,'TALLY BOX DUMP'!56:56))</f>
        <v>0</v>
      </c>
      <c r="AE57" s="21">
        <f ca="1">IF($D57="","",SUMIF('TALLY BOX DUMP'!$1:$1,'ACH CALC'!AE$2,'TALLY BOX DUMP'!56:56))</f>
        <v>0</v>
      </c>
      <c r="AF57" s="21">
        <f ca="1">IF($D57="","",SUMIF('TALLY BOX DUMP'!$1:$1,'ACH CALC'!AF$2,'TALLY BOX DUMP'!56:56))</f>
        <v>0</v>
      </c>
      <c r="AG57" s="21">
        <f ca="1">IF($D57="","",SUMIF('TALLY BOX DUMP'!$1:$1,'ACH CALC'!AG$2,'TALLY BOX DUMP'!56:56))</f>
        <v>0</v>
      </c>
      <c r="AH57" s="21">
        <f ca="1">IF($D57="","",SUMIF('TALLY BOX DUMP'!$1:$1,'ACH CALC'!AH$2,'TALLY BOX DUMP'!56:56))</f>
        <v>0</v>
      </c>
      <c r="AI57" s="21">
        <f ca="1">IF($D57="","",SUMIF('TALLY BOX DUMP'!$1:$1,'ACH CALC'!AI$2,'TALLY BOX DUMP'!56:56))</f>
        <v>0</v>
      </c>
      <c r="AJ57" s="21">
        <f ca="1">IF($D57="","",SUMIF('TALLY BOX DUMP'!$1:$1,'ACH CALC'!AJ$2,'TALLY BOX DUMP'!56:56))</f>
        <v>0</v>
      </c>
      <c r="AK57" s="21">
        <f ca="1">IF($D57="","",SUMIF('TALLY BOX DUMP'!$1:$1,'ACH CALC'!AK$2,'TALLY BOX DUMP'!56:56))</f>
        <v>0</v>
      </c>
      <c r="AL57" s="21">
        <f ca="1">IF($D57="","",ROUND(SUMIF('TALLY KG DUMP'!$1:$1,'ACH CALC'!AL$2,'TALLY KG DUMP'!56:56)/30,1))</f>
        <v>0</v>
      </c>
      <c r="AM57" s="21">
        <f ca="1">IF($D57="","",SUMIF('TALLY BOX DUMP'!$1:$1,'ACH CALC'!AM$2,'TALLY BOX DUMP'!56:56))</f>
        <v>0</v>
      </c>
      <c r="AN57" s="21">
        <f ca="1">IF($D57="","",SUMIF('TALLY BOX DUMP'!$1:$1,'ACH CALC'!AN$2,'TALLY BOX DUMP'!56:56))</f>
        <v>0</v>
      </c>
      <c r="AO57" s="21">
        <f ca="1">IF($D57="","",SUMIF('TALLY BOX DUMP'!$1:$1,'ACH CALC'!AO$2,'TALLY BOX DUMP'!56:56))</f>
        <v>0</v>
      </c>
      <c r="AP57" s="21">
        <f ca="1">IF($D57="","",SUMIF('TALLY BOX DUMP'!$1:$1,'ACH CALC'!AP$2,'TALLY BOX DUMP'!56:56))</f>
        <v>0</v>
      </c>
      <c r="AQ57" s="21">
        <f ca="1">IF($D57="","",ROUND(SUMIF('TALLY KG DUMP'!$1:$1,'ACH CALC'!AQ$2,'TALLY KG DUMP'!56:56)/30,1))</f>
        <v>0</v>
      </c>
      <c r="AR57" s="21">
        <f ca="1">IF($D57="","",SUMIF('TALLY BOX DUMP'!$1:$1,'ACH CALC'!AR$2,'TALLY BOX DUMP'!56:56))</f>
        <v>0</v>
      </c>
      <c r="AS57" s="21">
        <f ca="1">IF($D57="","",SUMIF('TALLY BOX DUMP'!$1:$1,'ACH CALC'!AS$2,'TALLY BOX DUMP'!56:56))</f>
        <v>0</v>
      </c>
      <c r="AT57" s="21">
        <f ca="1">IF($D57="","",SUMIF('TALLY BOX DUMP'!$1:$1,'ACH CALC'!AT$2,'TALLY BOX DUMP'!56:56))</f>
        <v>0</v>
      </c>
      <c r="AU57" s="21">
        <f ca="1">IF($D57="","",SUMIF('TALLY BOX DUMP'!$1:$1,'ACH CALC'!AU$2,'TALLY BOX DUMP'!56:56))</f>
        <v>0</v>
      </c>
      <c r="AV57" s="21">
        <f ca="1">IF($D57="","",SUMIF('TALLY BOX DUMP'!$1:$1,'ACH CALC'!AV$2,'TALLY BOX DUMP'!56:56))</f>
        <v>0</v>
      </c>
      <c r="AW57" s="21">
        <f ca="1">IF($D57="","",SUMIF('TALLY BOX DUMP'!$1:$1,'ACH CALC'!AW$2,'TALLY BOX DUMP'!56:56))</f>
        <v>0</v>
      </c>
      <c r="AX57" s="21">
        <f ca="1">IF($D57="","",SUMIF('TALLY BOX DUMP'!$1:$1,'ACH CALC'!AX$2,'TALLY BOX DUMP'!56:56))</f>
        <v>0</v>
      </c>
      <c r="AY57" s="21">
        <f ca="1">IF($D57="","",SUMIF('TALLY BOX DUMP'!$1:$1,'ACH CALC'!AY$2,'TALLY BOX DUMP'!56:56))</f>
        <v>0</v>
      </c>
      <c r="AZ57" s="21">
        <f ca="1">IF($D57="","",SUMIF('TALLY BOX DUMP'!$1:$1,'ACH CALC'!AZ$2,'TALLY BOX DUMP'!56:56))</f>
        <v>0</v>
      </c>
      <c r="BA57" s="69">
        <f>(SUMIF('TALLY KG DUMP'!$2:$2,"Qty",'TALLY KG DUMP'!56:56)/1000)-(SUMIF('TALLY KG DUMP'!$1:$1,"GL",'TALLY KG DUMP'!56:56)/1000)</f>
        <v>0</v>
      </c>
      <c r="BB57" s="21" t="b">
        <f t="shared" ca="1" si="2"/>
        <v>1</v>
      </c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</row>
    <row r="58" spans="2:75" x14ac:dyDescent="0.25">
      <c r="B58" s="21" t="str">
        <f ca="1"/>
        <v>55</v>
      </c>
      <c r="C58" s="21" t="str">
        <f ca="1"/>
        <v>SUN06214</v>
      </c>
      <c r="D58" s="21" t="str">
        <f ca="1"/>
        <v>CHENNAI -TVM EDIBLE OILS PVT LTD (NEW GST)</v>
      </c>
      <c r="E58" s="21">
        <f ca="1">IF($D58="","",(SUMIF('TALLY KG DUMP'!$2:$2,"Qty",'TALLY KG DUMP'!57:57)/1000)-(SUMIF('TALLY KG DUMP'!$1:$1,"GL",'TALLY KG DUMP'!57:57)/1000))</f>
        <v>0</v>
      </c>
      <c r="F58" s="21">
        <f ca="1">IF($D58="","",(SUMIF('TALLY KG DUMP'!$1:$1,'ACH CALC'!F$2,'TALLY KG DUMP'!57:57)/1000))</f>
        <v>0</v>
      </c>
      <c r="G58" s="21">
        <f ca="1">IF($D58="","",SUMIF('TALLY BOX DUMP'!$1:$1,'ACH CALC'!G$2,'TALLY BOX DUMP'!57:57)+Y58)</f>
        <v>0</v>
      </c>
      <c r="H58" s="21">
        <f t="shared" ca="1" si="0"/>
        <v>0</v>
      </c>
      <c r="I58" s="21">
        <f ca="1">IF($D58="","",SUMIF('TALLY BOX DUMP'!$1:$1,'ACH CALC'!I$2,'TALLY BOX DUMP'!57:57)+AA58)</f>
        <v>0</v>
      </c>
      <c r="J58" s="21">
        <f ca="1">IF($D58="","",SUMIF('TALLY BOX DUMP'!$1:$1,'ACH CALC'!J$2,'TALLY BOX DUMP'!57:57)+AB58)</f>
        <v>0</v>
      </c>
      <c r="K58" s="21">
        <f ca="1">IF($D58="","",SUMIF('TALLY BOX DUMP'!$1:$1,'ACH CALC'!K$2,'TALLY BOX DUMP'!57:57)+AC58)</f>
        <v>0</v>
      </c>
      <c r="L58" s="21">
        <f ca="1">IF($D58="","",SUMIF('TALLY BOX DUMP'!$1:$1,'ACH CALC'!L$2,'TALLY BOX DUMP'!57:57))</f>
        <v>0</v>
      </c>
      <c r="M58" s="21">
        <f ca="1">IF($D58="","",SUMIF('TALLY BOX DUMP'!$1:$1,'ACH CALC'!M$2,'TALLY BOX DUMP'!57:57)+AD58)</f>
        <v>0</v>
      </c>
      <c r="N58" s="21">
        <f ca="1">IF($D58="","",SUMIF('TALLY BOX DUMP'!$1:$1,'ACH CALC'!N$2,'TALLY BOX DUMP'!57:57))</f>
        <v>0</v>
      </c>
      <c r="O58" s="21">
        <f ca="1">IF($D58="","",SUMIF('TALLY BOX DUMP'!$1:$1,'ACH CALC'!O$2,'TALLY BOX DUMP'!57:57))</f>
        <v>0</v>
      </c>
      <c r="P58" s="21">
        <f ca="1">IF($D58="","",SUMIF('TALLY BOX DUMP'!$1:$1,'ACH CALC'!P$2,'TALLY BOX DUMP'!57:57))</f>
        <v>0</v>
      </c>
      <c r="Q58" s="21">
        <f t="shared" ca="1" si="1"/>
        <v>0</v>
      </c>
      <c r="R58" s="21">
        <f ca="1">IF($D58="","",SUMIF('TALLY BOX DUMP'!$1:$1,'ACH CALC'!R$2,'TALLY BOX DUMP'!57:57))</f>
        <v>0</v>
      </c>
      <c r="S58" s="21">
        <f ca="1">IF($D58="","",SUMIF('TALLY BOX DUMP'!$1:$1,'ACH CALC'!S$2,'TALLY BOX DUMP'!57:57))</f>
        <v>0</v>
      </c>
      <c r="T58" s="21">
        <f ca="1">IF($D58="","",SUMIF('TALLY BOX DUMP'!$1:$1,'ACH CALC'!T$2,'TALLY BOX DUMP'!57:57))</f>
        <v>0</v>
      </c>
      <c r="U58" s="21">
        <f ca="1">IF($D58="","",SUMIF('TALLY BOX DUMP'!$1:$1,'ACH CALC'!U$2,'TALLY BOX DUMP'!57:57))</f>
        <v>0</v>
      </c>
      <c r="V58" s="21">
        <f ca="1">IF($D58="","",SUMIF('TALLY BOX DUMP'!$1:$1,'ACH CALC'!V$2,'TALLY BOX DUMP'!57:57))</f>
        <v>0</v>
      </c>
      <c r="W58" s="21">
        <f ca="1">IF($D58="","",SUMIF('TALLY BOX DUMP'!$1:$1,'ACH CALC'!W$2,'TALLY BOX DUMP'!57:57))</f>
        <v>0</v>
      </c>
      <c r="X58" s="21">
        <f ca="1">IF($D58="","",SUMIF('TALLY BOX DUMP'!$1:$1,'ACH CALC'!X$2,'TALLY BOX DUMP'!57:57))</f>
        <v>0</v>
      </c>
      <c r="Y58" s="21">
        <f ca="1">IF($D58="","",SUMIF('TALLY BOX DUMP'!$1:$1,'ACH CALC'!Y$2,'TALLY BOX DUMP'!57:57))</f>
        <v>0</v>
      </c>
      <c r="Z58" s="21">
        <f ca="1">IF($D58="","",SUMIF('TALLY BOX DUMP'!$1:$1,'ACH CALC'!Z$2,'TALLY BOX DUMP'!57:57)+AE58)</f>
        <v>0</v>
      </c>
      <c r="AA58" s="21">
        <f ca="1">IF($D58="","",SUMIF('TALLY BOX DUMP'!$1:$1,'ACH CALC'!AA$2,'TALLY BOX DUMP'!57:57))</f>
        <v>0</v>
      </c>
      <c r="AB58" s="21">
        <f ca="1">IF($D58="","",SUMIF('TALLY BOX DUMP'!$1:$1,'ACH CALC'!AB$2,'TALLY BOX DUMP'!57:57))</f>
        <v>0</v>
      </c>
      <c r="AC58" s="21">
        <f ca="1">IF($D58="","",SUMIF('TALLY BOX DUMP'!$1:$1,'ACH CALC'!AC$2,'TALLY BOX DUMP'!57:57))</f>
        <v>0</v>
      </c>
      <c r="AD58" s="21">
        <f ca="1">IF($D58="","",SUMIF('TALLY BOX DUMP'!$1:$1,'ACH CALC'!AD$2,'TALLY BOX DUMP'!57:57))</f>
        <v>0</v>
      </c>
      <c r="AE58" s="21">
        <f ca="1">IF($D58="","",SUMIF('TALLY BOX DUMP'!$1:$1,'ACH CALC'!AE$2,'TALLY BOX DUMP'!57:57))</f>
        <v>0</v>
      </c>
      <c r="AF58" s="21">
        <f ca="1">IF($D58="","",SUMIF('TALLY BOX DUMP'!$1:$1,'ACH CALC'!AF$2,'TALLY BOX DUMP'!57:57))</f>
        <v>0</v>
      </c>
      <c r="AG58" s="21">
        <f ca="1">IF($D58="","",SUMIF('TALLY BOX DUMP'!$1:$1,'ACH CALC'!AG$2,'TALLY BOX DUMP'!57:57))</f>
        <v>0</v>
      </c>
      <c r="AH58" s="21">
        <f ca="1">IF($D58="","",SUMIF('TALLY BOX DUMP'!$1:$1,'ACH CALC'!AH$2,'TALLY BOX DUMP'!57:57))</f>
        <v>0</v>
      </c>
      <c r="AI58" s="21">
        <f ca="1">IF($D58="","",SUMIF('TALLY BOX DUMP'!$1:$1,'ACH CALC'!AI$2,'TALLY BOX DUMP'!57:57))</f>
        <v>0</v>
      </c>
      <c r="AJ58" s="21">
        <f ca="1">IF($D58="","",SUMIF('TALLY BOX DUMP'!$1:$1,'ACH CALC'!AJ$2,'TALLY BOX DUMP'!57:57))</f>
        <v>0</v>
      </c>
      <c r="AK58" s="21">
        <f ca="1">IF($D58="","",SUMIF('TALLY BOX DUMP'!$1:$1,'ACH CALC'!AK$2,'TALLY BOX DUMP'!57:57))</f>
        <v>0</v>
      </c>
      <c r="AL58" s="21">
        <f ca="1">IF($D58="","",ROUND(SUMIF('TALLY KG DUMP'!$1:$1,'ACH CALC'!AL$2,'TALLY KG DUMP'!57:57)/30,1))</f>
        <v>0</v>
      </c>
      <c r="AM58" s="21">
        <f ca="1">IF($D58="","",SUMIF('TALLY BOX DUMP'!$1:$1,'ACH CALC'!AM$2,'TALLY BOX DUMP'!57:57))</f>
        <v>0</v>
      </c>
      <c r="AN58" s="21">
        <f ca="1">IF($D58="","",SUMIF('TALLY BOX DUMP'!$1:$1,'ACH CALC'!AN$2,'TALLY BOX DUMP'!57:57))</f>
        <v>0</v>
      </c>
      <c r="AO58" s="21">
        <f ca="1">IF($D58="","",SUMIF('TALLY BOX DUMP'!$1:$1,'ACH CALC'!AO$2,'TALLY BOX DUMP'!57:57))</f>
        <v>0</v>
      </c>
      <c r="AP58" s="21">
        <f ca="1">IF($D58="","",SUMIF('TALLY BOX DUMP'!$1:$1,'ACH CALC'!AP$2,'TALLY BOX DUMP'!57:57))</f>
        <v>0</v>
      </c>
      <c r="AQ58" s="21">
        <f ca="1">IF($D58="","",ROUND(SUMIF('TALLY KG DUMP'!$1:$1,'ACH CALC'!AQ$2,'TALLY KG DUMP'!57:57)/30,1))</f>
        <v>0</v>
      </c>
      <c r="AR58" s="21">
        <f ca="1">IF($D58="","",SUMIF('TALLY BOX DUMP'!$1:$1,'ACH CALC'!AR$2,'TALLY BOX DUMP'!57:57))</f>
        <v>0</v>
      </c>
      <c r="AS58" s="21">
        <f ca="1">IF($D58="","",SUMIF('TALLY BOX DUMP'!$1:$1,'ACH CALC'!AS$2,'TALLY BOX DUMP'!57:57))</f>
        <v>0</v>
      </c>
      <c r="AT58" s="21">
        <f ca="1">IF($D58="","",SUMIF('TALLY BOX DUMP'!$1:$1,'ACH CALC'!AT$2,'TALLY BOX DUMP'!57:57))</f>
        <v>0</v>
      </c>
      <c r="AU58" s="21">
        <f ca="1">IF($D58="","",SUMIF('TALLY BOX DUMP'!$1:$1,'ACH CALC'!AU$2,'TALLY BOX DUMP'!57:57))</f>
        <v>0</v>
      </c>
      <c r="AV58" s="21">
        <f ca="1">IF($D58="","",SUMIF('TALLY BOX DUMP'!$1:$1,'ACH CALC'!AV$2,'TALLY BOX DUMP'!57:57))</f>
        <v>0</v>
      </c>
      <c r="AW58" s="21">
        <f ca="1">IF($D58="","",SUMIF('TALLY BOX DUMP'!$1:$1,'ACH CALC'!AW$2,'TALLY BOX DUMP'!57:57))</f>
        <v>0</v>
      </c>
      <c r="AX58" s="21">
        <f ca="1">IF($D58="","",SUMIF('TALLY BOX DUMP'!$1:$1,'ACH CALC'!AX$2,'TALLY BOX DUMP'!57:57))</f>
        <v>0</v>
      </c>
      <c r="AY58" s="21">
        <f ca="1">IF($D58="","",SUMIF('TALLY BOX DUMP'!$1:$1,'ACH CALC'!AY$2,'TALLY BOX DUMP'!57:57))</f>
        <v>0</v>
      </c>
      <c r="AZ58" s="21">
        <f ca="1">IF($D58="","",SUMIF('TALLY BOX DUMP'!$1:$1,'ACH CALC'!AZ$2,'TALLY BOX DUMP'!57:57))</f>
        <v>0</v>
      </c>
      <c r="BA58" s="69">
        <f>(SUMIF('TALLY KG DUMP'!$2:$2,"Qty",'TALLY KG DUMP'!57:57)/1000)-(SUMIF('TALLY KG DUMP'!$1:$1,"GL",'TALLY KG DUMP'!57:57)/1000)</f>
        <v>0</v>
      </c>
      <c r="BB58" s="21" t="b">
        <f t="shared" ca="1" si="2"/>
        <v>1</v>
      </c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</row>
    <row r="59" spans="2:75" x14ac:dyDescent="0.25">
      <c r="B59" s="21" t="str">
        <f ca="1"/>
        <v>56</v>
      </c>
      <c r="C59" s="21" t="str">
        <f ca="1"/>
        <v>SUN04144</v>
      </c>
      <c r="D59" s="21" t="str">
        <f ca="1"/>
        <v>NELLORE-SANTHOSHIMATHAA OILS &amp; FATS</v>
      </c>
      <c r="E59" s="21">
        <f ca="1">IF($D59="","",(SUMIF('TALLY KG DUMP'!$2:$2,"Qty",'TALLY KG DUMP'!58:58)/1000)-(SUMIF('TALLY KG DUMP'!$1:$1,"GL",'TALLY KG DUMP'!58:58)/1000))</f>
        <v>0</v>
      </c>
      <c r="F59" s="21">
        <f ca="1">IF($D59="","",(SUMIF('TALLY KG DUMP'!$1:$1,'ACH CALC'!F$2,'TALLY KG DUMP'!58:58)/1000))</f>
        <v>0</v>
      </c>
      <c r="G59" s="21">
        <f ca="1">IF($D59="","",SUMIF('TALLY BOX DUMP'!$1:$1,'ACH CALC'!G$2,'TALLY BOX DUMP'!58:58)+Y59)</f>
        <v>0</v>
      </c>
      <c r="H59" s="21">
        <f t="shared" ca="1" si="0"/>
        <v>0</v>
      </c>
      <c r="I59" s="21">
        <f ca="1">IF($D59="","",SUMIF('TALLY BOX DUMP'!$1:$1,'ACH CALC'!I$2,'TALLY BOX DUMP'!58:58)+AA59)</f>
        <v>0</v>
      </c>
      <c r="J59" s="21">
        <f ca="1">IF($D59="","",SUMIF('TALLY BOX DUMP'!$1:$1,'ACH CALC'!J$2,'TALLY BOX DUMP'!58:58)+AB59)</f>
        <v>0</v>
      </c>
      <c r="K59" s="21">
        <f ca="1">IF($D59="","",SUMIF('TALLY BOX DUMP'!$1:$1,'ACH CALC'!K$2,'TALLY BOX DUMP'!58:58)+AC59)</f>
        <v>0</v>
      </c>
      <c r="L59" s="21">
        <f ca="1">IF($D59="","",SUMIF('TALLY BOX DUMP'!$1:$1,'ACH CALC'!L$2,'TALLY BOX DUMP'!58:58))</f>
        <v>0</v>
      </c>
      <c r="M59" s="21">
        <f ca="1">IF($D59="","",SUMIF('TALLY BOX DUMP'!$1:$1,'ACH CALC'!M$2,'TALLY BOX DUMP'!58:58)+AD59)</f>
        <v>0</v>
      </c>
      <c r="N59" s="21">
        <f ca="1">IF($D59="","",SUMIF('TALLY BOX DUMP'!$1:$1,'ACH CALC'!N$2,'TALLY BOX DUMP'!58:58))</f>
        <v>0</v>
      </c>
      <c r="O59" s="21">
        <f ca="1">IF($D59="","",SUMIF('TALLY BOX DUMP'!$1:$1,'ACH CALC'!O$2,'TALLY BOX DUMP'!58:58))</f>
        <v>0</v>
      </c>
      <c r="P59" s="21">
        <f ca="1">IF($D59="","",SUMIF('TALLY BOX DUMP'!$1:$1,'ACH CALC'!P$2,'TALLY BOX DUMP'!58:58))</f>
        <v>0</v>
      </c>
      <c r="Q59" s="21">
        <f t="shared" ca="1" si="1"/>
        <v>0</v>
      </c>
      <c r="R59" s="21">
        <f ca="1">IF($D59="","",SUMIF('TALLY BOX DUMP'!$1:$1,'ACH CALC'!R$2,'TALLY BOX DUMP'!58:58))</f>
        <v>0</v>
      </c>
      <c r="S59" s="21">
        <f ca="1">IF($D59="","",SUMIF('TALLY BOX DUMP'!$1:$1,'ACH CALC'!S$2,'TALLY BOX DUMP'!58:58))</f>
        <v>0</v>
      </c>
      <c r="T59" s="21">
        <f ca="1">IF($D59="","",SUMIF('TALLY BOX DUMP'!$1:$1,'ACH CALC'!T$2,'TALLY BOX DUMP'!58:58))</f>
        <v>0</v>
      </c>
      <c r="U59" s="21">
        <f ca="1">IF($D59="","",SUMIF('TALLY BOX DUMP'!$1:$1,'ACH CALC'!U$2,'TALLY BOX DUMP'!58:58))</f>
        <v>0</v>
      </c>
      <c r="V59" s="21">
        <f ca="1">IF($D59="","",SUMIF('TALLY BOX DUMP'!$1:$1,'ACH CALC'!V$2,'TALLY BOX DUMP'!58:58))</f>
        <v>0</v>
      </c>
      <c r="W59" s="21">
        <f ca="1">IF($D59="","",SUMIF('TALLY BOX DUMP'!$1:$1,'ACH CALC'!W$2,'TALLY BOX DUMP'!58:58))</f>
        <v>0</v>
      </c>
      <c r="X59" s="21">
        <f ca="1">IF($D59="","",SUMIF('TALLY BOX DUMP'!$1:$1,'ACH CALC'!X$2,'TALLY BOX DUMP'!58:58))</f>
        <v>0</v>
      </c>
      <c r="Y59" s="21">
        <f ca="1">IF($D59="","",SUMIF('TALLY BOX DUMP'!$1:$1,'ACH CALC'!Y$2,'TALLY BOX DUMP'!58:58))</f>
        <v>0</v>
      </c>
      <c r="Z59" s="21">
        <f ca="1">IF($D59="","",SUMIF('TALLY BOX DUMP'!$1:$1,'ACH CALC'!Z$2,'TALLY BOX DUMP'!58:58)+AE59)</f>
        <v>0</v>
      </c>
      <c r="AA59" s="21">
        <f ca="1">IF($D59="","",SUMIF('TALLY BOX DUMP'!$1:$1,'ACH CALC'!AA$2,'TALLY BOX DUMP'!58:58))</f>
        <v>0</v>
      </c>
      <c r="AB59" s="21">
        <f ca="1">IF($D59="","",SUMIF('TALLY BOX DUMP'!$1:$1,'ACH CALC'!AB$2,'TALLY BOX DUMP'!58:58))</f>
        <v>0</v>
      </c>
      <c r="AC59" s="21">
        <f ca="1">IF($D59="","",SUMIF('TALLY BOX DUMP'!$1:$1,'ACH CALC'!AC$2,'TALLY BOX DUMP'!58:58))</f>
        <v>0</v>
      </c>
      <c r="AD59" s="21">
        <f ca="1">IF($D59="","",SUMIF('TALLY BOX DUMP'!$1:$1,'ACH CALC'!AD$2,'TALLY BOX DUMP'!58:58))</f>
        <v>0</v>
      </c>
      <c r="AE59" s="21">
        <f ca="1">IF($D59="","",SUMIF('TALLY BOX DUMP'!$1:$1,'ACH CALC'!AE$2,'TALLY BOX DUMP'!58:58))</f>
        <v>0</v>
      </c>
      <c r="AF59" s="21">
        <f ca="1">IF($D59="","",SUMIF('TALLY BOX DUMP'!$1:$1,'ACH CALC'!AF$2,'TALLY BOX DUMP'!58:58))</f>
        <v>0</v>
      </c>
      <c r="AG59" s="21">
        <f ca="1">IF($D59="","",SUMIF('TALLY BOX DUMP'!$1:$1,'ACH CALC'!AG$2,'TALLY BOX DUMP'!58:58))</f>
        <v>0</v>
      </c>
      <c r="AH59" s="21">
        <f ca="1">IF($D59="","",SUMIF('TALLY BOX DUMP'!$1:$1,'ACH CALC'!AH$2,'TALLY BOX DUMP'!58:58))</f>
        <v>0</v>
      </c>
      <c r="AI59" s="21">
        <f ca="1">IF($D59="","",SUMIF('TALLY BOX DUMP'!$1:$1,'ACH CALC'!AI$2,'TALLY BOX DUMP'!58:58))</f>
        <v>0</v>
      </c>
      <c r="AJ59" s="21">
        <f ca="1">IF($D59="","",SUMIF('TALLY BOX DUMP'!$1:$1,'ACH CALC'!AJ$2,'TALLY BOX DUMP'!58:58))</f>
        <v>0</v>
      </c>
      <c r="AK59" s="21">
        <f ca="1">IF($D59="","",SUMIF('TALLY BOX DUMP'!$1:$1,'ACH CALC'!AK$2,'TALLY BOX DUMP'!58:58))</f>
        <v>0</v>
      </c>
      <c r="AL59" s="21">
        <f ca="1">IF($D59="","",ROUND(SUMIF('TALLY KG DUMP'!$1:$1,'ACH CALC'!AL$2,'TALLY KG DUMP'!58:58)/30,1))</f>
        <v>0</v>
      </c>
      <c r="AM59" s="21">
        <f ca="1">IF($D59="","",SUMIF('TALLY BOX DUMP'!$1:$1,'ACH CALC'!AM$2,'TALLY BOX DUMP'!58:58))</f>
        <v>0</v>
      </c>
      <c r="AN59" s="21">
        <f ca="1">IF($D59="","",SUMIF('TALLY BOX DUMP'!$1:$1,'ACH CALC'!AN$2,'TALLY BOX DUMP'!58:58))</f>
        <v>0</v>
      </c>
      <c r="AO59" s="21">
        <f ca="1">IF($D59="","",SUMIF('TALLY BOX DUMP'!$1:$1,'ACH CALC'!AO$2,'TALLY BOX DUMP'!58:58))</f>
        <v>0</v>
      </c>
      <c r="AP59" s="21">
        <f ca="1">IF($D59="","",SUMIF('TALLY BOX DUMP'!$1:$1,'ACH CALC'!AP$2,'TALLY BOX DUMP'!58:58))</f>
        <v>0</v>
      </c>
      <c r="AQ59" s="21">
        <f ca="1">IF($D59="","",ROUND(SUMIF('TALLY KG DUMP'!$1:$1,'ACH CALC'!AQ$2,'TALLY KG DUMP'!58:58)/30,1))</f>
        <v>0</v>
      </c>
      <c r="AR59" s="21">
        <f ca="1">IF($D59="","",SUMIF('TALLY BOX DUMP'!$1:$1,'ACH CALC'!AR$2,'TALLY BOX DUMP'!58:58))</f>
        <v>0</v>
      </c>
      <c r="AS59" s="21">
        <f ca="1">IF($D59="","",SUMIF('TALLY BOX DUMP'!$1:$1,'ACH CALC'!AS$2,'TALLY BOX DUMP'!58:58))</f>
        <v>0</v>
      </c>
      <c r="AT59" s="21">
        <f ca="1">IF($D59="","",SUMIF('TALLY BOX DUMP'!$1:$1,'ACH CALC'!AT$2,'TALLY BOX DUMP'!58:58))</f>
        <v>0</v>
      </c>
      <c r="AU59" s="21">
        <f ca="1">IF($D59="","",SUMIF('TALLY BOX DUMP'!$1:$1,'ACH CALC'!AU$2,'TALLY BOX DUMP'!58:58))</f>
        <v>0</v>
      </c>
      <c r="AV59" s="21">
        <f ca="1">IF($D59="","",SUMIF('TALLY BOX DUMP'!$1:$1,'ACH CALC'!AV$2,'TALLY BOX DUMP'!58:58))</f>
        <v>0</v>
      </c>
      <c r="AW59" s="21">
        <f ca="1">IF($D59="","",SUMIF('TALLY BOX DUMP'!$1:$1,'ACH CALC'!AW$2,'TALLY BOX DUMP'!58:58))</f>
        <v>0</v>
      </c>
      <c r="AX59" s="21">
        <f ca="1">IF($D59="","",SUMIF('TALLY BOX DUMP'!$1:$1,'ACH CALC'!AX$2,'TALLY BOX DUMP'!58:58))</f>
        <v>0</v>
      </c>
      <c r="AY59" s="21">
        <f ca="1">IF($D59="","",SUMIF('TALLY BOX DUMP'!$1:$1,'ACH CALC'!AY$2,'TALLY BOX DUMP'!58:58))</f>
        <v>0</v>
      </c>
      <c r="AZ59" s="21">
        <f ca="1">IF($D59="","",SUMIF('TALLY BOX DUMP'!$1:$1,'ACH CALC'!AZ$2,'TALLY BOX DUMP'!58:58))</f>
        <v>0</v>
      </c>
      <c r="BA59" s="69">
        <f>(SUMIF('TALLY KG DUMP'!$2:$2,"Qty",'TALLY KG DUMP'!58:58)/1000)-(SUMIF('TALLY KG DUMP'!$1:$1,"GL",'TALLY KG DUMP'!58:58)/1000)</f>
        <v>0</v>
      </c>
      <c r="BB59" s="21" t="b">
        <f t="shared" ca="1" si="2"/>
        <v>1</v>
      </c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</row>
    <row r="60" spans="2:75" x14ac:dyDescent="0.25">
      <c r="B60" s="21" t="str">
        <f ca="1"/>
        <v>57</v>
      </c>
      <c r="C60" s="21" t="str">
        <f ca="1"/>
        <v>SUN06747</v>
      </c>
      <c r="D60" s="21" t="str">
        <f ca="1"/>
        <v>ERODE-AATHAVA AGENCE</v>
      </c>
      <c r="E60" s="21">
        <f ca="1">IF($D60="","",(SUMIF('TALLY KG DUMP'!$2:$2,"Qty",'TALLY KG DUMP'!59:59)/1000)-(SUMIF('TALLY KG DUMP'!$1:$1,"GL",'TALLY KG DUMP'!59:59)/1000))</f>
        <v>5.8479999999999999</v>
      </c>
      <c r="F60" s="21">
        <f ca="1">IF($D60="","",(SUMIF('TALLY KG DUMP'!$1:$1,'ACH CALC'!F$2,'TALLY KG DUMP'!59:59)/1000))</f>
        <v>0</v>
      </c>
      <c r="G60" s="21">
        <f ca="1">IF($D60="","",SUMIF('TALLY BOX DUMP'!$1:$1,'ACH CALC'!G$2,'TALLY BOX DUMP'!59:59)+Y60)</f>
        <v>0</v>
      </c>
      <c r="H60" s="21">
        <f t="shared" ca="1" si="0"/>
        <v>0</v>
      </c>
      <c r="I60" s="21">
        <f ca="1">IF($D60="","",SUMIF('TALLY BOX DUMP'!$1:$1,'ACH CALC'!I$2,'TALLY BOX DUMP'!59:59)+AA60)</f>
        <v>0</v>
      </c>
      <c r="J60" s="21">
        <f ca="1">IF($D60="","",SUMIF('TALLY BOX DUMP'!$1:$1,'ACH CALC'!J$2,'TALLY BOX DUMP'!59:59)+AB60)</f>
        <v>0</v>
      </c>
      <c r="K60" s="21">
        <f ca="1">IF($D60="","",SUMIF('TALLY BOX DUMP'!$1:$1,'ACH CALC'!K$2,'TALLY BOX DUMP'!59:59)+AC60)</f>
        <v>0</v>
      </c>
      <c r="L60" s="21">
        <f ca="1">IF($D60="","",SUMIF('TALLY BOX DUMP'!$1:$1,'ACH CALC'!L$2,'TALLY BOX DUMP'!59:59))</f>
        <v>0</v>
      </c>
      <c r="M60" s="21">
        <f ca="1">IF($D60="","",SUMIF('TALLY BOX DUMP'!$1:$1,'ACH CALC'!M$2,'TALLY BOX DUMP'!59:59)+AD60)</f>
        <v>0</v>
      </c>
      <c r="N60" s="21">
        <f ca="1">IF($D60="","",SUMIF('TALLY BOX DUMP'!$1:$1,'ACH CALC'!N$2,'TALLY BOX DUMP'!59:59))</f>
        <v>0</v>
      </c>
      <c r="O60" s="21">
        <f ca="1">IF($D60="","",SUMIF('TALLY BOX DUMP'!$1:$1,'ACH CALC'!O$2,'TALLY BOX DUMP'!59:59))</f>
        <v>0</v>
      </c>
      <c r="P60" s="21">
        <f ca="1">IF($D60="","",SUMIF('TALLY BOX DUMP'!$1:$1,'ACH CALC'!P$2,'TALLY BOX DUMP'!59:59))</f>
        <v>0</v>
      </c>
      <c r="Q60" s="21">
        <f t="shared" ca="1" si="1"/>
        <v>0</v>
      </c>
      <c r="R60" s="21">
        <f ca="1">IF($D60="","",SUMIF('TALLY BOX DUMP'!$1:$1,'ACH CALC'!R$2,'TALLY BOX DUMP'!59:59))</f>
        <v>0</v>
      </c>
      <c r="S60" s="21">
        <f ca="1">IF($D60="","",SUMIF('TALLY BOX DUMP'!$1:$1,'ACH CALC'!S$2,'TALLY BOX DUMP'!59:59))</f>
        <v>0</v>
      </c>
      <c r="T60" s="21">
        <f ca="1">IF($D60="","",SUMIF('TALLY BOX DUMP'!$1:$1,'ACH CALC'!T$2,'TALLY BOX DUMP'!59:59))</f>
        <v>0</v>
      </c>
      <c r="U60" s="21">
        <f ca="1">IF($D60="","",SUMIF('TALLY BOX DUMP'!$1:$1,'ACH CALC'!U$2,'TALLY BOX DUMP'!59:59))</f>
        <v>0</v>
      </c>
      <c r="V60" s="21">
        <f ca="1">IF($D60="","",SUMIF('TALLY BOX DUMP'!$1:$1,'ACH CALC'!V$2,'TALLY BOX DUMP'!59:59))</f>
        <v>0</v>
      </c>
      <c r="W60" s="21">
        <f ca="1">IF($D60="","",SUMIF('TALLY BOX DUMP'!$1:$1,'ACH CALC'!W$2,'TALLY BOX DUMP'!59:59))</f>
        <v>0</v>
      </c>
      <c r="X60" s="21">
        <f ca="1">IF($D60="","",SUMIF('TALLY BOX DUMP'!$1:$1,'ACH CALC'!X$2,'TALLY BOX DUMP'!59:59))</f>
        <v>0</v>
      </c>
      <c r="Y60" s="21">
        <f ca="1">IF($D60="","",SUMIF('TALLY BOX DUMP'!$1:$1,'ACH CALC'!Y$2,'TALLY BOX DUMP'!59:59))</f>
        <v>0</v>
      </c>
      <c r="Z60" s="21">
        <f ca="1">IF($D60="","",SUMIF('TALLY BOX DUMP'!$1:$1,'ACH CALC'!Z$2,'TALLY BOX DUMP'!59:59)+AE60)</f>
        <v>0</v>
      </c>
      <c r="AA60" s="21">
        <f ca="1">IF($D60="","",SUMIF('TALLY BOX DUMP'!$1:$1,'ACH CALC'!AA$2,'TALLY BOX DUMP'!59:59))</f>
        <v>0</v>
      </c>
      <c r="AB60" s="21">
        <f ca="1">IF($D60="","",SUMIF('TALLY BOX DUMP'!$1:$1,'ACH CALC'!AB$2,'TALLY BOX DUMP'!59:59))</f>
        <v>0</v>
      </c>
      <c r="AC60" s="21">
        <f ca="1">IF($D60="","",SUMIF('TALLY BOX DUMP'!$1:$1,'ACH CALC'!AC$2,'TALLY BOX DUMP'!59:59))</f>
        <v>0</v>
      </c>
      <c r="AD60" s="21">
        <f ca="1">IF($D60="","",SUMIF('TALLY BOX DUMP'!$1:$1,'ACH CALC'!AD$2,'TALLY BOX DUMP'!59:59))</f>
        <v>0</v>
      </c>
      <c r="AE60" s="21">
        <f ca="1">IF($D60="","",SUMIF('TALLY BOX DUMP'!$1:$1,'ACH CALC'!AE$2,'TALLY BOX DUMP'!59:59))</f>
        <v>0</v>
      </c>
      <c r="AF60" s="21">
        <f ca="1">IF($D60="","",SUMIF('TALLY BOX DUMP'!$1:$1,'ACH CALC'!AF$2,'TALLY BOX DUMP'!59:59))</f>
        <v>0</v>
      </c>
      <c r="AG60" s="21">
        <f ca="1">IF($D60="","",SUMIF('TALLY BOX DUMP'!$1:$1,'ACH CALC'!AG$2,'TALLY BOX DUMP'!59:59))</f>
        <v>0</v>
      </c>
      <c r="AH60" s="21">
        <f ca="1">IF($D60="","",SUMIF('TALLY BOX DUMP'!$1:$1,'ACH CALC'!AH$2,'TALLY BOX DUMP'!59:59))</f>
        <v>0</v>
      </c>
      <c r="AI60" s="21">
        <f ca="1">IF($D60="","",SUMIF('TALLY BOX DUMP'!$1:$1,'ACH CALC'!AI$2,'TALLY BOX DUMP'!59:59))</f>
        <v>0</v>
      </c>
      <c r="AJ60" s="21">
        <f ca="1">IF($D60="","",SUMIF('TALLY BOX DUMP'!$1:$1,'ACH CALC'!AJ$2,'TALLY BOX DUMP'!59:59))</f>
        <v>0</v>
      </c>
      <c r="AK60" s="21">
        <f ca="1">IF($D60="","",SUMIF('TALLY BOX DUMP'!$1:$1,'ACH CALC'!AK$2,'TALLY BOX DUMP'!59:59))</f>
        <v>0</v>
      </c>
      <c r="AL60" s="21">
        <f ca="1">IF($D60="","",ROUND(SUMIF('TALLY KG DUMP'!$1:$1,'ACH CALC'!AL$2,'TALLY KG DUMP'!59:59)/30,1))</f>
        <v>0</v>
      </c>
      <c r="AM60" s="21">
        <f ca="1">IF($D60="","",SUMIF('TALLY BOX DUMP'!$1:$1,'ACH CALC'!AM$2,'TALLY BOX DUMP'!59:59))</f>
        <v>37</v>
      </c>
      <c r="AN60" s="21">
        <f ca="1">IF($D60="","",SUMIF('TALLY BOX DUMP'!$1:$1,'ACH CALC'!AN$2,'TALLY BOX DUMP'!59:59))</f>
        <v>0</v>
      </c>
      <c r="AO60" s="21">
        <f ca="1">IF($D60="","",SUMIF('TALLY BOX DUMP'!$1:$1,'ACH CALC'!AO$2,'TALLY BOX DUMP'!59:59))</f>
        <v>2</v>
      </c>
      <c r="AP60" s="21">
        <f ca="1">IF($D60="","",SUMIF('TALLY BOX DUMP'!$1:$1,'ACH CALC'!AP$2,'TALLY BOX DUMP'!59:59))</f>
        <v>0</v>
      </c>
      <c r="AQ60" s="21">
        <f ca="1">IF($D60="","",ROUND(SUMIF('TALLY KG DUMP'!$1:$1,'ACH CALC'!AQ$2,'TALLY KG DUMP'!59:59)/30,1))</f>
        <v>0</v>
      </c>
      <c r="AR60" s="21">
        <f ca="1">IF($D60="","",SUMIF('TALLY BOX DUMP'!$1:$1,'ACH CALC'!AR$2,'TALLY BOX DUMP'!59:59))</f>
        <v>0</v>
      </c>
      <c r="AS60" s="21">
        <f ca="1">IF($D60="","",SUMIF('TALLY BOX DUMP'!$1:$1,'ACH CALC'!AS$2,'TALLY BOX DUMP'!59:59))</f>
        <v>0</v>
      </c>
      <c r="AT60" s="21">
        <f ca="1">IF($D60="","",SUMIF('TALLY BOX DUMP'!$1:$1,'ACH CALC'!AT$2,'TALLY BOX DUMP'!59:59))</f>
        <v>0</v>
      </c>
      <c r="AU60" s="21">
        <f ca="1">IF($D60="","",SUMIF('TALLY BOX DUMP'!$1:$1,'ACH CALC'!AU$2,'TALLY BOX DUMP'!59:59))</f>
        <v>0</v>
      </c>
      <c r="AV60" s="21">
        <f ca="1">IF($D60="","",SUMIF('TALLY BOX DUMP'!$1:$1,'ACH CALC'!AV$2,'TALLY BOX DUMP'!59:59))</f>
        <v>0</v>
      </c>
      <c r="AW60" s="21">
        <f ca="1">IF($D60="","",SUMIF('TALLY BOX DUMP'!$1:$1,'ACH CALC'!AW$2,'TALLY BOX DUMP'!59:59))</f>
        <v>0</v>
      </c>
      <c r="AX60" s="21">
        <f ca="1">IF($D60="","",SUMIF('TALLY BOX DUMP'!$1:$1,'ACH CALC'!AX$2,'TALLY BOX DUMP'!59:59))</f>
        <v>0</v>
      </c>
      <c r="AY60" s="21">
        <f ca="1">IF($D60="","",SUMIF('TALLY BOX DUMP'!$1:$1,'ACH CALC'!AY$2,'TALLY BOX DUMP'!59:59))</f>
        <v>0</v>
      </c>
      <c r="AZ60" s="21">
        <f ca="1">IF($D60="","",SUMIF('TALLY BOX DUMP'!$1:$1,'ACH CALC'!AZ$2,'TALLY BOX DUMP'!59:59))</f>
        <v>0</v>
      </c>
      <c r="BA60" s="69">
        <f>(SUMIF('TALLY KG DUMP'!$2:$2,"Qty",'TALLY KG DUMP'!59:59)/1000)-(SUMIF('TALLY KG DUMP'!$1:$1,"GL",'TALLY KG DUMP'!59:59)/1000)</f>
        <v>5.8479999999999999</v>
      </c>
      <c r="BB60" s="21" t="b">
        <f t="shared" ca="1" si="2"/>
        <v>1</v>
      </c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</row>
    <row r="61" spans="2:75" x14ac:dyDescent="0.25">
      <c r="B61" s="21" t="str">
        <f ca="1"/>
        <v>58</v>
      </c>
      <c r="C61" s="21" t="str">
        <f ca="1"/>
        <v>SUN04510</v>
      </c>
      <c r="D61" s="21" t="str">
        <f ca="1"/>
        <v>TCY R.VASU OIL TRADERS  (EDA STREET)</v>
      </c>
      <c r="E61" s="21">
        <f ca="1">IF($D61="","",(SUMIF('TALLY KG DUMP'!$2:$2,"Qty",'TALLY KG DUMP'!60:60)/1000)-(SUMIF('TALLY KG DUMP'!$1:$1,"GL",'TALLY KG DUMP'!60:60)/1000))</f>
        <v>11.492000000000001</v>
      </c>
      <c r="F61" s="21">
        <f ca="1">IF($D61="","",(SUMIF('TALLY KG DUMP'!$1:$1,'ACH CALC'!F$2,'TALLY KG DUMP'!60:60)/1000))</f>
        <v>0</v>
      </c>
      <c r="G61" s="21">
        <f ca="1">IF($D61="","",SUMIF('TALLY BOX DUMP'!$1:$1,'ACH CALC'!G$2,'TALLY BOX DUMP'!60:60)+Y61)</f>
        <v>0</v>
      </c>
      <c r="H61" s="21">
        <f t="shared" ca="1" si="0"/>
        <v>0</v>
      </c>
      <c r="I61" s="21">
        <f ca="1">IF($D61="","",SUMIF('TALLY BOX DUMP'!$1:$1,'ACH CALC'!I$2,'TALLY BOX DUMP'!60:60)+AA61)</f>
        <v>0</v>
      </c>
      <c r="J61" s="21">
        <f ca="1">IF($D61="","",SUMIF('TALLY BOX DUMP'!$1:$1,'ACH CALC'!J$2,'TALLY BOX DUMP'!60:60)+AB61)</f>
        <v>0</v>
      </c>
      <c r="K61" s="21">
        <f ca="1">IF($D61="","",SUMIF('TALLY BOX DUMP'!$1:$1,'ACH CALC'!K$2,'TALLY BOX DUMP'!60:60)+AC61)</f>
        <v>0</v>
      </c>
      <c r="L61" s="21">
        <f ca="1">IF($D61="","",SUMIF('TALLY BOX DUMP'!$1:$1,'ACH CALC'!L$2,'TALLY BOX DUMP'!60:60))</f>
        <v>0</v>
      </c>
      <c r="M61" s="21">
        <f ca="1">IF($D61="","",SUMIF('TALLY BOX DUMP'!$1:$1,'ACH CALC'!M$2,'TALLY BOX DUMP'!60:60)+AD61)</f>
        <v>0</v>
      </c>
      <c r="N61" s="21">
        <f ca="1">IF($D61="","",SUMIF('TALLY BOX DUMP'!$1:$1,'ACH CALC'!N$2,'TALLY BOX DUMP'!60:60))</f>
        <v>0</v>
      </c>
      <c r="O61" s="21">
        <f ca="1">IF($D61="","",SUMIF('TALLY BOX DUMP'!$1:$1,'ACH CALC'!O$2,'TALLY BOX DUMP'!60:60))</f>
        <v>0</v>
      </c>
      <c r="P61" s="21">
        <f ca="1">IF($D61="","",SUMIF('TALLY BOX DUMP'!$1:$1,'ACH CALC'!P$2,'TALLY BOX DUMP'!60:60))</f>
        <v>0</v>
      </c>
      <c r="Q61" s="21">
        <f t="shared" ca="1" si="1"/>
        <v>0</v>
      </c>
      <c r="R61" s="21">
        <f ca="1">IF($D61="","",SUMIF('TALLY BOX DUMP'!$1:$1,'ACH CALC'!R$2,'TALLY BOX DUMP'!60:60))</f>
        <v>0</v>
      </c>
      <c r="S61" s="21">
        <f ca="1">IF($D61="","",SUMIF('TALLY BOX DUMP'!$1:$1,'ACH CALC'!S$2,'TALLY BOX DUMP'!60:60))</f>
        <v>0</v>
      </c>
      <c r="T61" s="21">
        <f ca="1">IF($D61="","",SUMIF('TALLY BOX DUMP'!$1:$1,'ACH CALC'!T$2,'TALLY BOX DUMP'!60:60))</f>
        <v>0</v>
      </c>
      <c r="U61" s="21">
        <f ca="1">IF($D61="","",SUMIF('TALLY BOX DUMP'!$1:$1,'ACH CALC'!U$2,'TALLY BOX DUMP'!60:60))</f>
        <v>0</v>
      </c>
      <c r="V61" s="21">
        <f ca="1">IF($D61="","",SUMIF('TALLY BOX DUMP'!$1:$1,'ACH CALC'!V$2,'TALLY BOX DUMP'!60:60))</f>
        <v>0</v>
      </c>
      <c r="W61" s="21">
        <f ca="1">IF($D61="","",SUMIF('TALLY BOX DUMP'!$1:$1,'ACH CALC'!W$2,'TALLY BOX DUMP'!60:60))</f>
        <v>0</v>
      </c>
      <c r="X61" s="21">
        <f ca="1">IF($D61="","",SUMIF('TALLY BOX DUMP'!$1:$1,'ACH CALC'!X$2,'TALLY BOX DUMP'!60:60))</f>
        <v>0</v>
      </c>
      <c r="Y61" s="21">
        <f ca="1">IF($D61="","",SUMIF('TALLY BOX DUMP'!$1:$1,'ACH CALC'!Y$2,'TALLY BOX DUMP'!60:60))</f>
        <v>0</v>
      </c>
      <c r="Z61" s="21">
        <f ca="1">IF($D61="","",SUMIF('TALLY BOX DUMP'!$1:$1,'ACH CALC'!Z$2,'TALLY BOX DUMP'!60:60)+AE61)</f>
        <v>0</v>
      </c>
      <c r="AA61" s="21">
        <f ca="1">IF($D61="","",SUMIF('TALLY BOX DUMP'!$1:$1,'ACH CALC'!AA$2,'TALLY BOX DUMP'!60:60))</f>
        <v>0</v>
      </c>
      <c r="AB61" s="21">
        <f ca="1">IF($D61="","",SUMIF('TALLY BOX DUMP'!$1:$1,'ACH CALC'!AB$2,'TALLY BOX DUMP'!60:60))</f>
        <v>0</v>
      </c>
      <c r="AC61" s="21">
        <f ca="1">IF($D61="","",SUMIF('TALLY BOX DUMP'!$1:$1,'ACH CALC'!AC$2,'TALLY BOX DUMP'!60:60))</f>
        <v>0</v>
      </c>
      <c r="AD61" s="21">
        <f ca="1">IF($D61="","",SUMIF('TALLY BOX DUMP'!$1:$1,'ACH CALC'!AD$2,'TALLY BOX DUMP'!60:60))</f>
        <v>0</v>
      </c>
      <c r="AE61" s="21">
        <f ca="1">IF($D61="","",SUMIF('TALLY BOX DUMP'!$1:$1,'ACH CALC'!AE$2,'TALLY BOX DUMP'!60:60))</f>
        <v>0</v>
      </c>
      <c r="AF61" s="21">
        <f ca="1">IF($D61="","",SUMIF('TALLY BOX DUMP'!$1:$1,'ACH CALC'!AF$2,'TALLY BOX DUMP'!60:60))</f>
        <v>0</v>
      </c>
      <c r="AG61" s="21">
        <f ca="1">IF($D61="","",SUMIF('TALLY BOX DUMP'!$1:$1,'ACH CALC'!AG$2,'TALLY BOX DUMP'!60:60))</f>
        <v>0</v>
      </c>
      <c r="AH61" s="21">
        <f ca="1">IF($D61="","",SUMIF('TALLY BOX DUMP'!$1:$1,'ACH CALC'!AH$2,'TALLY BOX DUMP'!60:60))</f>
        <v>0</v>
      </c>
      <c r="AI61" s="21">
        <f ca="1">IF($D61="","",SUMIF('TALLY BOX DUMP'!$1:$1,'ACH CALC'!AI$2,'TALLY BOX DUMP'!60:60))</f>
        <v>0</v>
      </c>
      <c r="AJ61" s="21">
        <f ca="1">IF($D61="","",SUMIF('TALLY BOX DUMP'!$1:$1,'ACH CALC'!AJ$2,'TALLY BOX DUMP'!60:60))</f>
        <v>0</v>
      </c>
      <c r="AK61" s="21">
        <f ca="1">IF($D61="","",SUMIF('TALLY BOX DUMP'!$1:$1,'ACH CALC'!AK$2,'TALLY BOX DUMP'!60:60))</f>
        <v>0</v>
      </c>
      <c r="AL61" s="21">
        <f ca="1">IF($D61="","",ROUND(SUMIF('TALLY KG DUMP'!$1:$1,'ACH CALC'!AL$2,'TALLY KG DUMP'!60:60)/30,1))</f>
        <v>0</v>
      </c>
      <c r="AM61" s="21">
        <f ca="1">IF($D61="","",SUMIF('TALLY BOX DUMP'!$1:$1,'ACH CALC'!AM$2,'TALLY BOX DUMP'!60:60))</f>
        <v>0</v>
      </c>
      <c r="AN61" s="21">
        <f ca="1">IF($D61="","",SUMIF('TALLY BOX DUMP'!$1:$1,'ACH CALC'!AN$2,'TALLY BOX DUMP'!60:60))</f>
        <v>0</v>
      </c>
      <c r="AO61" s="21">
        <f ca="1">IF($D61="","",SUMIF('TALLY BOX DUMP'!$1:$1,'ACH CALC'!AO$2,'TALLY BOX DUMP'!60:60))</f>
        <v>0</v>
      </c>
      <c r="AP61" s="21">
        <f ca="1">IF($D61="","",SUMIF('TALLY BOX DUMP'!$1:$1,'ACH CALC'!AP$2,'TALLY BOX DUMP'!60:60))</f>
        <v>0</v>
      </c>
      <c r="AQ61" s="21">
        <f ca="1">IF($D61="","",ROUND(SUMIF('TALLY KG DUMP'!$1:$1,'ACH CALC'!AQ$2,'TALLY KG DUMP'!60:60)/30,1))</f>
        <v>0</v>
      </c>
      <c r="AR61" s="21">
        <f ca="1">IF($D61="","",SUMIF('TALLY BOX DUMP'!$1:$1,'ACH CALC'!AR$2,'TALLY BOX DUMP'!60:60))</f>
        <v>0</v>
      </c>
      <c r="AS61" s="21">
        <f ca="1">IF($D61="","",SUMIF('TALLY BOX DUMP'!$1:$1,'ACH CALC'!AS$2,'TALLY BOX DUMP'!60:60))</f>
        <v>0</v>
      </c>
      <c r="AT61" s="21">
        <f ca="1">IF($D61="","",SUMIF('TALLY BOX DUMP'!$1:$1,'ACH CALC'!AT$2,'TALLY BOX DUMP'!60:60))</f>
        <v>0</v>
      </c>
      <c r="AU61" s="21">
        <f ca="1">IF($D61="","",SUMIF('TALLY BOX DUMP'!$1:$1,'ACH CALC'!AU$2,'TALLY BOX DUMP'!60:60))</f>
        <v>0</v>
      </c>
      <c r="AV61" s="21">
        <f ca="1">IF($D61="","",SUMIF('TALLY BOX DUMP'!$1:$1,'ACH CALC'!AV$2,'TALLY BOX DUMP'!60:60))</f>
        <v>0</v>
      </c>
      <c r="AW61" s="21">
        <f ca="1">IF($D61="","",SUMIF('TALLY BOX DUMP'!$1:$1,'ACH CALC'!AW$2,'TALLY BOX DUMP'!60:60))</f>
        <v>0</v>
      </c>
      <c r="AX61" s="21">
        <f ca="1">IF($D61="","",SUMIF('TALLY BOX DUMP'!$1:$1,'ACH CALC'!AX$2,'TALLY BOX DUMP'!60:60))</f>
        <v>0</v>
      </c>
      <c r="AY61" s="21">
        <f ca="1">IF($D61="","",SUMIF('TALLY BOX DUMP'!$1:$1,'ACH CALC'!AY$2,'TALLY BOX DUMP'!60:60))</f>
        <v>0</v>
      </c>
      <c r="AZ61" s="21">
        <f ca="1">IF($D61="","",SUMIF('TALLY BOX DUMP'!$1:$1,'ACH CALC'!AZ$2,'TALLY BOX DUMP'!60:60))</f>
        <v>0</v>
      </c>
      <c r="BA61" s="69">
        <f>(SUMIF('TALLY KG DUMP'!$2:$2,"Qty",'TALLY KG DUMP'!60:60)/1000)-(SUMIF('TALLY KG DUMP'!$1:$1,"GL",'TALLY KG DUMP'!60:60)/1000)</f>
        <v>11.492000000000001</v>
      </c>
      <c r="BB61" s="21" t="b">
        <f t="shared" ca="1" si="2"/>
        <v>1</v>
      </c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</row>
    <row r="62" spans="2:75" x14ac:dyDescent="0.25">
      <c r="B62" s="21" t="str">
        <f ca="1"/>
        <v>59</v>
      </c>
      <c r="C62" s="21" t="str">
        <f ca="1"/>
        <v>SUN07618</v>
      </c>
      <c r="D62" s="21" t="str">
        <f ca="1"/>
        <v>MUTHUR-SENTHUR VELAN TRADERS</v>
      </c>
      <c r="E62" s="21">
        <f ca="1">IF($D62="","",(SUMIF('TALLY KG DUMP'!$2:$2,"Qty",'TALLY KG DUMP'!61:61)/1000)-(SUMIF('TALLY KG DUMP'!$1:$1,"GL",'TALLY KG DUMP'!61:61)/1000))</f>
        <v>0</v>
      </c>
      <c r="F62" s="21">
        <f ca="1">IF($D62="","",(SUMIF('TALLY KG DUMP'!$1:$1,'ACH CALC'!F$2,'TALLY KG DUMP'!61:61)/1000))</f>
        <v>0</v>
      </c>
      <c r="G62" s="21">
        <f ca="1">IF($D62="","",SUMIF('TALLY BOX DUMP'!$1:$1,'ACH CALC'!G$2,'TALLY BOX DUMP'!61:61)+Y62)</f>
        <v>0</v>
      </c>
      <c r="H62" s="21">
        <f t="shared" ca="1" si="0"/>
        <v>0</v>
      </c>
      <c r="I62" s="21">
        <f ca="1">IF($D62="","",SUMIF('TALLY BOX DUMP'!$1:$1,'ACH CALC'!I$2,'TALLY BOX DUMP'!61:61)+AA62)</f>
        <v>0</v>
      </c>
      <c r="J62" s="21">
        <f ca="1">IF($D62="","",SUMIF('TALLY BOX DUMP'!$1:$1,'ACH CALC'!J$2,'TALLY BOX DUMP'!61:61)+AB62)</f>
        <v>0</v>
      </c>
      <c r="K62" s="21">
        <f ca="1">IF($D62="","",SUMIF('TALLY BOX DUMP'!$1:$1,'ACH CALC'!K$2,'TALLY BOX DUMP'!61:61)+AC62)</f>
        <v>0</v>
      </c>
      <c r="L62" s="21">
        <f ca="1">IF($D62="","",SUMIF('TALLY BOX DUMP'!$1:$1,'ACH CALC'!L$2,'TALLY BOX DUMP'!61:61))</f>
        <v>0</v>
      </c>
      <c r="M62" s="21">
        <f ca="1">IF($D62="","",SUMIF('TALLY BOX DUMP'!$1:$1,'ACH CALC'!M$2,'TALLY BOX DUMP'!61:61)+AD62)</f>
        <v>0</v>
      </c>
      <c r="N62" s="21">
        <f ca="1">IF($D62="","",SUMIF('TALLY BOX DUMP'!$1:$1,'ACH CALC'!N$2,'TALLY BOX DUMP'!61:61))</f>
        <v>0</v>
      </c>
      <c r="O62" s="21">
        <f ca="1">IF($D62="","",SUMIF('TALLY BOX DUMP'!$1:$1,'ACH CALC'!O$2,'TALLY BOX DUMP'!61:61))</f>
        <v>0</v>
      </c>
      <c r="P62" s="21">
        <f ca="1">IF($D62="","",SUMIF('TALLY BOX DUMP'!$1:$1,'ACH CALC'!P$2,'TALLY BOX DUMP'!61:61))</f>
        <v>0</v>
      </c>
      <c r="Q62" s="21">
        <f t="shared" ca="1" si="1"/>
        <v>0</v>
      </c>
      <c r="R62" s="21">
        <f ca="1">IF($D62="","",SUMIF('TALLY BOX DUMP'!$1:$1,'ACH CALC'!R$2,'TALLY BOX DUMP'!61:61))</f>
        <v>0</v>
      </c>
      <c r="S62" s="21">
        <f ca="1">IF($D62="","",SUMIF('TALLY BOX DUMP'!$1:$1,'ACH CALC'!S$2,'TALLY BOX DUMP'!61:61))</f>
        <v>0</v>
      </c>
      <c r="T62" s="21">
        <f ca="1">IF($D62="","",SUMIF('TALLY BOX DUMP'!$1:$1,'ACH CALC'!T$2,'TALLY BOX DUMP'!61:61))</f>
        <v>0</v>
      </c>
      <c r="U62" s="21">
        <f ca="1">IF($D62="","",SUMIF('TALLY BOX DUMP'!$1:$1,'ACH CALC'!U$2,'TALLY BOX DUMP'!61:61))</f>
        <v>0</v>
      </c>
      <c r="V62" s="21">
        <f ca="1">IF($D62="","",SUMIF('TALLY BOX DUMP'!$1:$1,'ACH CALC'!V$2,'TALLY BOX DUMP'!61:61))</f>
        <v>0</v>
      </c>
      <c r="W62" s="21">
        <f ca="1">IF($D62="","",SUMIF('TALLY BOX DUMP'!$1:$1,'ACH CALC'!W$2,'TALLY BOX DUMP'!61:61))</f>
        <v>0</v>
      </c>
      <c r="X62" s="21">
        <f ca="1">IF($D62="","",SUMIF('TALLY BOX DUMP'!$1:$1,'ACH CALC'!X$2,'TALLY BOX DUMP'!61:61))</f>
        <v>0</v>
      </c>
      <c r="Y62" s="21">
        <f ca="1">IF($D62="","",SUMIF('TALLY BOX DUMP'!$1:$1,'ACH CALC'!Y$2,'TALLY BOX DUMP'!61:61))</f>
        <v>0</v>
      </c>
      <c r="Z62" s="21">
        <f ca="1">IF($D62="","",SUMIF('TALLY BOX DUMP'!$1:$1,'ACH CALC'!Z$2,'TALLY BOX DUMP'!61:61)+AE62)</f>
        <v>0</v>
      </c>
      <c r="AA62" s="21">
        <f ca="1">IF($D62="","",SUMIF('TALLY BOX DUMP'!$1:$1,'ACH CALC'!AA$2,'TALLY BOX DUMP'!61:61))</f>
        <v>0</v>
      </c>
      <c r="AB62" s="21">
        <f ca="1">IF($D62="","",SUMIF('TALLY BOX DUMP'!$1:$1,'ACH CALC'!AB$2,'TALLY BOX DUMP'!61:61))</f>
        <v>0</v>
      </c>
      <c r="AC62" s="21">
        <f ca="1">IF($D62="","",SUMIF('TALLY BOX DUMP'!$1:$1,'ACH CALC'!AC$2,'TALLY BOX DUMP'!61:61))</f>
        <v>0</v>
      </c>
      <c r="AD62" s="21">
        <f ca="1">IF($D62="","",SUMIF('TALLY BOX DUMP'!$1:$1,'ACH CALC'!AD$2,'TALLY BOX DUMP'!61:61))</f>
        <v>0</v>
      </c>
      <c r="AE62" s="21">
        <f ca="1">IF($D62="","",SUMIF('TALLY BOX DUMP'!$1:$1,'ACH CALC'!AE$2,'TALLY BOX DUMP'!61:61))</f>
        <v>0</v>
      </c>
      <c r="AF62" s="21">
        <f ca="1">IF($D62="","",SUMIF('TALLY BOX DUMP'!$1:$1,'ACH CALC'!AF$2,'TALLY BOX DUMP'!61:61))</f>
        <v>0</v>
      </c>
      <c r="AG62" s="21">
        <f ca="1">IF($D62="","",SUMIF('TALLY BOX DUMP'!$1:$1,'ACH CALC'!AG$2,'TALLY BOX DUMP'!61:61))</f>
        <v>0</v>
      </c>
      <c r="AH62" s="21">
        <f ca="1">IF($D62="","",SUMIF('TALLY BOX DUMP'!$1:$1,'ACH CALC'!AH$2,'TALLY BOX DUMP'!61:61))</f>
        <v>0</v>
      </c>
      <c r="AI62" s="21">
        <f ca="1">IF($D62="","",SUMIF('TALLY BOX DUMP'!$1:$1,'ACH CALC'!AI$2,'TALLY BOX DUMP'!61:61))</f>
        <v>0</v>
      </c>
      <c r="AJ62" s="21">
        <f ca="1">IF($D62="","",SUMIF('TALLY BOX DUMP'!$1:$1,'ACH CALC'!AJ$2,'TALLY BOX DUMP'!61:61))</f>
        <v>0</v>
      </c>
      <c r="AK62" s="21">
        <f ca="1">IF($D62="","",SUMIF('TALLY BOX DUMP'!$1:$1,'ACH CALC'!AK$2,'TALLY BOX DUMP'!61:61))</f>
        <v>0</v>
      </c>
      <c r="AL62" s="21">
        <f ca="1">IF($D62="","",ROUND(SUMIF('TALLY KG DUMP'!$1:$1,'ACH CALC'!AL$2,'TALLY KG DUMP'!61:61)/30,1))</f>
        <v>0</v>
      </c>
      <c r="AM62" s="21">
        <f ca="1">IF($D62="","",SUMIF('TALLY BOX DUMP'!$1:$1,'ACH CALC'!AM$2,'TALLY BOX DUMP'!61:61))</f>
        <v>0</v>
      </c>
      <c r="AN62" s="21">
        <f ca="1">IF($D62="","",SUMIF('TALLY BOX DUMP'!$1:$1,'ACH CALC'!AN$2,'TALLY BOX DUMP'!61:61))</f>
        <v>0</v>
      </c>
      <c r="AO62" s="21">
        <f ca="1">IF($D62="","",SUMIF('TALLY BOX DUMP'!$1:$1,'ACH CALC'!AO$2,'TALLY BOX DUMP'!61:61))</f>
        <v>0</v>
      </c>
      <c r="AP62" s="21">
        <f ca="1">IF($D62="","",SUMIF('TALLY BOX DUMP'!$1:$1,'ACH CALC'!AP$2,'TALLY BOX DUMP'!61:61))</f>
        <v>0</v>
      </c>
      <c r="AQ62" s="21">
        <f ca="1">IF($D62="","",ROUND(SUMIF('TALLY KG DUMP'!$1:$1,'ACH CALC'!AQ$2,'TALLY KG DUMP'!61:61)/30,1))</f>
        <v>0</v>
      </c>
      <c r="AR62" s="21">
        <f ca="1">IF($D62="","",SUMIF('TALLY BOX DUMP'!$1:$1,'ACH CALC'!AR$2,'TALLY BOX DUMP'!61:61))</f>
        <v>0</v>
      </c>
      <c r="AS62" s="21">
        <f ca="1">IF($D62="","",SUMIF('TALLY BOX DUMP'!$1:$1,'ACH CALC'!AS$2,'TALLY BOX DUMP'!61:61))</f>
        <v>0</v>
      </c>
      <c r="AT62" s="21">
        <f ca="1">IF($D62="","",SUMIF('TALLY BOX DUMP'!$1:$1,'ACH CALC'!AT$2,'TALLY BOX DUMP'!61:61))</f>
        <v>0</v>
      </c>
      <c r="AU62" s="21">
        <f ca="1">IF($D62="","",SUMIF('TALLY BOX DUMP'!$1:$1,'ACH CALC'!AU$2,'TALLY BOX DUMP'!61:61))</f>
        <v>0</v>
      </c>
      <c r="AV62" s="21">
        <f ca="1">IF($D62="","",SUMIF('TALLY BOX DUMP'!$1:$1,'ACH CALC'!AV$2,'TALLY BOX DUMP'!61:61))</f>
        <v>0</v>
      </c>
      <c r="AW62" s="21">
        <f ca="1">IF($D62="","",SUMIF('TALLY BOX DUMP'!$1:$1,'ACH CALC'!AW$2,'TALLY BOX DUMP'!61:61))</f>
        <v>0</v>
      </c>
      <c r="AX62" s="21">
        <f ca="1">IF($D62="","",SUMIF('TALLY BOX DUMP'!$1:$1,'ACH CALC'!AX$2,'TALLY BOX DUMP'!61:61))</f>
        <v>0</v>
      </c>
      <c r="AY62" s="21">
        <f ca="1">IF($D62="","",SUMIF('TALLY BOX DUMP'!$1:$1,'ACH CALC'!AY$2,'TALLY BOX DUMP'!61:61))</f>
        <v>0</v>
      </c>
      <c r="AZ62" s="21">
        <f ca="1">IF($D62="","",SUMIF('TALLY BOX DUMP'!$1:$1,'ACH CALC'!AZ$2,'TALLY BOX DUMP'!61:61))</f>
        <v>0</v>
      </c>
      <c r="BA62" s="69">
        <f>(SUMIF('TALLY KG DUMP'!$2:$2,"Qty",'TALLY KG DUMP'!61:61)/1000)-(SUMIF('TALLY KG DUMP'!$1:$1,"GL",'TALLY KG DUMP'!61:61)/1000)</f>
        <v>0</v>
      </c>
      <c r="BB62" s="21" t="b">
        <f t="shared" ca="1" si="2"/>
        <v>1</v>
      </c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</row>
    <row r="63" spans="2:75" x14ac:dyDescent="0.25">
      <c r="B63" s="21" t="str">
        <f ca="1"/>
        <v>60</v>
      </c>
      <c r="C63" s="21" t="str">
        <f ca="1"/>
        <v>SUN06304</v>
      </c>
      <c r="D63" s="21" t="str">
        <f ca="1"/>
        <v>MUTHUR-SRI MAAN MALIGAI</v>
      </c>
      <c r="E63" s="21">
        <f ca="1">IF($D63="","",(SUMIF('TALLY KG DUMP'!$2:$2,"Qty",'TALLY KG DUMP'!62:62)/1000)-(SUMIF('TALLY KG DUMP'!$1:$1,"GL",'TALLY KG DUMP'!62:62)/1000))</f>
        <v>0</v>
      </c>
      <c r="F63" s="21">
        <f ca="1">IF($D63="","",(SUMIF('TALLY KG DUMP'!$1:$1,'ACH CALC'!F$2,'TALLY KG DUMP'!62:62)/1000))</f>
        <v>0</v>
      </c>
      <c r="G63" s="21">
        <f ca="1">IF($D63="","",SUMIF('TALLY BOX DUMP'!$1:$1,'ACH CALC'!G$2,'TALLY BOX DUMP'!62:62)+Y63)</f>
        <v>0</v>
      </c>
      <c r="H63" s="21">
        <f t="shared" ca="1" si="0"/>
        <v>0</v>
      </c>
      <c r="I63" s="21">
        <f ca="1">IF($D63="","",SUMIF('TALLY BOX DUMP'!$1:$1,'ACH CALC'!I$2,'TALLY BOX DUMP'!62:62)+AA63)</f>
        <v>0</v>
      </c>
      <c r="J63" s="21">
        <f ca="1">IF($D63="","",SUMIF('TALLY BOX DUMP'!$1:$1,'ACH CALC'!J$2,'TALLY BOX DUMP'!62:62)+AB63)</f>
        <v>0</v>
      </c>
      <c r="K63" s="21">
        <f ca="1">IF($D63="","",SUMIF('TALLY BOX DUMP'!$1:$1,'ACH CALC'!K$2,'TALLY BOX DUMP'!62:62)+AC63)</f>
        <v>0</v>
      </c>
      <c r="L63" s="21">
        <f ca="1">IF($D63="","",SUMIF('TALLY BOX DUMP'!$1:$1,'ACH CALC'!L$2,'TALLY BOX DUMP'!62:62))</f>
        <v>0</v>
      </c>
      <c r="M63" s="21">
        <f ca="1">IF($D63="","",SUMIF('TALLY BOX DUMP'!$1:$1,'ACH CALC'!M$2,'TALLY BOX DUMP'!62:62)+AD63)</f>
        <v>0</v>
      </c>
      <c r="N63" s="21">
        <f ca="1">IF($D63="","",SUMIF('TALLY BOX DUMP'!$1:$1,'ACH CALC'!N$2,'TALLY BOX DUMP'!62:62))</f>
        <v>0</v>
      </c>
      <c r="O63" s="21">
        <f ca="1">IF($D63="","",SUMIF('TALLY BOX DUMP'!$1:$1,'ACH CALC'!O$2,'TALLY BOX DUMP'!62:62))</f>
        <v>0</v>
      </c>
      <c r="P63" s="21">
        <f ca="1">IF($D63="","",SUMIF('TALLY BOX DUMP'!$1:$1,'ACH CALC'!P$2,'TALLY BOX DUMP'!62:62))</f>
        <v>0</v>
      </c>
      <c r="Q63" s="21">
        <f t="shared" ca="1" si="1"/>
        <v>0</v>
      </c>
      <c r="R63" s="21">
        <f ca="1">IF($D63="","",SUMIF('TALLY BOX DUMP'!$1:$1,'ACH CALC'!R$2,'TALLY BOX DUMP'!62:62))</f>
        <v>0</v>
      </c>
      <c r="S63" s="21">
        <f ca="1">IF($D63="","",SUMIF('TALLY BOX DUMP'!$1:$1,'ACH CALC'!S$2,'TALLY BOX DUMP'!62:62))</f>
        <v>0</v>
      </c>
      <c r="T63" s="21">
        <f ca="1">IF($D63="","",SUMIF('TALLY BOX DUMP'!$1:$1,'ACH CALC'!T$2,'TALLY BOX DUMP'!62:62))</f>
        <v>0</v>
      </c>
      <c r="U63" s="21">
        <f ca="1">IF($D63="","",SUMIF('TALLY BOX DUMP'!$1:$1,'ACH CALC'!U$2,'TALLY BOX DUMP'!62:62))</f>
        <v>0</v>
      </c>
      <c r="V63" s="21">
        <f ca="1">IF($D63="","",SUMIF('TALLY BOX DUMP'!$1:$1,'ACH CALC'!V$2,'TALLY BOX DUMP'!62:62))</f>
        <v>0</v>
      </c>
      <c r="W63" s="21">
        <f ca="1">IF($D63="","",SUMIF('TALLY BOX DUMP'!$1:$1,'ACH CALC'!W$2,'TALLY BOX DUMP'!62:62))</f>
        <v>0</v>
      </c>
      <c r="X63" s="21">
        <f ca="1">IF($D63="","",SUMIF('TALLY BOX DUMP'!$1:$1,'ACH CALC'!X$2,'TALLY BOX DUMP'!62:62))</f>
        <v>0</v>
      </c>
      <c r="Y63" s="21">
        <f ca="1">IF($D63="","",SUMIF('TALLY BOX DUMP'!$1:$1,'ACH CALC'!Y$2,'TALLY BOX DUMP'!62:62))</f>
        <v>0</v>
      </c>
      <c r="Z63" s="21">
        <f ca="1">IF($D63="","",SUMIF('TALLY BOX DUMP'!$1:$1,'ACH CALC'!Z$2,'TALLY BOX DUMP'!62:62)+AE63)</f>
        <v>0</v>
      </c>
      <c r="AA63" s="21">
        <f ca="1">IF($D63="","",SUMIF('TALLY BOX DUMP'!$1:$1,'ACH CALC'!AA$2,'TALLY BOX DUMP'!62:62))</f>
        <v>0</v>
      </c>
      <c r="AB63" s="21">
        <f ca="1">IF($D63="","",SUMIF('TALLY BOX DUMP'!$1:$1,'ACH CALC'!AB$2,'TALLY BOX DUMP'!62:62))</f>
        <v>0</v>
      </c>
      <c r="AC63" s="21">
        <f ca="1">IF($D63="","",SUMIF('TALLY BOX DUMP'!$1:$1,'ACH CALC'!AC$2,'TALLY BOX DUMP'!62:62))</f>
        <v>0</v>
      </c>
      <c r="AD63" s="21">
        <f ca="1">IF($D63="","",SUMIF('TALLY BOX DUMP'!$1:$1,'ACH CALC'!AD$2,'TALLY BOX DUMP'!62:62))</f>
        <v>0</v>
      </c>
      <c r="AE63" s="21">
        <f ca="1">IF($D63="","",SUMIF('TALLY BOX DUMP'!$1:$1,'ACH CALC'!AE$2,'TALLY BOX DUMP'!62:62))</f>
        <v>0</v>
      </c>
      <c r="AF63" s="21">
        <f ca="1">IF($D63="","",SUMIF('TALLY BOX DUMP'!$1:$1,'ACH CALC'!AF$2,'TALLY BOX DUMP'!62:62))</f>
        <v>0</v>
      </c>
      <c r="AG63" s="21">
        <f ca="1">IF($D63="","",SUMIF('TALLY BOX DUMP'!$1:$1,'ACH CALC'!AG$2,'TALLY BOX DUMP'!62:62))</f>
        <v>0</v>
      </c>
      <c r="AH63" s="21">
        <f ca="1">IF($D63="","",SUMIF('TALLY BOX DUMP'!$1:$1,'ACH CALC'!AH$2,'TALLY BOX DUMP'!62:62))</f>
        <v>0</v>
      </c>
      <c r="AI63" s="21">
        <f ca="1">IF($D63="","",SUMIF('TALLY BOX DUMP'!$1:$1,'ACH CALC'!AI$2,'TALLY BOX DUMP'!62:62))</f>
        <v>0</v>
      </c>
      <c r="AJ63" s="21">
        <f ca="1">IF($D63="","",SUMIF('TALLY BOX DUMP'!$1:$1,'ACH CALC'!AJ$2,'TALLY BOX DUMP'!62:62))</f>
        <v>0</v>
      </c>
      <c r="AK63" s="21">
        <f ca="1">IF($D63="","",SUMIF('TALLY BOX DUMP'!$1:$1,'ACH CALC'!AK$2,'TALLY BOX DUMP'!62:62))</f>
        <v>0</v>
      </c>
      <c r="AL63" s="21">
        <f ca="1">IF($D63="","",ROUND(SUMIF('TALLY KG DUMP'!$1:$1,'ACH CALC'!AL$2,'TALLY KG DUMP'!62:62)/30,1))</f>
        <v>0</v>
      </c>
      <c r="AM63" s="21">
        <f ca="1">IF($D63="","",SUMIF('TALLY BOX DUMP'!$1:$1,'ACH CALC'!AM$2,'TALLY BOX DUMP'!62:62))</f>
        <v>0</v>
      </c>
      <c r="AN63" s="21">
        <f ca="1">IF($D63="","",SUMIF('TALLY BOX DUMP'!$1:$1,'ACH CALC'!AN$2,'TALLY BOX DUMP'!62:62))</f>
        <v>0</v>
      </c>
      <c r="AO63" s="21">
        <f ca="1">IF($D63="","",SUMIF('TALLY BOX DUMP'!$1:$1,'ACH CALC'!AO$2,'TALLY BOX DUMP'!62:62))</f>
        <v>0</v>
      </c>
      <c r="AP63" s="21">
        <f ca="1">IF($D63="","",SUMIF('TALLY BOX DUMP'!$1:$1,'ACH CALC'!AP$2,'TALLY BOX DUMP'!62:62))</f>
        <v>0</v>
      </c>
      <c r="AQ63" s="21">
        <f ca="1">IF($D63="","",ROUND(SUMIF('TALLY KG DUMP'!$1:$1,'ACH CALC'!AQ$2,'TALLY KG DUMP'!62:62)/30,1))</f>
        <v>0</v>
      </c>
      <c r="AR63" s="21">
        <f ca="1">IF($D63="","",SUMIF('TALLY BOX DUMP'!$1:$1,'ACH CALC'!AR$2,'TALLY BOX DUMP'!62:62))</f>
        <v>0</v>
      </c>
      <c r="AS63" s="21">
        <f ca="1">IF($D63="","",SUMIF('TALLY BOX DUMP'!$1:$1,'ACH CALC'!AS$2,'TALLY BOX DUMP'!62:62))</f>
        <v>0</v>
      </c>
      <c r="AT63" s="21">
        <f ca="1">IF($D63="","",SUMIF('TALLY BOX DUMP'!$1:$1,'ACH CALC'!AT$2,'TALLY BOX DUMP'!62:62))</f>
        <v>0</v>
      </c>
      <c r="AU63" s="21">
        <f ca="1">IF($D63="","",SUMIF('TALLY BOX DUMP'!$1:$1,'ACH CALC'!AU$2,'TALLY BOX DUMP'!62:62))</f>
        <v>0</v>
      </c>
      <c r="AV63" s="21">
        <f ca="1">IF($D63="","",SUMIF('TALLY BOX DUMP'!$1:$1,'ACH CALC'!AV$2,'TALLY BOX DUMP'!62:62))</f>
        <v>0</v>
      </c>
      <c r="AW63" s="21">
        <f ca="1">IF($D63="","",SUMIF('TALLY BOX DUMP'!$1:$1,'ACH CALC'!AW$2,'TALLY BOX DUMP'!62:62))</f>
        <v>0</v>
      </c>
      <c r="AX63" s="21">
        <f ca="1">IF($D63="","",SUMIF('TALLY BOX DUMP'!$1:$1,'ACH CALC'!AX$2,'TALLY BOX DUMP'!62:62))</f>
        <v>0</v>
      </c>
      <c r="AY63" s="21">
        <f ca="1">IF($D63="","",SUMIF('TALLY BOX DUMP'!$1:$1,'ACH CALC'!AY$2,'TALLY BOX DUMP'!62:62))</f>
        <v>0</v>
      </c>
      <c r="AZ63" s="21">
        <f ca="1">IF($D63="","",SUMIF('TALLY BOX DUMP'!$1:$1,'ACH CALC'!AZ$2,'TALLY BOX DUMP'!62:62))</f>
        <v>0</v>
      </c>
      <c r="BA63" s="69">
        <f>(SUMIF('TALLY KG DUMP'!$2:$2,"Qty",'TALLY KG DUMP'!62:62)/1000)-(SUMIF('TALLY KG DUMP'!$1:$1,"GL",'TALLY KG DUMP'!62:62)/1000)</f>
        <v>0</v>
      </c>
      <c r="BB63" s="21" t="b">
        <f t="shared" ca="1" si="2"/>
        <v>1</v>
      </c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</row>
    <row r="64" spans="2:75" x14ac:dyDescent="0.25">
      <c r="B64" s="21" t="str">
        <f ca="1"/>
        <v>61</v>
      </c>
      <c r="C64" s="21" t="str">
        <f ca="1"/>
        <v>SUN03289</v>
      </c>
      <c r="D64" s="21" t="str">
        <f ca="1"/>
        <v>VELLAKOVIL MITHUN TRADERS</v>
      </c>
      <c r="E64" s="21">
        <f ca="1">IF($D64="","",(SUMIF('TALLY KG DUMP'!$2:$2,"Qty",'TALLY KG DUMP'!63:63)/1000)-(SUMIF('TALLY KG DUMP'!$1:$1,"GL",'TALLY KG DUMP'!63:63)/1000))</f>
        <v>4.1859999999999999</v>
      </c>
      <c r="F64" s="21">
        <f ca="1">IF($D64="","",(SUMIF('TALLY KG DUMP'!$1:$1,'ACH CALC'!F$2,'TALLY KG DUMP'!63:63)/1000))</f>
        <v>0</v>
      </c>
      <c r="G64" s="21">
        <f ca="1">IF($D64="","",SUMIF('TALLY BOX DUMP'!$1:$1,'ACH CALC'!G$2,'TALLY BOX DUMP'!63:63)+Y64)</f>
        <v>0</v>
      </c>
      <c r="H64" s="21">
        <f t="shared" ca="1" si="0"/>
        <v>0</v>
      </c>
      <c r="I64" s="21">
        <f ca="1">IF($D64="","",SUMIF('TALLY BOX DUMP'!$1:$1,'ACH CALC'!I$2,'TALLY BOX DUMP'!63:63)+AA64)</f>
        <v>0</v>
      </c>
      <c r="J64" s="21">
        <f ca="1">IF($D64="","",SUMIF('TALLY BOX DUMP'!$1:$1,'ACH CALC'!J$2,'TALLY BOX DUMP'!63:63)+AB64)</f>
        <v>0</v>
      </c>
      <c r="K64" s="21">
        <f ca="1">IF($D64="","",SUMIF('TALLY BOX DUMP'!$1:$1,'ACH CALC'!K$2,'TALLY BOX DUMP'!63:63)+AC64)</f>
        <v>0</v>
      </c>
      <c r="L64" s="21">
        <f ca="1">IF($D64="","",SUMIF('TALLY BOX DUMP'!$1:$1,'ACH CALC'!L$2,'TALLY BOX DUMP'!63:63))</f>
        <v>0</v>
      </c>
      <c r="M64" s="21">
        <f ca="1">IF($D64="","",SUMIF('TALLY BOX DUMP'!$1:$1,'ACH CALC'!M$2,'TALLY BOX DUMP'!63:63)+AD64)</f>
        <v>0</v>
      </c>
      <c r="N64" s="21">
        <f ca="1">IF($D64="","",SUMIF('TALLY BOX DUMP'!$1:$1,'ACH CALC'!N$2,'TALLY BOX DUMP'!63:63))</f>
        <v>0</v>
      </c>
      <c r="O64" s="21">
        <f ca="1">IF($D64="","",SUMIF('TALLY BOX DUMP'!$1:$1,'ACH CALC'!O$2,'TALLY BOX DUMP'!63:63))</f>
        <v>0</v>
      </c>
      <c r="P64" s="21">
        <f ca="1">IF($D64="","",SUMIF('TALLY BOX DUMP'!$1:$1,'ACH CALC'!P$2,'TALLY BOX DUMP'!63:63))</f>
        <v>0</v>
      </c>
      <c r="Q64" s="21">
        <f t="shared" ca="1" si="1"/>
        <v>0</v>
      </c>
      <c r="R64" s="21">
        <f ca="1">IF($D64="","",SUMIF('TALLY BOX DUMP'!$1:$1,'ACH CALC'!R$2,'TALLY BOX DUMP'!63:63))</f>
        <v>0</v>
      </c>
      <c r="S64" s="21">
        <f ca="1">IF($D64="","",SUMIF('TALLY BOX DUMP'!$1:$1,'ACH CALC'!S$2,'TALLY BOX DUMP'!63:63))</f>
        <v>0</v>
      </c>
      <c r="T64" s="21">
        <f ca="1">IF($D64="","",SUMIF('TALLY BOX DUMP'!$1:$1,'ACH CALC'!T$2,'TALLY BOX DUMP'!63:63))</f>
        <v>0</v>
      </c>
      <c r="U64" s="21">
        <f ca="1">IF($D64="","",SUMIF('TALLY BOX DUMP'!$1:$1,'ACH CALC'!U$2,'TALLY BOX DUMP'!63:63))</f>
        <v>0</v>
      </c>
      <c r="V64" s="21">
        <f ca="1">IF($D64="","",SUMIF('TALLY BOX DUMP'!$1:$1,'ACH CALC'!V$2,'TALLY BOX DUMP'!63:63))</f>
        <v>0</v>
      </c>
      <c r="W64" s="21">
        <f ca="1">IF($D64="","",SUMIF('TALLY BOX DUMP'!$1:$1,'ACH CALC'!W$2,'TALLY BOX DUMP'!63:63))</f>
        <v>0</v>
      </c>
      <c r="X64" s="21">
        <f ca="1">IF($D64="","",SUMIF('TALLY BOX DUMP'!$1:$1,'ACH CALC'!X$2,'TALLY BOX DUMP'!63:63))</f>
        <v>0</v>
      </c>
      <c r="Y64" s="21">
        <f ca="1">IF($D64="","",SUMIF('TALLY BOX DUMP'!$1:$1,'ACH CALC'!Y$2,'TALLY BOX DUMP'!63:63))</f>
        <v>0</v>
      </c>
      <c r="Z64" s="21">
        <f ca="1">IF($D64="","",SUMIF('TALLY BOX DUMP'!$1:$1,'ACH CALC'!Z$2,'TALLY BOX DUMP'!63:63)+AE64)</f>
        <v>0</v>
      </c>
      <c r="AA64" s="21">
        <f ca="1">IF($D64="","",SUMIF('TALLY BOX DUMP'!$1:$1,'ACH CALC'!AA$2,'TALLY BOX DUMP'!63:63))</f>
        <v>0</v>
      </c>
      <c r="AB64" s="21">
        <f ca="1">IF($D64="","",SUMIF('TALLY BOX DUMP'!$1:$1,'ACH CALC'!AB$2,'TALLY BOX DUMP'!63:63))</f>
        <v>0</v>
      </c>
      <c r="AC64" s="21">
        <f ca="1">IF($D64="","",SUMIF('TALLY BOX DUMP'!$1:$1,'ACH CALC'!AC$2,'TALLY BOX DUMP'!63:63))</f>
        <v>0</v>
      </c>
      <c r="AD64" s="21">
        <f ca="1">IF($D64="","",SUMIF('TALLY BOX DUMP'!$1:$1,'ACH CALC'!AD$2,'TALLY BOX DUMP'!63:63))</f>
        <v>0</v>
      </c>
      <c r="AE64" s="21">
        <f ca="1">IF($D64="","",SUMIF('TALLY BOX DUMP'!$1:$1,'ACH CALC'!AE$2,'TALLY BOX DUMP'!63:63))</f>
        <v>0</v>
      </c>
      <c r="AF64" s="21">
        <f ca="1">IF($D64="","",SUMIF('TALLY BOX DUMP'!$1:$1,'ACH CALC'!AF$2,'TALLY BOX DUMP'!63:63))</f>
        <v>0</v>
      </c>
      <c r="AG64" s="21">
        <f ca="1">IF($D64="","",SUMIF('TALLY BOX DUMP'!$1:$1,'ACH CALC'!AG$2,'TALLY BOX DUMP'!63:63))</f>
        <v>0</v>
      </c>
      <c r="AH64" s="21">
        <f ca="1">IF($D64="","",SUMIF('TALLY BOX DUMP'!$1:$1,'ACH CALC'!AH$2,'TALLY BOX DUMP'!63:63))</f>
        <v>0</v>
      </c>
      <c r="AI64" s="21">
        <f ca="1">IF($D64="","",SUMIF('TALLY BOX DUMP'!$1:$1,'ACH CALC'!AI$2,'TALLY BOX DUMP'!63:63))</f>
        <v>0</v>
      </c>
      <c r="AJ64" s="21">
        <f ca="1">IF($D64="","",SUMIF('TALLY BOX DUMP'!$1:$1,'ACH CALC'!AJ$2,'TALLY BOX DUMP'!63:63))</f>
        <v>0</v>
      </c>
      <c r="AK64" s="21">
        <f ca="1">IF($D64="","",SUMIF('TALLY BOX DUMP'!$1:$1,'ACH CALC'!AK$2,'TALLY BOX DUMP'!63:63))</f>
        <v>0</v>
      </c>
      <c r="AL64" s="21">
        <f ca="1">IF($D64="","",ROUND(SUMIF('TALLY KG DUMP'!$1:$1,'ACH CALC'!AL$2,'TALLY KG DUMP'!63:63)/30,1))</f>
        <v>0</v>
      </c>
      <c r="AM64" s="21">
        <f ca="1">IF($D64="","",SUMIF('TALLY BOX DUMP'!$1:$1,'ACH CALC'!AM$2,'TALLY BOX DUMP'!63:63))</f>
        <v>0</v>
      </c>
      <c r="AN64" s="21">
        <f ca="1">IF($D64="","",SUMIF('TALLY BOX DUMP'!$1:$1,'ACH CALC'!AN$2,'TALLY BOX DUMP'!63:63))</f>
        <v>0</v>
      </c>
      <c r="AO64" s="21">
        <f ca="1">IF($D64="","",SUMIF('TALLY BOX DUMP'!$1:$1,'ACH CALC'!AO$2,'TALLY BOX DUMP'!63:63))</f>
        <v>0</v>
      </c>
      <c r="AP64" s="21">
        <f ca="1">IF($D64="","",SUMIF('TALLY BOX DUMP'!$1:$1,'ACH CALC'!AP$2,'TALLY BOX DUMP'!63:63))</f>
        <v>0</v>
      </c>
      <c r="AQ64" s="21">
        <f ca="1">IF($D64="","",ROUND(SUMIF('TALLY KG DUMP'!$1:$1,'ACH CALC'!AQ$2,'TALLY KG DUMP'!63:63)/30,1))</f>
        <v>0</v>
      </c>
      <c r="AR64" s="21">
        <f ca="1">IF($D64="","",SUMIF('TALLY BOX DUMP'!$1:$1,'ACH CALC'!AR$2,'TALLY BOX DUMP'!63:63))</f>
        <v>0</v>
      </c>
      <c r="AS64" s="21">
        <f ca="1">IF($D64="","",SUMIF('TALLY BOX DUMP'!$1:$1,'ACH CALC'!AS$2,'TALLY BOX DUMP'!63:63))</f>
        <v>0</v>
      </c>
      <c r="AT64" s="21">
        <f ca="1">IF($D64="","",SUMIF('TALLY BOX DUMP'!$1:$1,'ACH CALC'!AT$2,'TALLY BOX DUMP'!63:63))</f>
        <v>0</v>
      </c>
      <c r="AU64" s="21">
        <f ca="1">IF($D64="","",SUMIF('TALLY BOX DUMP'!$1:$1,'ACH CALC'!AU$2,'TALLY BOX DUMP'!63:63))</f>
        <v>0</v>
      </c>
      <c r="AV64" s="21">
        <f ca="1">IF($D64="","",SUMIF('TALLY BOX DUMP'!$1:$1,'ACH CALC'!AV$2,'TALLY BOX DUMP'!63:63))</f>
        <v>0</v>
      </c>
      <c r="AW64" s="21">
        <f ca="1">IF($D64="","",SUMIF('TALLY BOX DUMP'!$1:$1,'ACH CALC'!AW$2,'TALLY BOX DUMP'!63:63))</f>
        <v>0</v>
      </c>
      <c r="AX64" s="21">
        <f ca="1">IF($D64="","",SUMIF('TALLY BOX DUMP'!$1:$1,'ACH CALC'!AX$2,'TALLY BOX DUMP'!63:63))</f>
        <v>0</v>
      </c>
      <c r="AY64" s="21">
        <f ca="1">IF($D64="","",SUMIF('TALLY BOX DUMP'!$1:$1,'ACH CALC'!AY$2,'TALLY BOX DUMP'!63:63))</f>
        <v>0</v>
      </c>
      <c r="AZ64" s="21">
        <f ca="1">IF($D64="","",SUMIF('TALLY BOX DUMP'!$1:$1,'ACH CALC'!AZ$2,'TALLY BOX DUMP'!63:63))</f>
        <v>0</v>
      </c>
      <c r="BA64" s="69">
        <f>(SUMIF('TALLY KG DUMP'!$2:$2,"Qty",'TALLY KG DUMP'!63:63)/1000)-(SUMIF('TALLY KG DUMP'!$1:$1,"GL",'TALLY KG DUMP'!63:63)/1000)</f>
        <v>4.1859999999999999</v>
      </c>
      <c r="BB64" s="21" t="b">
        <f t="shared" ca="1" si="2"/>
        <v>1</v>
      </c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</row>
    <row r="65" spans="2:75" x14ac:dyDescent="0.25">
      <c r="B65" s="21" t="str">
        <f ca="1"/>
        <v>62</v>
      </c>
      <c r="C65" s="21" t="str">
        <f ca="1"/>
        <v>SUN04704</v>
      </c>
      <c r="D65" s="21" t="str">
        <f ca="1"/>
        <v>KANGAYAM SRI MURUGAN TRADERS</v>
      </c>
      <c r="E65" s="21">
        <f ca="1">IF($D65="","",(SUMIF('TALLY KG DUMP'!$2:$2,"Qty",'TALLY KG DUMP'!64:64)/1000)-(SUMIF('TALLY KG DUMP'!$1:$1,"GL",'TALLY KG DUMP'!64:64)/1000))</f>
        <v>1.4470000000000001</v>
      </c>
      <c r="F65" s="21">
        <f ca="1">IF($D65="","",(SUMIF('TALLY KG DUMP'!$1:$1,'ACH CALC'!F$2,'TALLY KG DUMP'!64:64)/1000))</f>
        <v>0</v>
      </c>
      <c r="G65" s="21">
        <f ca="1">IF($D65="","",SUMIF('TALLY BOX DUMP'!$1:$1,'ACH CALC'!G$2,'TALLY BOX DUMP'!64:64)+Y65)</f>
        <v>0</v>
      </c>
      <c r="H65" s="21">
        <f t="shared" ca="1" si="0"/>
        <v>0</v>
      </c>
      <c r="I65" s="21">
        <f ca="1">IF($D65="","",SUMIF('TALLY BOX DUMP'!$1:$1,'ACH CALC'!I$2,'TALLY BOX DUMP'!64:64)+AA65)</f>
        <v>0</v>
      </c>
      <c r="J65" s="21">
        <f ca="1">IF($D65="","",SUMIF('TALLY BOX DUMP'!$1:$1,'ACH CALC'!J$2,'TALLY BOX DUMP'!64:64)+AB65)</f>
        <v>0</v>
      </c>
      <c r="K65" s="21">
        <f ca="1">IF($D65="","",SUMIF('TALLY BOX DUMP'!$1:$1,'ACH CALC'!K$2,'TALLY BOX DUMP'!64:64)+AC65)</f>
        <v>0</v>
      </c>
      <c r="L65" s="21">
        <f ca="1">IF($D65="","",SUMIF('TALLY BOX DUMP'!$1:$1,'ACH CALC'!L$2,'TALLY BOX DUMP'!64:64))</f>
        <v>0</v>
      </c>
      <c r="M65" s="21">
        <f ca="1">IF($D65="","",SUMIF('TALLY BOX DUMP'!$1:$1,'ACH CALC'!M$2,'TALLY BOX DUMP'!64:64)+AD65)</f>
        <v>0</v>
      </c>
      <c r="N65" s="21">
        <f ca="1">IF($D65="","",SUMIF('TALLY BOX DUMP'!$1:$1,'ACH CALC'!N$2,'TALLY BOX DUMP'!64:64))</f>
        <v>0</v>
      </c>
      <c r="O65" s="21">
        <f ca="1">IF($D65="","",SUMIF('TALLY BOX DUMP'!$1:$1,'ACH CALC'!O$2,'TALLY BOX DUMP'!64:64))</f>
        <v>0</v>
      </c>
      <c r="P65" s="21">
        <f ca="1">IF($D65="","",SUMIF('TALLY BOX DUMP'!$1:$1,'ACH CALC'!P$2,'TALLY BOX DUMP'!64:64))</f>
        <v>0</v>
      </c>
      <c r="Q65" s="21">
        <f t="shared" ca="1" si="1"/>
        <v>0</v>
      </c>
      <c r="R65" s="21">
        <f ca="1">IF($D65="","",SUMIF('TALLY BOX DUMP'!$1:$1,'ACH CALC'!R$2,'TALLY BOX DUMP'!64:64))</f>
        <v>0</v>
      </c>
      <c r="S65" s="21">
        <f ca="1">IF($D65="","",SUMIF('TALLY BOX DUMP'!$1:$1,'ACH CALC'!S$2,'TALLY BOX DUMP'!64:64))</f>
        <v>0</v>
      </c>
      <c r="T65" s="21">
        <f ca="1">IF($D65="","",SUMIF('TALLY BOX DUMP'!$1:$1,'ACH CALC'!T$2,'TALLY BOX DUMP'!64:64))</f>
        <v>0</v>
      </c>
      <c r="U65" s="21">
        <f ca="1">IF($D65="","",SUMIF('TALLY BOX DUMP'!$1:$1,'ACH CALC'!U$2,'TALLY BOX DUMP'!64:64))</f>
        <v>0</v>
      </c>
      <c r="V65" s="21">
        <f ca="1">IF($D65="","",SUMIF('TALLY BOX DUMP'!$1:$1,'ACH CALC'!V$2,'TALLY BOX DUMP'!64:64))</f>
        <v>0</v>
      </c>
      <c r="W65" s="21">
        <f ca="1">IF($D65="","",SUMIF('TALLY BOX DUMP'!$1:$1,'ACH CALC'!W$2,'TALLY BOX DUMP'!64:64))</f>
        <v>0</v>
      </c>
      <c r="X65" s="21">
        <f ca="1">IF($D65="","",SUMIF('TALLY BOX DUMP'!$1:$1,'ACH CALC'!X$2,'TALLY BOX DUMP'!64:64))</f>
        <v>0</v>
      </c>
      <c r="Y65" s="21">
        <f ca="1">IF($D65="","",SUMIF('TALLY BOX DUMP'!$1:$1,'ACH CALC'!Y$2,'TALLY BOX DUMP'!64:64))</f>
        <v>0</v>
      </c>
      <c r="Z65" s="21">
        <f ca="1">IF($D65="","",SUMIF('TALLY BOX DUMP'!$1:$1,'ACH CALC'!Z$2,'TALLY BOX DUMP'!64:64)+AE65)</f>
        <v>0</v>
      </c>
      <c r="AA65" s="21">
        <f ca="1">IF($D65="","",SUMIF('TALLY BOX DUMP'!$1:$1,'ACH CALC'!AA$2,'TALLY BOX DUMP'!64:64))</f>
        <v>0</v>
      </c>
      <c r="AB65" s="21">
        <f ca="1">IF($D65="","",SUMIF('TALLY BOX DUMP'!$1:$1,'ACH CALC'!AB$2,'TALLY BOX DUMP'!64:64))</f>
        <v>0</v>
      </c>
      <c r="AC65" s="21">
        <f ca="1">IF($D65="","",SUMIF('TALLY BOX DUMP'!$1:$1,'ACH CALC'!AC$2,'TALLY BOX DUMP'!64:64))</f>
        <v>0</v>
      </c>
      <c r="AD65" s="21">
        <f ca="1">IF($D65="","",SUMIF('TALLY BOX DUMP'!$1:$1,'ACH CALC'!AD$2,'TALLY BOX DUMP'!64:64))</f>
        <v>0</v>
      </c>
      <c r="AE65" s="21">
        <f ca="1">IF($D65="","",SUMIF('TALLY BOX DUMP'!$1:$1,'ACH CALC'!AE$2,'TALLY BOX DUMP'!64:64))</f>
        <v>0</v>
      </c>
      <c r="AF65" s="21">
        <f ca="1">IF($D65="","",SUMIF('TALLY BOX DUMP'!$1:$1,'ACH CALC'!AF$2,'TALLY BOX DUMP'!64:64))</f>
        <v>0</v>
      </c>
      <c r="AG65" s="21">
        <f ca="1">IF($D65="","",SUMIF('TALLY BOX DUMP'!$1:$1,'ACH CALC'!AG$2,'TALLY BOX DUMP'!64:64))</f>
        <v>0</v>
      </c>
      <c r="AH65" s="21">
        <f ca="1">IF($D65="","",SUMIF('TALLY BOX DUMP'!$1:$1,'ACH CALC'!AH$2,'TALLY BOX DUMP'!64:64))</f>
        <v>0</v>
      </c>
      <c r="AI65" s="21">
        <f ca="1">IF($D65="","",SUMIF('TALLY BOX DUMP'!$1:$1,'ACH CALC'!AI$2,'TALLY BOX DUMP'!64:64))</f>
        <v>0</v>
      </c>
      <c r="AJ65" s="21">
        <f ca="1">IF($D65="","",SUMIF('TALLY BOX DUMP'!$1:$1,'ACH CALC'!AJ$2,'TALLY BOX DUMP'!64:64))</f>
        <v>0</v>
      </c>
      <c r="AK65" s="21">
        <f ca="1">IF($D65="","",SUMIF('TALLY BOX DUMP'!$1:$1,'ACH CALC'!AK$2,'TALLY BOX DUMP'!64:64))</f>
        <v>0</v>
      </c>
      <c r="AL65" s="21">
        <f ca="1">IF($D65="","",ROUND(SUMIF('TALLY KG DUMP'!$1:$1,'ACH CALC'!AL$2,'TALLY KG DUMP'!64:64)/30,1))</f>
        <v>0</v>
      </c>
      <c r="AM65" s="21">
        <f ca="1">IF($D65="","",SUMIF('TALLY BOX DUMP'!$1:$1,'ACH CALC'!AM$2,'TALLY BOX DUMP'!64:64))</f>
        <v>35</v>
      </c>
      <c r="AN65" s="21">
        <f ca="1">IF($D65="","",SUMIF('TALLY BOX DUMP'!$1:$1,'ACH CALC'!AN$2,'TALLY BOX DUMP'!64:64))</f>
        <v>0</v>
      </c>
      <c r="AO65" s="21">
        <f ca="1">IF($D65="","",SUMIF('TALLY BOX DUMP'!$1:$1,'ACH CALC'!AO$2,'TALLY BOX DUMP'!64:64))</f>
        <v>1</v>
      </c>
      <c r="AP65" s="21">
        <f ca="1">IF($D65="","",SUMIF('TALLY BOX DUMP'!$1:$1,'ACH CALC'!AP$2,'TALLY BOX DUMP'!64:64))</f>
        <v>0</v>
      </c>
      <c r="AQ65" s="21">
        <f ca="1">IF($D65="","",ROUND(SUMIF('TALLY KG DUMP'!$1:$1,'ACH CALC'!AQ$2,'TALLY KG DUMP'!64:64)/30,1))</f>
        <v>0</v>
      </c>
      <c r="AR65" s="21">
        <f ca="1">IF($D65="","",SUMIF('TALLY BOX DUMP'!$1:$1,'ACH CALC'!AR$2,'TALLY BOX DUMP'!64:64))</f>
        <v>0</v>
      </c>
      <c r="AS65" s="21">
        <f ca="1">IF($D65="","",SUMIF('TALLY BOX DUMP'!$1:$1,'ACH CALC'!AS$2,'TALLY BOX DUMP'!64:64))</f>
        <v>0</v>
      </c>
      <c r="AT65" s="21">
        <f ca="1">IF($D65="","",SUMIF('TALLY BOX DUMP'!$1:$1,'ACH CALC'!AT$2,'TALLY BOX DUMP'!64:64))</f>
        <v>0</v>
      </c>
      <c r="AU65" s="21">
        <f ca="1">IF($D65="","",SUMIF('TALLY BOX DUMP'!$1:$1,'ACH CALC'!AU$2,'TALLY BOX DUMP'!64:64))</f>
        <v>0</v>
      </c>
      <c r="AV65" s="21">
        <f ca="1">IF($D65="","",SUMIF('TALLY BOX DUMP'!$1:$1,'ACH CALC'!AV$2,'TALLY BOX DUMP'!64:64))</f>
        <v>0</v>
      </c>
      <c r="AW65" s="21">
        <f ca="1">IF($D65="","",SUMIF('TALLY BOX DUMP'!$1:$1,'ACH CALC'!AW$2,'TALLY BOX DUMP'!64:64))</f>
        <v>0</v>
      </c>
      <c r="AX65" s="21">
        <f ca="1">IF($D65="","",SUMIF('TALLY BOX DUMP'!$1:$1,'ACH CALC'!AX$2,'TALLY BOX DUMP'!64:64))</f>
        <v>0</v>
      </c>
      <c r="AY65" s="21">
        <f ca="1">IF($D65="","",SUMIF('TALLY BOX DUMP'!$1:$1,'ACH CALC'!AY$2,'TALLY BOX DUMP'!64:64))</f>
        <v>0</v>
      </c>
      <c r="AZ65" s="21">
        <f ca="1">IF($D65="","",SUMIF('TALLY BOX DUMP'!$1:$1,'ACH CALC'!AZ$2,'TALLY BOX DUMP'!64:64))</f>
        <v>0</v>
      </c>
      <c r="BA65" s="69">
        <f>(SUMIF('TALLY KG DUMP'!$2:$2,"Qty",'TALLY KG DUMP'!64:64)/1000)-(SUMIF('TALLY KG DUMP'!$1:$1,"GL",'TALLY KG DUMP'!64:64)/1000)</f>
        <v>1.4470000000000001</v>
      </c>
      <c r="BB65" s="21" t="b">
        <f t="shared" ca="1" si="2"/>
        <v>1</v>
      </c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</row>
    <row r="66" spans="2:75" x14ac:dyDescent="0.25">
      <c r="B66" s="21" t="str">
        <f ca="1"/>
        <v>63</v>
      </c>
      <c r="C66" s="21" t="str">
        <f ca="1"/>
        <v>SUN05723</v>
      </c>
      <c r="D66" s="21" t="str">
        <f ca="1"/>
        <v>PALACODE-S. KANAGARAJ (MALIGAI)</v>
      </c>
      <c r="E66" s="21">
        <f ca="1">IF($D66="","",(SUMIF('TALLY KG DUMP'!$2:$2,"Qty",'TALLY KG DUMP'!65:65)/1000)-(SUMIF('TALLY KG DUMP'!$1:$1,"GL",'TALLY KG DUMP'!65:65)/1000))</f>
        <v>0</v>
      </c>
      <c r="F66" s="21">
        <f ca="1">IF($D66="","",(SUMIF('TALLY KG DUMP'!$1:$1,'ACH CALC'!F$2,'TALLY KG DUMP'!65:65)/1000))</f>
        <v>0</v>
      </c>
      <c r="G66" s="21">
        <f ca="1">IF($D66="","",SUMIF('TALLY BOX DUMP'!$1:$1,'ACH CALC'!G$2,'TALLY BOX DUMP'!65:65)+Y66)</f>
        <v>0</v>
      </c>
      <c r="H66" s="21">
        <f t="shared" ca="1" si="0"/>
        <v>0</v>
      </c>
      <c r="I66" s="21">
        <f ca="1">IF($D66="","",SUMIF('TALLY BOX DUMP'!$1:$1,'ACH CALC'!I$2,'TALLY BOX DUMP'!65:65)+AA66)</f>
        <v>0</v>
      </c>
      <c r="J66" s="21">
        <f ca="1">IF($D66="","",SUMIF('TALLY BOX DUMP'!$1:$1,'ACH CALC'!J$2,'TALLY BOX DUMP'!65:65)+AB66)</f>
        <v>0</v>
      </c>
      <c r="K66" s="21">
        <f ca="1">IF($D66="","",SUMIF('TALLY BOX DUMP'!$1:$1,'ACH CALC'!K$2,'TALLY BOX DUMP'!65:65)+AC66)</f>
        <v>0</v>
      </c>
      <c r="L66" s="21">
        <f ca="1">IF($D66="","",SUMIF('TALLY BOX DUMP'!$1:$1,'ACH CALC'!L$2,'TALLY BOX DUMP'!65:65))</f>
        <v>0</v>
      </c>
      <c r="M66" s="21">
        <f ca="1">IF($D66="","",SUMIF('TALLY BOX DUMP'!$1:$1,'ACH CALC'!M$2,'TALLY BOX DUMP'!65:65)+AD66)</f>
        <v>0</v>
      </c>
      <c r="N66" s="21">
        <f ca="1">IF($D66="","",SUMIF('TALLY BOX DUMP'!$1:$1,'ACH CALC'!N$2,'TALLY BOX DUMP'!65:65))</f>
        <v>0</v>
      </c>
      <c r="O66" s="21">
        <f ca="1">IF($D66="","",SUMIF('TALLY BOX DUMP'!$1:$1,'ACH CALC'!O$2,'TALLY BOX DUMP'!65:65))</f>
        <v>0</v>
      </c>
      <c r="P66" s="21">
        <f ca="1">IF($D66="","",SUMIF('TALLY BOX DUMP'!$1:$1,'ACH CALC'!P$2,'TALLY BOX DUMP'!65:65))</f>
        <v>0</v>
      </c>
      <c r="Q66" s="21">
        <f t="shared" ca="1" si="1"/>
        <v>0</v>
      </c>
      <c r="R66" s="21">
        <f ca="1">IF($D66="","",SUMIF('TALLY BOX DUMP'!$1:$1,'ACH CALC'!R$2,'TALLY BOX DUMP'!65:65))</f>
        <v>0</v>
      </c>
      <c r="S66" s="21">
        <f ca="1">IF($D66="","",SUMIF('TALLY BOX DUMP'!$1:$1,'ACH CALC'!S$2,'TALLY BOX DUMP'!65:65))</f>
        <v>0</v>
      </c>
      <c r="T66" s="21">
        <f ca="1">IF($D66="","",SUMIF('TALLY BOX DUMP'!$1:$1,'ACH CALC'!T$2,'TALLY BOX DUMP'!65:65))</f>
        <v>0</v>
      </c>
      <c r="U66" s="21">
        <f ca="1">IF($D66="","",SUMIF('TALLY BOX DUMP'!$1:$1,'ACH CALC'!U$2,'TALLY BOX DUMP'!65:65))</f>
        <v>0</v>
      </c>
      <c r="V66" s="21">
        <f ca="1">IF($D66="","",SUMIF('TALLY BOX DUMP'!$1:$1,'ACH CALC'!V$2,'TALLY BOX DUMP'!65:65))</f>
        <v>0</v>
      </c>
      <c r="W66" s="21">
        <f ca="1">IF($D66="","",SUMIF('TALLY BOX DUMP'!$1:$1,'ACH CALC'!W$2,'TALLY BOX DUMP'!65:65))</f>
        <v>0</v>
      </c>
      <c r="X66" s="21">
        <f ca="1">IF($D66="","",SUMIF('TALLY BOX DUMP'!$1:$1,'ACH CALC'!X$2,'TALLY BOX DUMP'!65:65))</f>
        <v>0</v>
      </c>
      <c r="Y66" s="21">
        <f ca="1">IF($D66="","",SUMIF('TALLY BOX DUMP'!$1:$1,'ACH CALC'!Y$2,'TALLY BOX DUMP'!65:65))</f>
        <v>0</v>
      </c>
      <c r="Z66" s="21">
        <f ca="1">IF($D66="","",SUMIF('TALLY BOX DUMP'!$1:$1,'ACH CALC'!Z$2,'TALLY BOX DUMP'!65:65)+AE66)</f>
        <v>0</v>
      </c>
      <c r="AA66" s="21">
        <f ca="1">IF($D66="","",SUMIF('TALLY BOX DUMP'!$1:$1,'ACH CALC'!AA$2,'TALLY BOX DUMP'!65:65))</f>
        <v>0</v>
      </c>
      <c r="AB66" s="21">
        <f ca="1">IF($D66="","",SUMIF('TALLY BOX DUMP'!$1:$1,'ACH CALC'!AB$2,'TALLY BOX DUMP'!65:65))</f>
        <v>0</v>
      </c>
      <c r="AC66" s="21">
        <f ca="1">IF($D66="","",SUMIF('TALLY BOX DUMP'!$1:$1,'ACH CALC'!AC$2,'TALLY BOX DUMP'!65:65))</f>
        <v>0</v>
      </c>
      <c r="AD66" s="21">
        <f ca="1">IF($D66="","",SUMIF('TALLY BOX DUMP'!$1:$1,'ACH CALC'!AD$2,'TALLY BOX DUMP'!65:65))</f>
        <v>0</v>
      </c>
      <c r="AE66" s="21">
        <f ca="1">IF($D66="","",SUMIF('TALLY BOX DUMP'!$1:$1,'ACH CALC'!AE$2,'TALLY BOX DUMP'!65:65))</f>
        <v>0</v>
      </c>
      <c r="AF66" s="21">
        <f ca="1">IF($D66="","",SUMIF('TALLY BOX DUMP'!$1:$1,'ACH CALC'!AF$2,'TALLY BOX DUMP'!65:65))</f>
        <v>0</v>
      </c>
      <c r="AG66" s="21">
        <f ca="1">IF($D66="","",SUMIF('TALLY BOX DUMP'!$1:$1,'ACH CALC'!AG$2,'TALLY BOX DUMP'!65:65))</f>
        <v>0</v>
      </c>
      <c r="AH66" s="21">
        <f ca="1">IF($D66="","",SUMIF('TALLY BOX DUMP'!$1:$1,'ACH CALC'!AH$2,'TALLY BOX DUMP'!65:65))</f>
        <v>0</v>
      </c>
      <c r="AI66" s="21">
        <f ca="1">IF($D66="","",SUMIF('TALLY BOX DUMP'!$1:$1,'ACH CALC'!AI$2,'TALLY BOX DUMP'!65:65))</f>
        <v>0</v>
      </c>
      <c r="AJ66" s="21">
        <f ca="1">IF($D66="","",SUMIF('TALLY BOX DUMP'!$1:$1,'ACH CALC'!AJ$2,'TALLY BOX DUMP'!65:65))</f>
        <v>0</v>
      </c>
      <c r="AK66" s="21">
        <f ca="1">IF($D66="","",SUMIF('TALLY BOX DUMP'!$1:$1,'ACH CALC'!AK$2,'TALLY BOX DUMP'!65:65))</f>
        <v>0</v>
      </c>
      <c r="AL66" s="21">
        <f ca="1">IF($D66="","",ROUND(SUMIF('TALLY KG DUMP'!$1:$1,'ACH CALC'!AL$2,'TALLY KG DUMP'!65:65)/30,1))</f>
        <v>0</v>
      </c>
      <c r="AM66" s="21">
        <f ca="1">IF($D66="","",SUMIF('TALLY BOX DUMP'!$1:$1,'ACH CALC'!AM$2,'TALLY BOX DUMP'!65:65))</f>
        <v>0</v>
      </c>
      <c r="AN66" s="21">
        <f ca="1">IF($D66="","",SUMIF('TALLY BOX DUMP'!$1:$1,'ACH CALC'!AN$2,'TALLY BOX DUMP'!65:65))</f>
        <v>0</v>
      </c>
      <c r="AO66" s="21">
        <f ca="1">IF($D66="","",SUMIF('TALLY BOX DUMP'!$1:$1,'ACH CALC'!AO$2,'TALLY BOX DUMP'!65:65))</f>
        <v>0</v>
      </c>
      <c r="AP66" s="21">
        <f ca="1">IF($D66="","",SUMIF('TALLY BOX DUMP'!$1:$1,'ACH CALC'!AP$2,'TALLY BOX DUMP'!65:65))</f>
        <v>0</v>
      </c>
      <c r="AQ66" s="21">
        <f ca="1">IF($D66="","",ROUND(SUMIF('TALLY KG DUMP'!$1:$1,'ACH CALC'!AQ$2,'TALLY KG DUMP'!65:65)/30,1))</f>
        <v>0</v>
      </c>
      <c r="AR66" s="21">
        <f ca="1">IF($D66="","",SUMIF('TALLY BOX DUMP'!$1:$1,'ACH CALC'!AR$2,'TALLY BOX DUMP'!65:65))</f>
        <v>0</v>
      </c>
      <c r="AS66" s="21">
        <f ca="1">IF($D66="","",SUMIF('TALLY BOX DUMP'!$1:$1,'ACH CALC'!AS$2,'TALLY BOX DUMP'!65:65))</f>
        <v>0</v>
      </c>
      <c r="AT66" s="21">
        <f ca="1">IF($D66="","",SUMIF('TALLY BOX DUMP'!$1:$1,'ACH CALC'!AT$2,'TALLY BOX DUMP'!65:65))</f>
        <v>0</v>
      </c>
      <c r="AU66" s="21">
        <f ca="1">IF($D66="","",SUMIF('TALLY BOX DUMP'!$1:$1,'ACH CALC'!AU$2,'TALLY BOX DUMP'!65:65))</f>
        <v>0</v>
      </c>
      <c r="AV66" s="21">
        <f ca="1">IF($D66="","",SUMIF('TALLY BOX DUMP'!$1:$1,'ACH CALC'!AV$2,'TALLY BOX DUMP'!65:65))</f>
        <v>0</v>
      </c>
      <c r="AW66" s="21">
        <f ca="1">IF($D66="","",SUMIF('TALLY BOX DUMP'!$1:$1,'ACH CALC'!AW$2,'TALLY BOX DUMP'!65:65))</f>
        <v>0</v>
      </c>
      <c r="AX66" s="21">
        <f ca="1">IF($D66="","",SUMIF('TALLY BOX DUMP'!$1:$1,'ACH CALC'!AX$2,'TALLY BOX DUMP'!65:65))</f>
        <v>0</v>
      </c>
      <c r="AY66" s="21">
        <f ca="1">IF($D66="","",SUMIF('TALLY BOX DUMP'!$1:$1,'ACH CALC'!AY$2,'TALLY BOX DUMP'!65:65))</f>
        <v>0</v>
      </c>
      <c r="AZ66" s="21">
        <f ca="1">IF($D66="","",SUMIF('TALLY BOX DUMP'!$1:$1,'ACH CALC'!AZ$2,'TALLY BOX DUMP'!65:65))</f>
        <v>0</v>
      </c>
      <c r="BA66" s="69">
        <f>(SUMIF('TALLY KG DUMP'!$2:$2,"Qty",'TALLY KG DUMP'!65:65)/1000)-(SUMIF('TALLY KG DUMP'!$1:$1,"GL",'TALLY KG DUMP'!65:65)/1000)</f>
        <v>0</v>
      </c>
      <c r="BB66" s="21" t="b">
        <f t="shared" ca="1" si="2"/>
        <v>1</v>
      </c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</row>
    <row r="67" spans="2:75" x14ac:dyDescent="0.25">
      <c r="B67" s="21" t="str">
        <f ca="1"/>
        <v>64</v>
      </c>
      <c r="C67" s="21" t="str">
        <f ca="1"/>
        <v>SUN03103</v>
      </c>
      <c r="D67" s="21" t="str">
        <f ca="1"/>
        <v>DHARMAPURI AYYANAR SWEETS</v>
      </c>
      <c r="E67" s="21">
        <f ca="1">IF($D67="","",(SUMIF('TALLY KG DUMP'!$2:$2,"Qty",'TALLY KG DUMP'!66:66)/1000)-(SUMIF('TALLY KG DUMP'!$1:$1,"GL",'TALLY KG DUMP'!66:66)/1000))</f>
        <v>0</v>
      </c>
      <c r="F67" s="21">
        <f ca="1">IF($D67="","",(SUMIF('TALLY KG DUMP'!$1:$1,'ACH CALC'!F$2,'TALLY KG DUMP'!66:66)/1000))</f>
        <v>0</v>
      </c>
      <c r="G67" s="21">
        <f ca="1">IF($D67="","",SUMIF('TALLY BOX DUMP'!$1:$1,'ACH CALC'!G$2,'TALLY BOX DUMP'!66:66)+Y67)</f>
        <v>0</v>
      </c>
      <c r="H67" s="21">
        <f t="shared" ca="1" si="0"/>
        <v>0</v>
      </c>
      <c r="I67" s="21">
        <f ca="1">IF($D67="","",SUMIF('TALLY BOX DUMP'!$1:$1,'ACH CALC'!I$2,'TALLY BOX DUMP'!66:66)+AA67)</f>
        <v>0</v>
      </c>
      <c r="J67" s="21">
        <f ca="1">IF($D67="","",SUMIF('TALLY BOX DUMP'!$1:$1,'ACH CALC'!J$2,'TALLY BOX DUMP'!66:66)+AB67)</f>
        <v>0</v>
      </c>
      <c r="K67" s="21">
        <f ca="1">IF($D67="","",SUMIF('TALLY BOX DUMP'!$1:$1,'ACH CALC'!K$2,'TALLY BOX DUMP'!66:66)+AC67)</f>
        <v>0</v>
      </c>
      <c r="L67" s="21">
        <f ca="1">IF($D67="","",SUMIF('TALLY BOX DUMP'!$1:$1,'ACH CALC'!L$2,'TALLY BOX DUMP'!66:66))</f>
        <v>0</v>
      </c>
      <c r="M67" s="21">
        <f ca="1">IF($D67="","",SUMIF('TALLY BOX DUMP'!$1:$1,'ACH CALC'!M$2,'TALLY BOX DUMP'!66:66)+AD67)</f>
        <v>0</v>
      </c>
      <c r="N67" s="21">
        <f ca="1">IF($D67="","",SUMIF('TALLY BOX DUMP'!$1:$1,'ACH CALC'!N$2,'TALLY BOX DUMP'!66:66))</f>
        <v>0</v>
      </c>
      <c r="O67" s="21">
        <f ca="1">IF($D67="","",SUMIF('TALLY BOX DUMP'!$1:$1,'ACH CALC'!O$2,'TALLY BOX DUMP'!66:66))</f>
        <v>0</v>
      </c>
      <c r="P67" s="21">
        <f ca="1">IF($D67="","",SUMIF('TALLY BOX DUMP'!$1:$1,'ACH CALC'!P$2,'TALLY BOX DUMP'!66:66))</f>
        <v>0</v>
      </c>
      <c r="Q67" s="21">
        <f t="shared" ca="1" si="1"/>
        <v>0</v>
      </c>
      <c r="R67" s="21">
        <f ca="1">IF($D67="","",SUMIF('TALLY BOX DUMP'!$1:$1,'ACH CALC'!R$2,'TALLY BOX DUMP'!66:66))</f>
        <v>0</v>
      </c>
      <c r="S67" s="21">
        <f ca="1">IF($D67="","",SUMIF('TALLY BOX DUMP'!$1:$1,'ACH CALC'!S$2,'TALLY BOX DUMP'!66:66))</f>
        <v>0</v>
      </c>
      <c r="T67" s="21">
        <f ca="1">IF($D67="","",SUMIF('TALLY BOX DUMP'!$1:$1,'ACH CALC'!T$2,'TALLY BOX DUMP'!66:66))</f>
        <v>0</v>
      </c>
      <c r="U67" s="21">
        <f ca="1">IF($D67="","",SUMIF('TALLY BOX DUMP'!$1:$1,'ACH CALC'!U$2,'TALLY BOX DUMP'!66:66))</f>
        <v>0</v>
      </c>
      <c r="V67" s="21">
        <f ca="1">IF($D67="","",SUMIF('TALLY BOX DUMP'!$1:$1,'ACH CALC'!V$2,'TALLY BOX DUMP'!66:66))</f>
        <v>0</v>
      </c>
      <c r="W67" s="21">
        <f ca="1">IF($D67="","",SUMIF('TALLY BOX DUMP'!$1:$1,'ACH CALC'!W$2,'TALLY BOX DUMP'!66:66))</f>
        <v>0</v>
      </c>
      <c r="X67" s="21">
        <f ca="1">IF($D67="","",SUMIF('TALLY BOX DUMP'!$1:$1,'ACH CALC'!X$2,'TALLY BOX DUMP'!66:66))</f>
        <v>0</v>
      </c>
      <c r="Y67" s="21">
        <f ca="1">IF($D67="","",SUMIF('TALLY BOX DUMP'!$1:$1,'ACH CALC'!Y$2,'TALLY BOX DUMP'!66:66))</f>
        <v>0</v>
      </c>
      <c r="Z67" s="21">
        <f ca="1">IF($D67="","",SUMIF('TALLY BOX DUMP'!$1:$1,'ACH CALC'!Z$2,'TALLY BOX DUMP'!66:66)+AE67)</f>
        <v>0</v>
      </c>
      <c r="AA67" s="21">
        <f ca="1">IF($D67="","",SUMIF('TALLY BOX DUMP'!$1:$1,'ACH CALC'!AA$2,'TALLY BOX DUMP'!66:66))</f>
        <v>0</v>
      </c>
      <c r="AB67" s="21">
        <f ca="1">IF($D67="","",SUMIF('TALLY BOX DUMP'!$1:$1,'ACH CALC'!AB$2,'TALLY BOX DUMP'!66:66))</f>
        <v>0</v>
      </c>
      <c r="AC67" s="21">
        <f ca="1">IF($D67="","",SUMIF('TALLY BOX DUMP'!$1:$1,'ACH CALC'!AC$2,'TALLY BOX DUMP'!66:66))</f>
        <v>0</v>
      </c>
      <c r="AD67" s="21">
        <f ca="1">IF($D67="","",SUMIF('TALLY BOX DUMP'!$1:$1,'ACH CALC'!AD$2,'TALLY BOX DUMP'!66:66))</f>
        <v>0</v>
      </c>
      <c r="AE67" s="21">
        <f ca="1">IF($D67="","",SUMIF('TALLY BOX DUMP'!$1:$1,'ACH CALC'!AE$2,'TALLY BOX DUMP'!66:66))</f>
        <v>0</v>
      </c>
      <c r="AF67" s="21">
        <f ca="1">IF($D67="","",SUMIF('TALLY BOX DUMP'!$1:$1,'ACH CALC'!AF$2,'TALLY BOX DUMP'!66:66))</f>
        <v>0</v>
      </c>
      <c r="AG67" s="21">
        <f ca="1">IF($D67="","",SUMIF('TALLY BOX DUMP'!$1:$1,'ACH CALC'!AG$2,'TALLY BOX DUMP'!66:66))</f>
        <v>0</v>
      </c>
      <c r="AH67" s="21">
        <f ca="1">IF($D67="","",SUMIF('TALLY BOX DUMP'!$1:$1,'ACH CALC'!AH$2,'TALLY BOX DUMP'!66:66))</f>
        <v>0</v>
      </c>
      <c r="AI67" s="21">
        <f ca="1">IF($D67="","",SUMIF('TALLY BOX DUMP'!$1:$1,'ACH CALC'!AI$2,'TALLY BOX DUMP'!66:66))</f>
        <v>0</v>
      </c>
      <c r="AJ67" s="21">
        <f ca="1">IF($D67="","",SUMIF('TALLY BOX DUMP'!$1:$1,'ACH CALC'!AJ$2,'TALLY BOX DUMP'!66:66))</f>
        <v>0</v>
      </c>
      <c r="AK67" s="21">
        <f ca="1">IF($D67="","",SUMIF('TALLY BOX DUMP'!$1:$1,'ACH CALC'!AK$2,'TALLY BOX DUMP'!66:66))</f>
        <v>0</v>
      </c>
      <c r="AL67" s="21">
        <f ca="1">IF($D67="","",ROUND(SUMIF('TALLY KG DUMP'!$1:$1,'ACH CALC'!AL$2,'TALLY KG DUMP'!66:66)/30,1))</f>
        <v>0</v>
      </c>
      <c r="AM67" s="21">
        <f ca="1">IF($D67="","",SUMIF('TALLY BOX DUMP'!$1:$1,'ACH CALC'!AM$2,'TALLY BOX DUMP'!66:66))</f>
        <v>0</v>
      </c>
      <c r="AN67" s="21">
        <f ca="1">IF($D67="","",SUMIF('TALLY BOX DUMP'!$1:$1,'ACH CALC'!AN$2,'TALLY BOX DUMP'!66:66))</f>
        <v>0</v>
      </c>
      <c r="AO67" s="21">
        <f ca="1">IF($D67="","",SUMIF('TALLY BOX DUMP'!$1:$1,'ACH CALC'!AO$2,'TALLY BOX DUMP'!66:66))</f>
        <v>0</v>
      </c>
      <c r="AP67" s="21">
        <f ca="1">IF($D67="","",SUMIF('TALLY BOX DUMP'!$1:$1,'ACH CALC'!AP$2,'TALLY BOX DUMP'!66:66))</f>
        <v>0</v>
      </c>
      <c r="AQ67" s="21">
        <f ca="1">IF($D67="","",ROUND(SUMIF('TALLY KG DUMP'!$1:$1,'ACH CALC'!AQ$2,'TALLY KG DUMP'!66:66)/30,1))</f>
        <v>0</v>
      </c>
      <c r="AR67" s="21">
        <f ca="1">IF($D67="","",SUMIF('TALLY BOX DUMP'!$1:$1,'ACH CALC'!AR$2,'TALLY BOX DUMP'!66:66))</f>
        <v>0</v>
      </c>
      <c r="AS67" s="21">
        <f ca="1">IF($D67="","",SUMIF('TALLY BOX DUMP'!$1:$1,'ACH CALC'!AS$2,'TALLY BOX DUMP'!66:66))</f>
        <v>0</v>
      </c>
      <c r="AT67" s="21">
        <f ca="1">IF($D67="","",SUMIF('TALLY BOX DUMP'!$1:$1,'ACH CALC'!AT$2,'TALLY BOX DUMP'!66:66))</f>
        <v>0</v>
      </c>
      <c r="AU67" s="21">
        <f ca="1">IF($D67="","",SUMIF('TALLY BOX DUMP'!$1:$1,'ACH CALC'!AU$2,'TALLY BOX DUMP'!66:66))</f>
        <v>0</v>
      </c>
      <c r="AV67" s="21">
        <f ca="1">IF($D67="","",SUMIF('TALLY BOX DUMP'!$1:$1,'ACH CALC'!AV$2,'TALLY BOX DUMP'!66:66))</f>
        <v>0</v>
      </c>
      <c r="AW67" s="21">
        <f ca="1">IF($D67="","",SUMIF('TALLY BOX DUMP'!$1:$1,'ACH CALC'!AW$2,'TALLY BOX DUMP'!66:66))</f>
        <v>0</v>
      </c>
      <c r="AX67" s="21">
        <f ca="1">IF($D67="","",SUMIF('TALLY BOX DUMP'!$1:$1,'ACH CALC'!AX$2,'TALLY BOX DUMP'!66:66))</f>
        <v>0</v>
      </c>
      <c r="AY67" s="21">
        <f ca="1">IF($D67="","",SUMIF('TALLY BOX DUMP'!$1:$1,'ACH CALC'!AY$2,'TALLY BOX DUMP'!66:66))</f>
        <v>0</v>
      </c>
      <c r="AZ67" s="21">
        <f ca="1">IF($D67="","",SUMIF('TALLY BOX DUMP'!$1:$1,'ACH CALC'!AZ$2,'TALLY BOX DUMP'!66:66))</f>
        <v>0</v>
      </c>
      <c r="BA67" s="69">
        <f>(SUMIF('TALLY KG DUMP'!$2:$2,"Qty",'TALLY KG DUMP'!66:66)/1000)-(SUMIF('TALLY KG DUMP'!$1:$1,"GL",'TALLY KG DUMP'!66:66)/1000)</f>
        <v>0</v>
      </c>
      <c r="BB67" s="21" t="b">
        <f t="shared" ca="1" si="2"/>
        <v>1</v>
      </c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</row>
    <row r="68" spans="2:75" x14ac:dyDescent="0.25">
      <c r="B68" s="21" t="str">
        <f ca="1"/>
        <v>65</v>
      </c>
      <c r="C68" s="21" t="str">
        <f ca="1"/>
        <v>SUN01960</v>
      </c>
      <c r="D68" s="21" t="str">
        <f ca="1"/>
        <v>KARAMADAI, SREE MAHALAKSHMI OIL MILLS</v>
      </c>
      <c r="E68" s="21">
        <f ca="1">IF($D68="","",(SUMIF('TALLY KG DUMP'!$2:$2,"Qty",'TALLY KG DUMP'!67:67)/1000)-(SUMIF('TALLY KG DUMP'!$1:$1,"GL",'TALLY KG DUMP'!67:67)/1000))</f>
        <v>0</v>
      </c>
      <c r="F68" s="21">
        <f ca="1">IF($D68="","",(SUMIF('TALLY KG DUMP'!$1:$1,'ACH CALC'!F$2,'TALLY KG DUMP'!67:67)/1000))</f>
        <v>0</v>
      </c>
      <c r="G68" s="21">
        <f ca="1">IF($D68="","",SUMIF('TALLY BOX DUMP'!$1:$1,'ACH CALC'!G$2,'TALLY BOX DUMP'!67:67)+Y68)</f>
        <v>0</v>
      </c>
      <c r="H68" s="21">
        <f t="shared" ca="1" si="0"/>
        <v>0</v>
      </c>
      <c r="I68" s="21">
        <f ca="1">IF($D68="","",SUMIF('TALLY BOX DUMP'!$1:$1,'ACH CALC'!I$2,'TALLY BOX DUMP'!67:67)+AA68)</f>
        <v>0</v>
      </c>
      <c r="J68" s="21">
        <f ca="1">IF($D68="","",SUMIF('TALLY BOX DUMP'!$1:$1,'ACH CALC'!J$2,'TALLY BOX DUMP'!67:67)+AB68)</f>
        <v>0</v>
      </c>
      <c r="K68" s="21">
        <f ca="1">IF($D68="","",SUMIF('TALLY BOX DUMP'!$1:$1,'ACH CALC'!K$2,'TALLY BOX DUMP'!67:67)+AC68)</f>
        <v>0</v>
      </c>
      <c r="L68" s="21">
        <f ca="1">IF($D68="","",SUMIF('TALLY BOX DUMP'!$1:$1,'ACH CALC'!L$2,'TALLY BOX DUMP'!67:67))</f>
        <v>0</v>
      </c>
      <c r="M68" s="21">
        <f ca="1">IF($D68="","",SUMIF('TALLY BOX DUMP'!$1:$1,'ACH CALC'!M$2,'TALLY BOX DUMP'!67:67)+AD68)</f>
        <v>0</v>
      </c>
      <c r="N68" s="21">
        <f ca="1">IF($D68="","",SUMIF('TALLY BOX DUMP'!$1:$1,'ACH CALC'!N$2,'TALLY BOX DUMP'!67:67))</f>
        <v>0</v>
      </c>
      <c r="O68" s="21">
        <f ca="1">IF($D68="","",SUMIF('TALLY BOX DUMP'!$1:$1,'ACH CALC'!O$2,'TALLY BOX DUMP'!67:67))</f>
        <v>0</v>
      </c>
      <c r="P68" s="21">
        <f ca="1">IF($D68="","",SUMIF('TALLY BOX DUMP'!$1:$1,'ACH CALC'!P$2,'TALLY BOX DUMP'!67:67))</f>
        <v>0</v>
      </c>
      <c r="Q68" s="21">
        <f t="shared" ca="1" si="1"/>
        <v>0</v>
      </c>
      <c r="R68" s="21">
        <f ca="1">IF($D68="","",SUMIF('TALLY BOX DUMP'!$1:$1,'ACH CALC'!R$2,'TALLY BOX DUMP'!67:67))</f>
        <v>0</v>
      </c>
      <c r="S68" s="21">
        <f ca="1">IF($D68="","",SUMIF('TALLY BOX DUMP'!$1:$1,'ACH CALC'!S$2,'TALLY BOX DUMP'!67:67))</f>
        <v>0</v>
      </c>
      <c r="T68" s="21">
        <f ca="1">IF($D68="","",SUMIF('TALLY BOX DUMP'!$1:$1,'ACH CALC'!T$2,'TALLY BOX DUMP'!67:67))</f>
        <v>0</v>
      </c>
      <c r="U68" s="21">
        <f ca="1">IF($D68="","",SUMIF('TALLY BOX DUMP'!$1:$1,'ACH CALC'!U$2,'TALLY BOX DUMP'!67:67))</f>
        <v>0</v>
      </c>
      <c r="V68" s="21">
        <f ca="1">IF($D68="","",SUMIF('TALLY BOX DUMP'!$1:$1,'ACH CALC'!V$2,'TALLY BOX DUMP'!67:67))</f>
        <v>0</v>
      </c>
      <c r="W68" s="21">
        <f ca="1">IF($D68="","",SUMIF('TALLY BOX DUMP'!$1:$1,'ACH CALC'!W$2,'TALLY BOX DUMP'!67:67))</f>
        <v>0</v>
      </c>
      <c r="X68" s="21">
        <f ca="1">IF($D68="","",SUMIF('TALLY BOX DUMP'!$1:$1,'ACH CALC'!X$2,'TALLY BOX DUMP'!67:67))</f>
        <v>0</v>
      </c>
      <c r="Y68" s="21">
        <f ca="1">IF($D68="","",SUMIF('TALLY BOX DUMP'!$1:$1,'ACH CALC'!Y$2,'TALLY BOX DUMP'!67:67))</f>
        <v>0</v>
      </c>
      <c r="Z68" s="21">
        <f ca="1">IF($D68="","",SUMIF('TALLY BOX DUMP'!$1:$1,'ACH CALC'!Z$2,'TALLY BOX DUMP'!67:67)+AE68)</f>
        <v>0</v>
      </c>
      <c r="AA68" s="21">
        <f ca="1">IF($D68="","",SUMIF('TALLY BOX DUMP'!$1:$1,'ACH CALC'!AA$2,'TALLY BOX DUMP'!67:67))</f>
        <v>0</v>
      </c>
      <c r="AB68" s="21">
        <f ca="1">IF($D68="","",SUMIF('TALLY BOX DUMP'!$1:$1,'ACH CALC'!AB$2,'TALLY BOX DUMP'!67:67))</f>
        <v>0</v>
      </c>
      <c r="AC68" s="21">
        <f ca="1">IF($D68="","",SUMIF('TALLY BOX DUMP'!$1:$1,'ACH CALC'!AC$2,'TALLY BOX DUMP'!67:67))</f>
        <v>0</v>
      </c>
      <c r="AD68" s="21">
        <f ca="1">IF($D68="","",SUMIF('TALLY BOX DUMP'!$1:$1,'ACH CALC'!AD$2,'TALLY BOX DUMP'!67:67))</f>
        <v>0</v>
      </c>
      <c r="AE68" s="21">
        <f ca="1">IF($D68="","",SUMIF('TALLY BOX DUMP'!$1:$1,'ACH CALC'!AE$2,'TALLY BOX DUMP'!67:67))</f>
        <v>0</v>
      </c>
      <c r="AF68" s="21">
        <f ca="1">IF($D68="","",SUMIF('TALLY BOX DUMP'!$1:$1,'ACH CALC'!AF$2,'TALLY BOX DUMP'!67:67))</f>
        <v>0</v>
      </c>
      <c r="AG68" s="21">
        <f ca="1">IF($D68="","",SUMIF('TALLY BOX DUMP'!$1:$1,'ACH CALC'!AG$2,'TALLY BOX DUMP'!67:67))</f>
        <v>0</v>
      </c>
      <c r="AH68" s="21">
        <f ca="1">IF($D68="","",SUMIF('TALLY BOX DUMP'!$1:$1,'ACH CALC'!AH$2,'TALLY BOX DUMP'!67:67))</f>
        <v>0</v>
      </c>
      <c r="AI68" s="21">
        <f ca="1">IF($D68="","",SUMIF('TALLY BOX DUMP'!$1:$1,'ACH CALC'!AI$2,'TALLY BOX DUMP'!67:67))</f>
        <v>0</v>
      </c>
      <c r="AJ68" s="21">
        <f ca="1">IF($D68="","",SUMIF('TALLY BOX DUMP'!$1:$1,'ACH CALC'!AJ$2,'TALLY BOX DUMP'!67:67))</f>
        <v>0</v>
      </c>
      <c r="AK68" s="21">
        <f ca="1">IF($D68="","",SUMIF('TALLY BOX DUMP'!$1:$1,'ACH CALC'!AK$2,'TALLY BOX DUMP'!67:67))</f>
        <v>0</v>
      </c>
      <c r="AL68" s="21">
        <f ca="1">IF($D68="","",ROUND(SUMIF('TALLY KG DUMP'!$1:$1,'ACH CALC'!AL$2,'TALLY KG DUMP'!67:67)/30,1))</f>
        <v>0</v>
      </c>
      <c r="AM68" s="21">
        <f ca="1">IF($D68="","",SUMIF('TALLY BOX DUMP'!$1:$1,'ACH CALC'!AM$2,'TALLY BOX DUMP'!67:67))</f>
        <v>0</v>
      </c>
      <c r="AN68" s="21">
        <f ca="1">IF($D68="","",SUMIF('TALLY BOX DUMP'!$1:$1,'ACH CALC'!AN$2,'TALLY BOX DUMP'!67:67))</f>
        <v>0</v>
      </c>
      <c r="AO68" s="21">
        <f ca="1">IF($D68="","",SUMIF('TALLY BOX DUMP'!$1:$1,'ACH CALC'!AO$2,'TALLY BOX DUMP'!67:67))</f>
        <v>0</v>
      </c>
      <c r="AP68" s="21">
        <f ca="1">IF($D68="","",SUMIF('TALLY BOX DUMP'!$1:$1,'ACH CALC'!AP$2,'TALLY BOX DUMP'!67:67))</f>
        <v>0</v>
      </c>
      <c r="AQ68" s="21">
        <f ca="1">IF($D68="","",ROUND(SUMIF('TALLY KG DUMP'!$1:$1,'ACH CALC'!AQ$2,'TALLY KG DUMP'!67:67)/30,1))</f>
        <v>0</v>
      </c>
      <c r="AR68" s="21">
        <f ca="1">IF($D68="","",SUMIF('TALLY BOX DUMP'!$1:$1,'ACH CALC'!AR$2,'TALLY BOX DUMP'!67:67))</f>
        <v>0</v>
      </c>
      <c r="AS68" s="21">
        <f ca="1">IF($D68="","",SUMIF('TALLY BOX DUMP'!$1:$1,'ACH CALC'!AS$2,'TALLY BOX DUMP'!67:67))</f>
        <v>0</v>
      </c>
      <c r="AT68" s="21">
        <f ca="1">IF($D68="","",SUMIF('TALLY BOX DUMP'!$1:$1,'ACH CALC'!AT$2,'TALLY BOX DUMP'!67:67))</f>
        <v>0</v>
      </c>
      <c r="AU68" s="21">
        <f ca="1">IF($D68="","",SUMIF('TALLY BOX DUMP'!$1:$1,'ACH CALC'!AU$2,'TALLY BOX DUMP'!67:67))</f>
        <v>0</v>
      </c>
      <c r="AV68" s="21">
        <f ca="1">IF($D68="","",SUMIF('TALLY BOX DUMP'!$1:$1,'ACH CALC'!AV$2,'TALLY BOX DUMP'!67:67))</f>
        <v>0</v>
      </c>
      <c r="AW68" s="21">
        <f ca="1">IF($D68="","",SUMIF('TALLY BOX DUMP'!$1:$1,'ACH CALC'!AW$2,'TALLY BOX DUMP'!67:67))</f>
        <v>0</v>
      </c>
      <c r="AX68" s="21">
        <f ca="1">IF($D68="","",SUMIF('TALLY BOX DUMP'!$1:$1,'ACH CALC'!AX$2,'TALLY BOX DUMP'!67:67))</f>
        <v>0</v>
      </c>
      <c r="AY68" s="21">
        <f ca="1">IF($D68="","",SUMIF('TALLY BOX DUMP'!$1:$1,'ACH CALC'!AY$2,'TALLY BOX DUMP'!67:67))</f>
        <v>0</v>
      </c>
      <c r="AZ68" s="21">
        <f ca="1">IF($D68="","",SUMIF('TALLY BOX DUMP'!$1:$1,'ACH CALC'!AZ$2,'TALLY BOX DUMP'!67:67))</f>
        <v>0</v>
      </c>
      <c r="BA68" s="69">
        <f>(SUMIF('TALLY KG DUMP'!$2:$2,"Qty",'TALLY KG DUMP'!67:67)/1000)-(SUMIF('TALLY KG DUMP'!$1:$1,"GL",'TALLY KG DUMP'!67:67)/1000)</f>
        <v>0</v>
      </c>
      <c r="BB68" s="21" t="b">
        <f t="shared" ca="1" si="2"/>
        <v>1</v>
      </c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</row>
    <row r="69" spans="2:75" x14ac:dyDescent="0.25">
      <c r="B69" s="21" t="str">
        <f ca="1"/>
        <v>66</v>
      </c>
      <c r="C69" s="21" t="str">
        <f ca="1"/>
        <v>SUN07207</v>
      </c>
      <c r="D69" s="21" t="str">
        <f ca="1"/>
        <v>AP-MAHALAKSHMI TRADERS</v>
      </c>
      <c r="E69" s="21">
        <f ca="1">IF($D69="","",(SUMIF('TALLY KG DUMP'!$2:$2,"Qty",'TALLY KG DUMP'!68:68)/1000)-(SUMIF('TALLY KG DUMP'!$1:$1,"GL",'TALLY KG DUMP'!68:68)/1000))</f>
        <v>0</v>
      </c>
      <c r="F69" s="21">
        <f ca="1">IF($D69="","",(SUMIF('TALLY KG DUMP'!$1:$1,'ACH CALC'!F$2,'TALLY KG DUMP'!68:68)/1000))</f>
        <v>0</v>
      </c>
      <c r="G69" s="21">
        <f ca="1">IF($D69="","",SUMIF('TALLY BOX DUMP'!$1:$1,'ACH CALC'!G$2,'TALLY BOX DUMP'!68:68)+Y69)</f>
        <v>0</v>
      </c>
      <c r="H69" s="21">
        <f t="shared" ref="H69:H132" ca="1" si="3">IF($D69="","",SUM(I69:N69))</f>
        <v>0</v>
      </c>
      <c r="I69" s="21">
        <f ca="1">IF($D69="","",SUMIF('TALLY BOX DUMP'!$1:$1,'ACH CALC'!I$2,'TALLY BOX DUMP'!68:68)+AA69)</f>
        <v>0</v>
      </c>
      <c r="J69" s="21">
        <f ca="1">IF($D69="","",SUMIF('TALLY BOX DUMP'!$1:$1,'ACH CALC'!J$2,'TALLY BOX DUMP'!68:68)+AB69)</f>
        <v>0</v>
      </c>
      <c r="K69" s="21">
        <f ca="1">IF($D69="","",SUMIF('TALLY BOX DUMP'!$1:$1,'ACH CALC'!K$2,'TALLY BOX DUMP'!68:68)+AC69)</f>
        <v>0</v>
      </c>
      <c r="L69" s="21">
        <f ca="1">IF($D69="","",SUMIF('TALLY BOX DUMP'!$1:$1,'ACH CALC'!L$2,'TALLY BOX DUMP'!68:68))</f>
        <v>0</v>
      </c>
      <c r="M69" s="21">
        <f ca="1">IF($D69="","",SUMIF('TALLY BOX DUMP'!$1:$1,'ACH CALC'!M$2,'TALLY BOX DUMP'!68:68)+AD69)</f>
        <v>0</v>
      </c>
      <c r="N69" s="21">
        <f ca="1">IF($D69="","",SUMIF('TALLY BOX DUMP'!$1:$1,'ACH CALC'!N$2,'TALLY BOX DUMP'!68:68))</f>
        <v>0</v>
      </c>
      <c r="O69" s="21">
        <f ca="1">IF($D69="","",SUMIF('TALLY BOX DUMP'!$1:$1,'ACH CALC'!O$2,'TALLY BOX DUMP'!68:68))</f>
        <v>0</v>
      </c>
      <c r="P69" s="21">
        <f ca="1">IF($D69="","",SUMIF('TALLY BOX DUMP'!$1:$1,'ACH CALC'!P$2,'TALLY BOX DUMP'!68:68))</f>
        <v>0</v>
      </c>
      <c r="Q69" s="21">
        <f t="shared" ref="Q69:Q132" ca="1" si="4">IF($D69="","",SUM(R69:X69))</f>
        <v>0</v>
      </c>
      <c r="R69" s="21">
        <f ca="1">IF($D69="","",SUMIF('TALLY BOX DUMP'!$1:$1,'ACH CALC'!R$2,'TALLY BOX DUMP'!68:68))</f>
        <v>0</v>
      </c>
      <c r="S69" s="21">
        <f ca="1">IF($D69="","",SUMIF('TALLY BOX DUMP'!$1:$1,'ACH CALC'!S$2,'TALLY BOX DUMP'!68:68))</f>
        <v>0</v>
      </c>
      <c r="T69" s="21">
        <f ca="1">IF($D69="","",SUMIF('TALLY BOX DUMP'!$1:$1,'ACH CALC'!T$2,'TALLY BOX DUMP'!68:68))</f>
        <v>0</v>
      </c>
      <c r="U69" s="21">
        <f ca="1">IF($D69="","",SUMIF('TALLY BOX DUMP'!$1:$1,'ACH CALC'!U$2,'TALLY BOX DUMP'!68:68))</f>
        <v>0</v>
      </c>
      <c r="V69" s="21">
        <f ca="1">IF($D69="","",SUMIF('TALLY BOX DUMP'!$1:$1,'ACH CALC'!V$2,'TALLY BOX DUMP'!68:68))</f>
        <v>0</v>
      </c>
      <c r="W69" s="21">
        <f ca="1">IF($D69="","",SUMIF('TALLY BOX DUMP'!$1:$1,'ACH CALC'!W$2,'TALLY BOX DUMP'!68:68))</f>
        <v>0</v>
      </c>
      <c r="X69" s="21">
        <f ca="1">IF($D69="","",SUMIF('TALLY BOX DUMP'!$1:$1,'ACH CALC'!X$2,'TALLY BOX DUMP'!68:68))</f>
        <v>0</v>
      </c>
      <c r="Y69" s="21">
        <f ca="1">IF($D69="","",SUMIF('TALLY BOX DUMP'!$1:$1,'ACH CALC'!Y$2,'TALLY BOX DUMP'!68:68))</f>
        <v>0</v>
      </c>
      <c r="Z69" s="21">
        <f ca="1">IF($D69="","",SUMIF('TALLY BOX DUMP'!$1:$1,'ACH CALC'!Z$2,'TALLY BOX DUMP'!68:68)+AE69)</f>
        <v>0</v>
      </c>
      <c r="AA69" s="21">
        <f ca="1">IF($D69="","",SUMIF('TALLY BOX DUMP'!$1:$1,'ACH CALC'!AA$2,'TALLY BOX DUMP'!68:68))</f>
        <v>0</v>
      </c>
      <c r="AB69" s="21">
        <f ca="1">IF($D69="","",SUMIF('TALLY BOX DUMP'!$1:$1,'ACH CALC'!AB$2,'TALLY BOX DUMP'!68:68))</f>
        <v>0</v>
      </c>
      <c r="AC69" s="21">
        <f ca="1">IF($D69="","",SUMIF('TALLY BOX DUMP'!$1:$1,'ACH CALC'!AC$2,'TALLY BOX DUMP'!68:68))</f>
        <v>0</v>
      </c>
      <c r="AD69" s="21">
        <f ca="1">IF($D69="","",SUMIF('TALLY BOX DUMP'!$1:$1,'ACH CALC'!AD$2,'TALLY BOX DUMP'!68:68))</f>
        <v>0</v>
      </c>
      <c r="AE69" s="21">
        <f ca="1">IF($D69="","",SUMIF('TALLY BOX DUMP'!$1:$1,'ACH CALC'!AE$2,'TALLY BOX DUMP'!68:68))</f>
        <v>0</v>
      </c>
      <c r="AF69" s="21">
        <f ca="1">IF($D69="","",SUMIF('TALLY BOX DUMP'!$1:$1,'ACH CALC'!AF$2,'TALLY BOX DUMP'!68:68))</f>
        <v>0</v>
      </c>
      <c r="AG69" s="21">
        <f ca="1">IF($D69="","",SUMIF('TALLY BOX DUMP'!$1:$1,'ACH CALC'!AG$2,'TALLY BOX DUMP'!68:68))</f>
        <v>0</v>
      </c>
      <c r="AH69" s="21">
        <f ca="1">IF($D69="","",SUMIF('TALLY BOX DUMP'!$1:$1,'ACH CALC'!AH$2,'TALLY BOX DUMP'!68:68))</f>
        <v>0</v>
      </c>
      <c r="AI69" s="21">
        <f ca="1">IF($D69="","",SUMIF('TALLY BOX DUMP'!$1:$1,'ACH CALC'!AI$2,'TALLY BOX DUMP'!68:68))</f>
        <v>0</v>
      </c>
      <c r="AJ69" s="21">
        <f ca="1">IF($D69="","",SUMIF('TALLY BOX DUMP'!$1:$1,'ACH CALC'!AJ$2,'TALLY BOX DUMP'!68:68))</f>
        <v>0</v>
      </c>
      <c r="AK69" s="21">
        <f ca="1">IF($D69="","",SUMIF('TALLY BOX DUMP'!$1:$1,'ACH CALC'!AK$2,'TALLY BOX DUMP'!68:68))</f>
        <v>0</v>
      </c>
      <c r="AL69" s="21">
        <f ca="1">IF($D69="","",ROUND(SUMIF('TALLY KG DUMP'!$1:$1,'ACH CALC'!AL$2,'TALLY KG DUMP'!68:68)/30,1))</f>
        <v>0</v>
      </c>
      <c r="AM69" s="21">
        <f ca="1">IF($D69="","",SUMIF('TALLY BOX DUMP'!$1:$1,'ACH CALC'!AM$2,'TALLY BOX DUMP'!68:68))</f>
        <v>0</v>
      </c>
      <c r="AN69" s="21">
        <f ca="1">IF($D69="","",SUMIF('TALLY BOX DUMP'!$1:$1,'ACH CALC'!AN$2,'TALLY BOX DUMP'!68:68))</f>
        <v>0</v>
      </c>
      <c r="AO69" s="21">
        <f ca="1">IF($D69="","",SUMIF('TALLY BOX DUMP'!$1:$1,'ACH CALC'!AO$2,'TALLY BOX DUMP'!68:68))</f>
        <v>0</v>
      </c>
      <c r="AP69" s="21">
        <f ca="1">IF($D69="","",SUMIF('TALLY BOX DUMP'!$1:$1,'ACH CALC'!AP$2,'TALLY BOX DUMP'!68:68))</f>
        <v>0</v>
      </c>
      <c r="AQ69" s="21">
        <f ca="1">IF($D69="","",ROUND(SUMIF('TALLY KG DUMP'!$1:$1,'ACH CALC'!AQ$2,'TALLY KG DUMP'!68:68)/30,1))</f>
        <v>0</v>
      </c>
      <c r="AR69" s="21">
        <f ca="1">IF($D69="","",SUMIF('TALLY BOX DUMP'!$1:$1,'ACH CALC'!AR$2,'TALLY BOX DUMP'!68:68))</f>
        <v>0</v>
      </c>
      <c r="AS69" s="21">
        <f ca="1">IF($D69="","",SUMIF('TALLY BOX DUMP'!$1:$1,'ACH CALC'!AS$2,'TALLY BOX DUMP'!68:68))</f>
        <v>0</v>
      </c>
      <c r="AT69" s="21">
        <f ca="1">IF($D69="","",SUMIF('TALLY BOX DUMP'!$1:$1,'ACH CALC'!AT$2,'TALLY BOX DUMP'!68:68))</f>
        <v>0</v>
      </c>
      <c r="AU69" s="21">
        <f ca="1">IF($D69="","",SUMIF('TALLY BOX DUMP'!$1:$1,'ACH CALC'!AU$2,'TALLY BOX DUMP'!68:68))</f>
        <v>0</v>
      </c>
      <c r="AV69" s="21">
        <f ca="1">IF($D69="","",SUMIF('TALLY BOX DUMP'!$1:$1,'ACH CALC'!AV$2,'TALLY BOX DUMP'!68:68))</f>
        <v>0</v>
      </c>
      <c r="AW69" s="21">
        <f ca="1">IF($D69="","",SUMIF('TALLY BOX DUMP'!$1:$1,'ACH CALC'!AW$2,'TALLY BOX DUMP'!68:68))</f>
        <v>0</v>
      </c>
      <c r="AX69" s="21">
        <f ca="1">IF($D69="","",SUMIF('TALLY BOX DUMP'!$1:$1,'ACH CALC'!AX$2,'TALLY BOX DUMP'!68:68))</f>
        <v>0</v>
      </c>
      <c r="AY69" s="21">
        <f ca="1">IF($D69="","",SUMIF('TALLY BOX DUMP'!$1:$1,'ACH CALC'!AY$2,'TALLY BOX DUMP'!68:68))</f>
        <v>0</v>
      </c>
      <c r="AZ69" s="21">
        <f ca="1">IF($D69="","",SUMIF('TALLY BOX DUMP'!$1:$1,'ACH CALC'!AZ$2,'TALLY BOX DUMP'!68:68))</f>
        <v>0</v>
      </c>
      <c r="BA69" s="69">
        <f>(SUMIF('TALLY KG DUMP'!$2:$2,"Qty",'TALLY KG DUMP'!68:68)/1000)-(SUMIF('TALLY KG DUMP'!$1:$1,"GL",'TALLY KG DUMP'!68:68)/1000)</f>
        <v>0</v>
      </c>
      <c r="BB69" s="21" t="b">
        <f t="shared" ref="BB69:BB132" ca="1" si="5">BA69=E69</f>
        <v>1</v>
      </c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</row>
    <row r="70" spans="2:75" x14ac:dyDescent="0.25">
      <c r="B70" s="21" t="str">
        <f ca="1"/>
        <v>67</v>
      </c>
      <c r="C70" s="21" t="str">
        <f ca="1"/>
        <v>SUN06521</v>
      </c>
      <c r="D70" s="21" t="str">
        <f ca="1"/>
        <v>BLR - KOF</v>
      </c>
      <c r="E70" s="21">
        <f ca="1">IF($D70="","",(SUMIF('TALLY KG DUMP'!$2:$2,"Qty",'TALLY KG DUMP'!69:69)/1000)-(SUMIF('TALLY KG DUMP'!$1:$1,"GL",'TALLY KG DUMP'!69:69)/1000))</f>
        <v>0</v>
      </c>
      <c r="F70" s="21">
        <f ca="1">IF($D70="","",(SUMIF('TALLY KG DUMP'!$1:$1,'ACH CALC'!F$2,'TALLY KG DUMP'!69:69)/1000))</f>
        <v>0</v>
      </c>
      <c r="G70" s="21">
        <f ca="1">IF($D70="","",SUMIF('TALLY BOX DUMP'!$1:$1,'ACH CALC'!G$2,'TALLY BOX DUMP'!69:69)+Y70)</f>
        <v>0</v>
      </c>
      <c r="H70" s="21">
        <f t="shared" ca="1" si="3"/>
        <v>0</v>
      </c>
      <c r="I70" s="21">
        <f ca="1">IF($D70="","",SUMIF('TALLY BOX DUMP'!$1:$1,'ACH CALC'!I$2,'TALLY BOX DUMP'!69:69)+AA70)</f>
        <v>0</v>
      </c>
      <c r="J70" s="21">
        <f ca="1">IF($D70="","",SUMIF('TALLY BOX DUMP'!$1:$1,'ACH CALC'!J$2,'TALLY BOX DUMP'!69:69)+AB70)</f>
        <v>0</v>
      </c>
      <c r="K70" s="21">
        <f ca="1">IF($D70="","",SUMIF('TALLY BOX DUMP'!$1:$1,'ACH CALC'!K$2,'TALLY BOX DUMP'!69:69)+AC70)</f>
        <v>0</v>
      </c>
      <c r="L70" s="21">
        <f ca="1">IF($D70="","",SUMIF('TALLY BOX DUMP'!$1:$1,'ACH CALC'!L$2,'TALLY BOX DUMP'!69:69))</f>
        <v>0</v>
      </c>
      <c r="M70" s="21">
        <f ca="1">IF($D70="","",SUMIF('TALLY BOX DUMP'!$1:$1,'ACH CALC'!M$2,'TALLY BOX DUMP'!69:69)+AD70)</f>
        <v>0</v>
      </c>
      <c r="N70" s="21">
        <f ca="1">IF($D70="","",SUMIF('TALLY BOX DUMP'!$1:$1,'ACH CALC'!N$2,'TALLY BOX DUMP'!69:69))</f>
        <v>0</v>
      </c>
      <c r="O70" s="21">
        <f ca="1">IF($D70="","",SUMIF('TALLY BOX DUMP'!$1:$1,'ACH CALC'!O$2,'TALLY BOX DUMP'!69:69))</f>
        <v>0</v>
      </c>
      <c r="P70" s="21">
        <f ca="1">IF($D70="","",SUMIF('TALLY BOX DUMP'!$1:$1,'ACH CALC'!P$2,'TALLY BOX DUMP'!69:69))</f>
        <v>0</v>
      </c>
      <c r="Q70" s="21">
        <f t="shared" ca="1" si="4"/>
        <v>0</v>
      </c>
      <c r="R70" s="21">
        <f ca="1">IF($D70="","",SUMIF('TALLY BOX DUMP'!$1:$1,'ACH CALC'!R$2,'TALLY BOX DUMP'!69:69))</f>
        <v>0</v>
      </c>
      <c r="S70" s="21">
        <f ca="1">IF($D70="","",SUMIF('TALLY BOX DUMP'!$1:$1,'ACH CALC'!S$2,'TALLY BOX DUMP'!69:69))</f>
        <v>0</v>
      </c>
      <c r="T70" s="21">
        <f ca="1">IF($D70="","",SUMIF('TALLY BOX DUMP'!$1:$1,'ACH CALC'!T$2,'TALLY BOX DUMP'!69:69))</f>
        <v>0</v>
      </c>
      <c r="U70" s="21">
        <f ca="1">IF($D70="","",SUMIF('TALLY BOX DUMP'!$1:$1,'ACH CALC'!U$2,'TALLY BOX DUMP'!69:69))</f>
        <v>0</v>
      </c>
      <c r="V70" s="21">
        <f ca="1">IF($D70="","",SUMIF('TALLY BOX DUMP'!$1:$1,'ACH CALC'!V$2,'TALLY BOX DUMP'!69:69))</f>
        <v>0</v>
      </c>
      <c r="W70" s="21">
        <f ca="1">IF($D70="","",SUMIF('TALLY BOX DUMP'!$1:$1,'ACH CALC'!W$2,'TALLY BOX DUMP'!69:69))</f>
        <v>0</v>
      </c>
      <c r="X70" s="21">
        <f ca="1">IF($D70="","",SUMIF('TALLY BOX DUMP'!$1:$1,'ACH CALC'!X$2,'TALLY BOX DUMP'!69:69))</f>
        <v>0</v>
      </c>
      <c r="Y70" s="21">
        <f ca="1">IF($D70="","",SUMIF('TALLY BOX DUMP'!$1:$1,'ACH CALC'!Y$2,'TALLY BOX DUMP'!69:69))</f>
        <v>0</v>
      </c>
      <c r="Z70" s="21">
        <f ca="1">IF($D70="","",SUMIF('TALLY BOX DUMP'!$1:$1,'ACH CALC'!Z$2,'TALLY BOX DUMP'!69:69)+AE70)</f>
        <v>0</v>
      </c>
      <c r="AA70" s="21">
        <f ca="1">IF($D70="","",SUMIF('TALLY BOX DUMP'!$1:$1,'ACH CALC'!AA$2,'TALLY BOX DUMP'!69:69))</f>
        <v>0</v>
      </c>
      <c r="AB70" s="21">
        <f ca="1">IF($D70="","",SUMIF('TALLY BOX DUMP'!$1:$1,'ACH CALC'!AB$2,'TALLY BOX DUMP'!69:69))</f>
        <v>0</v>
      </c>
      <c r="AC70" s="21">
        <f ca="1">IF($D70="","",SUMIF('TALLY BOX DUMP'!$1:$1,'ACH CALC'!AC$2,'TALLY BOX DUMP'!69:69))</f>
        <v>0</v>
      </c>
      <c r="AD70" s="21">
        <f ca="1">IF($D70="","",SUMIF('TALLY BOX DUMP'!$1:$1,'ACH CALC'!AD$2,'TALLY BOX DUMP'!69:69))</f>
        <v>0</v>
      </c>
      <c r="AE70" s="21">
        <f ca="1">IF($D70="","",SUMIF('TALLY BOX DUMP'!$1:$1,'ACH CALC'!AE$2,'TALLY BOX DUMP'!69:69))</f>
        <v>0</v>
      </c>
      <c r="AF70" s="21">
        <f ca="1">IF($D70="","",SUMIF('TALLY BOX DUMP'!$1:$1,'ACH CALC'!AF$2,'TALLY BOX DUMP'!69:69))</f>
        <v>0</v>
      </c>
      <c r="AG70" s="21">
        <f ca="1">IF($D70="","",SUMIF('TALLY BOX DUMP'!$1:$1,'ACH CALC'!AG$2,'TALLY BOX DUMP'!69:69))</f>
        <v>0</v>
      </c>
      <c r="AH70" s="21">
        <f ca="1">IF($D70="","",SUMIF('TALLY BOX DUMP'!$1:$1,'ACH CALC'!AH$2,'TALLY BOX DUMP'!69:69))</f>
        <v>0</v>
      </c>
      <c r="AI70" s="21">
        <f ca="1">IF($D70="","",SUMIF('TALLY BOX DUMP'!$1:$1,'ACH CALC'!AI$2,'TALLY BOX DUMP'!69:69))</f>
        <v>0</v>
      </c>
      <c r="AJ70" s="21">
        <f ca="1">IF($D70="","",SUMIF('TALLY BOX DUMP'!$1:$1,'ACH CALC'!AJ$2,'TALLY BOX DUMP'!69:69))</f>
        <v>0</v>
      </c>
      <c r="AK70" s="21">
        <f ca="1">IF($D70="","",SUMIF('TALLY BOX DUMP'!$1:$1,'ACH CALC'!AK$2,'TALLY BOX DUMP'!69:69))</f>
        <v>0</v>
      </c>
      <c r="AL70" s="21">
        <f ca="1">IF($D70="","",ROUND(SUMIF('TALLY KG DUMP'!$1:$1,'ACH CALC'!AL$2,'TALLY KG DUMP'!69:69)/30,1))</f>
        <v>0</v>
      </c>
      <c r="AM70" s="21">
        <f ca="1">IF($D70="","",SUMIF('TALLY BOX DUMP'!$1:$1,'ACH CALC'!AM$2,'TALLY BOX DUMP'!69:69))</f>
        <v>0</v>
      </c>
      <c r="AN70" s="21">
        <f ca="1">IF($D70="","",SUMIF('TALLY BOX DUMP'!$1:$1,'ACH CALC'!AN$2,'TALLY BOX DUMP'!69:69))</f>
        <v>0</v>
      </c>
      <c r="AO70" s="21">
        <f ca="1">IF($D70="","",SUMIF('TALLY BOX DUMP'!$1:$1,'ACH CALC'!AO$2,'TALLY BOX DUMP'!69:69))</f>
        <v>0</v>
      </c>
      <c r="AP70" s="21">
        <f ca="1">IF($D70="","",SUMIF('TALLY BOX DUMP'!$1:$1,'ACH CALC'!AP$2,'TALLY BOX DUMP'!69:69))</f>
        <v>0</v>
      </c>
      <c r="AQ70" s="21">
        <f ca="1">IF($D70="","",ROUND(SUMIF('TALLY KG DUMP'!$1:$1,'ACH CALC'!AQ$2,'TALLY KG DUMP'!69:69)/30,1))</f>
        <v>0</v>
      </c>
      <c r="AR70" s="21">
        <f ca="1">IF($D70="","",SUMIF('TALLY BOX DUMP'!$1:$1,'ACH CALC'!AR$2,'TALLY BOX DUMP'!69:69))</f>
        <v>0</v>
      </c>
      <c r="AS70" s="21">
        <f ca="1">IF($D70="","",SUMIF('TALLY BOX DUMP'!$1:$1,'ACH CALC'!AS$2,'TALLY BOX DUMP'!69:69))</f>
        <v>0</v>
      </c>
      <c r="AT70" s="21">
        <f ca="1">IF($D70="","",SUMIF('TALLY BOX DUMP'!$1:$1,'ACH CALC'!AT$2,'TALLY BOX DUMP'!69:69))</f>
        <v>0</v>
      </c>
      <c r="AU70" s="21">
        <f ca="1">IF($D70="","",SUMIF('TALLY BOX DUMP'!$1:$1,'ACH CALC'!AU$2,'TALLY BOX DUMP'!69:69))</f>
        <v>0</v>
      </c>
      <c r="AV70" s="21">
        <f ca="1">IF($D70="","",SUMIF('TALLY BOX DUMP'!$1:$1,'ACH CALC'!AV$2,'TALLY BOX DUMP'!69:69))</f>
        <v>0</v>
      </c>
      <c r="AW70" s="21">
        <f ca="1">IF($D70="","",SUMIF('TALLY BOX DUMP'!$1:$1,'ACH CALC'!AW$2,'TALLY BOX DUMP'!69:69))</f>
        <v>0</v>
      </c>
      <c r="AX70" s="21">
        <f ca="1">IF($D70="","",SUMIF('TALLY BOX DUMP'!$1:$1,'ACH CALC'!AX$2,'TALLY BOX DUMP'!69:69))</f>
        <v>0</v>
      </c>
      <c r="AY70" s="21">
        <f ca="1">IF($D70="","",SUMIF('TALLY BOX DUMP'!$1:$1,'ACH CALC'!AY$2,'TALLY BOX DUMP'!69:69))</f>
        <v>0</v>
      </c>
      <c r="AZ70" s="21">
        <f ca="1">IF($D70="","",SUMIF('TALLY BOX DUMP'!$1:$1,'ACH CALC'!AZ$2,'TALLY BOX DUMP'!69:69))</f>
        <v>0</v>
      </c>
      <c r="BA70" s="69">
        <f>(SUMIF('TALLY KG DUMP'!$2:$2,"Qty",'TALLY KG DUMP'!69:69)/1000)-(SUMIF('TALLY KG DUMP'!$1:$1,"GL",'TALLY KG DUMP'!69:69)/1000)</f>
        <v>0</v>
      </c>
      <c r="BB70" s="21" t="b">
        <f t="shared" ca="1" si="5"/>
        <v>1</v>
      </c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</row>
    <row r="71" spans="2:75" x14ac:dyDescent="0.25">
      <c r="B71" s="21" t="str">
        <f ca="1"/>
        <v>68</v>
      </c>
      <c r="C71" s="21" t="str">
        <f ca="1"/>
        <v>SUN02510</v>
      </c>
      <c r="D71" s="21" t="str">
        <f ca="1"/>
        <v>HARUR P.V. AGENCIES</v>
      </c>
      <c r="E71" s="21">
        <f ca="1">IF($D71="","",(SUMIF('TALLY KG DUMP'!$2:$2,"Qty",'TALLY KG DUMP'!70:70)/1000)-(SUMIF('TALLY KG DUMP'!$1:$1,"GL",'TALLY KG DUMP'!70:70)/1000))</f>
        <v>3.0350000000000001</v>
      </c>
      <c r="F71" s="21">
        <f ca="1">IF($D71="","",(SUMIF('TALLY KG DUMP'!$1:$1,'ACH CALC'!F$2,'TALLY KG DUMP'!70:70)/1000))</f>
        <v>0</v>
      </c>
      <c r="G71" s="21">
        <f ca="1">IF($D71="","",SUMIF('TALLY BOX DUMP'!$1:$1,'ACH CALC'!G$2,'TALLY BOX DUMP'!70:70)+Y71)</f>
        <v>0</v>
      </c>
      <c r="H71" s="21">
        <f t="shared" ca="1" si="3"/>
        <v>0</v>
      </c>
      <c r="I71" s="21">
        <f ca="1">IF($D71="","",SUMIF('TALLY BOX DUMP'!$1:$1,'ACH CALC'!I$2,'TALLY BOX DUMP'!70:70)+AA71)</f>
        <v>0</v>
      </c>
      <c r="J71" s="21">
        <f ca="1">IF($D71="","",SUMIF('TALLY BOX DUMP'!$1:$1,'ACH CALC'!J$2,'TALLY BOX DUMP'!70:70)+AB71)</f>
        <v>0</v>
      </c>
      <c r="K71" s="21">
        <f ca="1">IF($D71="","",SUMIF('TALLY BOX DUMP'!$1:$1,'ACH CALC'!K$2,'TALLY BOX DUMP'!70:70)+AC71)</f>
        <v>0</v>
      </c>
      <c r="L71" s="21">
        <f ca="1">IF($D71="","",SUMIF('TALLY BOX DUMP'!$1:$1,'ACH CALC'!L$2,'TALLY BOX DUMP'!70:70))</f>
        <v>0</v>
      </c>
      <c r="M71" s="21">
        <f ca="1">IF($D71="","",SUMIF('TALLY BOX DUMP'!$1:$1,'ACH CALC'!M$2,'TALLY BOX DUMP'!70:70)+AD71)</f>
        <v>0</v>
      </c>
      <c r="N71" s="21">
        <f ca="1">IF($D71="","",SUMIF('TALLY BOX DUMP'!$1:$1,'ACH CALC'!N$2,'TALLY BOX DUMP'!70:70))</f>
        <v>0</v>
      </c>
      <c r="O71" s="21">
        <f ca="1">IF($D71="","",SUMIF('TALLY BOX DUMP'!$1:$1,'ACH CALC'!O$2,'TALLY BOX DUMP'!70:70))</f>
        <v>0</v>
      </c>
      <c r="P71" s="21">
        <f ca="1">IF($D71="","",SUMIF('TALLY BOX DUMP'!$1:$1,'ACH CALC'!P$2,'TALLY BOX DUMP'!70:70))</f>
        <v>0</v>
      </c>
      <c r="Q71" s="21">
        <f t="shared" ca="1" si="4"/>
        <v>0</v>
      </c>
      <c r="R71" s="21">
        <f ca="1">IF($D71="","",SUMIF('TALLY BOX DUMP'!$1:$1,'ACH CALC'!R$2,'TALLY BOX DUMP'!70:70))</f>
        <v>0</v>
      </c>
      <c r="S71" s="21">
        <f ca="1">IF($D71="","",SUMIF('TALLY BOX DUMP'!$1:$1,'ACH CALC'!S$2,'TALLY BOX DUMP'!70:70))</f>
        <v>0</v>
      </c>
      <c r="T71" s="21">
        <f ca="1">IF($D71="","",SUMIF('TALLY BOX DUMP'!$1:$1,'ACH CALC'!T$2,'TALLY BOX DUMP'!70:70))</f>
        <v>0</v>
      </c>
      <c r="U71" s="21">
        <f ca="1">IF($D71="","",SUMIF('TALLY BOX DUMP'!$1:$1,'ACH CALC'!U$2,'TALLY BOX DUMP'!70:70))</f>
        <v>0</v>
      </c>
      <c r="V71" s="21">
        <f ca="1">IF($D71="","",SUMIF('TALLY BOX DUMP'!$1:$1,'ACH CALC'!V$2,'TALLY BOX DUMP'!70:70))</f>
        <v>0</v>
      </c>
      <c r="W71" s="21">
        <f ca="1">IF($D71="","",SUMIF('TALLY BOX DUMP'!$1:$1,'ACH CALC'!W$2,'TALLY BOX DUMP'!70:70))</f>
        <v>0</v>
      </c>
      <c r="X71" s="21">
        <f ca="1">IF($D71="","",SUMIF('TALLY BOX DUMP'!$1:$1,'ACH CALC'!X$2,'TALLY BOX DUMP'!70:70))</f>
        <v>0</v>
      </c>
      <c r="Y71" s="21">
        <f ca="1">IF($D71="","",SUMIF('TALLY BOX DUMP'!$1:$1,'ACH CALC'!Y$2,'TALLY BOX DUMP'!70:70))</f>
        <v>0</v>
      </c>
      <c r="Z71" s="21">
        <f ca="1">IF($D71="","",SUMIF('TALLY BOX DUMP'!$1:$1,'ACH CALC'!Z$2,'TALLY BOX DUMP'!70:70)+AE71)</f>
        <v>0</v>
      </c>
      <c r="AA71" s="21">
        <f ca="1">IF($D71="","",SUMIF('TALLY BOX DUMP'!$1:$1,'ACH CALC'!AA$2,'TALLY BOX DUMP'!70:70))</f>
        <v>0</v>
      </c>
      <c r="AB71" s="21">
        <f ca="1">IF($D71="","",SUMIF('TALLY BOX DUMP'!$1:$1,'ACH CALC'!AB$2,'TALLY BOX DUMP'!70:70))</f>
        <v>0</v>
      </c>
      <c r="AC71" s="21">
        <f ca="1">IF($D71="","",SUMIF('TALLY BOX DUMP'!$1:$1,'ACH CALC'!AC$2,'TALLY BOX DUMP'!70:70))</f>
        <v>0</v>
      </c>
      <c r="AD71" s="21">
        <f ca="1">IF($D71="","",SUMIF('TALLY BOX DUMP'!$1:$1,'ACH CALC'!AD$2,'TALLY BOX DUMP'!70:70))</f>
        <v>0</v>
      </c>
      <c r="AE71" s="21">
        <f ca="1">IF($D71="","",SUMIF('TALLY BOX DUMP'!$1:$1,'ACH CALC'!AE$2,'TALLY BOX DUMP'!70:70))</f>
        <v>0</v>
      </c>
      <c r="AF71" s="21">
        <f ca="1">IF($D71="","",SUMIF('TALLY BOX DUMP'!$1:$1,'ACH CALC'!AF$2,'TALLY BOX DUMP'!70:70))</f>
        <v>0</v>
      </c>
      <c r="AG71" s="21">
        <f ca="1">IF($D71="","",SUMIF('TALLY BOX DUMP'!$1:$1,'ACH CALC'!AG$2,'TALLY BOX DUMP'!70:70))</f>
        <v>0</v>
      </c>
      <c r="AH71" s="21">
        <f ca="1">IF($D71="","",SUMIF('TALLY BOX DUMP'!$1:$1,'ACH CALC'!AH$2,'TALLY BOX DUMP'!70:70))</f>
        <v>0</v>
      </c>
      <c r="AI71" s="21">
        <f ca="1">IF($D71="","",SUMIF('TALLY BOX DUMP'!$1:$1,'ACH CALC'!AI$2,'TALLY BOX DUMP'!70:70))</f>
        <v>0</v>
      </c>
      <c r="AJ71" s="21">
        <f ca="1">IF($D71="","",SUMIF('TALLY BOX DUMP'!$1:$1,'ACH CALC'!AJ$2,'TALLY BOX DUMP'!70:70))</f>
        <v>0</v>
      </c>
      <c r="AK71" s="21">
        <f ca="1">IF($D71="","",SUMIF('TALLY BOX DUMP'!$1:$1,'ACH CALC'!AK$2,'TALLY BOX DUMP'!70:70))</f>
        <v>0</v>
      </c>
      <c r="AL71" s="21">
        <f ca="1">IF($D71="","",ROUND(SUMIF('TALLY KG DUMP'!$1:$1,'ACH CALC'!AL$2,'TALLY KG DUMP'!70:70)/30,1))</f>
        <v>0</v>
      </c>
      <c r="AM71" s="21">
        <f ca="1">IF($D71="","",SUMIF('TALLY BOX DUMP'!$1:$1,'ACH CALC'!AM$2,'TALLY BOX DUMP'!70:70))</f>
        <v>11</v>
      </c>
      <c r="AN71" s="21">
        <f ca="1">IF($D71="","",SUMIF('TALLY BOX DUMP'!$1:$1,'ACH CALC'!AN$2,'TALLY BOX DUMP'!70:70))</f>
        <v>0</v>
      </c>
      <c r="AO71" s="21">
        <f ca="1">IF($D71="","",SUMIF('TALLY BOX DUMP'!$1:$1,'ACH CALC'!AO$2,'TALLY BOX DUMP'!70:70))</f>
        <v>1</v>
      </c>
      <c r="AP71" s="21">
        <f ca="1">IF($D71="","",SUMIF('TALLY BOX DUMP'!$1:$1,'ACH CALC'!AP$2,'TALLY BOX DUMP'!70:70))</f>
        <v>0</v>
      </c>
      <c r="AQ71" s="21">
        <f ca="1">IF($D71="","",ROUND(SUMIF('TALLY KG DUMP'!$1:$1,'ACH CALC'!AQ$2,'TALLY KG DUMP'!70:70)/30,1))</f>
        <v>0</v>
      </c>
      <c r="AR71" s="21">
        <f ca="1">IF($D71="","",SUMIF('TALLY BOX DUMP'!$1:$1,'ACH CALC'!AR$2,'TALLY BOX DUMP'!70:70))</f>
        <v>0</v>
      </c>
      <c r="AS71" s="21">
        <f ca="1">IF($D71="","",SUMIF('TALLY BOX DUMP'!$1:$1,'ACH CALC'!AS$2,'TALLY BOX DUMP'!70:70))</f>
        <v>0</v>
      </c>
      <c r="AT71" s="21">
        <f ca="1">IF($D71="","",SUMIF('TALLY BOX DUMP'!$1:$1,'ACH CALC'!AT$2,'TALLY BOX DUMP'!70:70))</f>
        <v>0</v>
      </c>
      <c r="AU71" s="21">
        <f ca="1">IF($D71="","",SUMIF('TALLY BOX DUMP'!$1:$1,'ACH CALC'!AU$2,'TALLY BOX DUMP'!70:70))</f>
        <v>0</v>
      </c>
      <c r="AV71" s="21">
        <f ca="1">IF($D71="","",SUMIF('TALLY BOX DUMP'!$1:$1,'ACH CALC'!AV$2,'TALLY BOX DUMP'!70:70))</f>
        <v>0</v>
      </c>
      <c r="AW71" s="21">
        <f ca="1">IF($D71="","",SUMIF('TALLY BOX DUMP'!$1:$1,'ACH CALC'!AW$2,'TALLY BOX DUMP'!70:70))</f>
        <v>0</v>
      </c>
      <c r="AX71" s="21">
        <f ca="1">IF($D71="","",SUMIF('TALLY BOX DUMP'!$1:$1,'ACH CALC'!AX$2,'TALLY BOX DUMP'!70:70))</f>
        <v>0</v>
      </c>
      <c r="AY71" s="21">
        <f ca="1">IF($D71="","",SUMIF('TALLY BOX DUMP'!$1:$1,'ACH CALC'!AY$2,'TALLY BOX DUMP'!70:70))</f>
        <v>0</v>
      </c>
      <c r="AZ71" s="21">
        <f ca="1">IF($D71="","",SUMIF('TALLY BOX DUMP'!$1:$1,'ACH CALC'!AZ$2,'TALLY BOX DUMP'!70:70))</f>
        <v>0</v>
      </c>
      <c r="BA71" s="69">
        <f>(SUMIF('TALLY KG DUMP'!$2:$2,"Qty",'TALLY KG DUMP'!70:70)/1000)-(SUMIF('TALLY KG DUMP'!$1:$1,"GL",'TALLY KG DUMP'!70:70)/1000)</f>
        <v>3.0350000000000001</v>
      </c>
      <c r="BB71" s="21" t="b">
        <f t="shared" ca="1" si="5"/>
        <v>1</v>
      </c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</row>
    <row r="72" spans="2:75" x14ac:dyDescent="0.25">
      <c r="B72" s="21" t="str">
        <f ca="1"/>
        <v>69</v>
      </c>
      <c r="C72" s="21" t="str">
        <f ca="1"/>
        <v>SUN04519</v>
      </c>
      <c r="D72" s="21" t="str">
        <f ca="1"/>
        <v>PALACODE-STAR AGENCIES</v>
      </c>
      <c r="E72" s="21">
        <f ca="1">IF($D72="","",(SUMIF('TALLY KG DUMP'!$2:$2,"Qty",'TALLY KG DUMP'!71:71)/1000)-(SUMIF('TALLY KG DUMP'!$1:$1,"GL",'TALLY KG DUMP'!71:71)/1000))</f>
        <v>3.798</v>
      </c>
      <c r="F72" s="21">
        <f ca="1">IF($D72="","",(SUMIF('TALLY KG DUMP'!$1:$1,'ACH CALC'!F$2,'TALLY KG DUMP'!71:71)/1000))</f>
        <v>0</v>
      </c>
      <c r="G72" s="21">
        <f ca="1">IF($D72="","",SUMIF('TALLY BOX DUMP'!$1:$1,'ACH CALC'!G$2,'TALLY BOX DUMP'!71:71)+Y72)</f>
        <v>0</v>
      </c>
      <c r="H72" s="21">
        <f t="shared" ca="1" si="3"/>
        <v>0</v>
      </c>
      <c r="I72" s="21">
        <f ca="1">IF($D72="","",SUMIF('TALLY BOX DUMP'!$1:$1,'ACH CALC'!I$2,'TALLY BOX DUMP'!71:71)+AA72)</f>
        <v>0</v>
      </c>
      <c r="J72" s="21">
        <f ca="1">IF($D72="","",SUMIF('TALLY BOX DUMP'!$1:$1,'ACH CALC'!J$2,'TALLY BOX DUMP'!71:71)+AB72)</f>
        <v>0</v>
      </c>
      <c r="K72" s="21">
        <f ca="1">IF($D72="","",SUMIF('TALLY BOX DUMP'!$1:$1,'ACH CALC'!K$2,'TALLY BOX DUMP'!71:71)+AC72)</f>
        <v>0</v>
      </c>
      <c r="L72" s="21">
        <f ca="1">IF($D72="","",SUMIF('TALLY BOX DUMP'!$1:$1,'ACH CALC'!L$2,'TALLY BOX DUMP'!71:71))</f>
        <v>0</v>
      </c>
      <c r="M72" s="21">
        <f ca="1">IF($D72="","",SUMIF('TALLY BOX DUMP'!$1:$1,'ACH CALC'!M$2,'TALLY BOX DUMP'!71:71)+AD72)</f>
        <v>0</v>
      </c>
      <c r="N72" s="21">
        <f ca="1">IF($D72="","",SUMIF('TALLY BOX DUMP'!$1:$1,'ACH CALC'!N$2,'TALLY BOX DUMP'!71:71))</f>
        <v>0</v>
      </c>
      <c r="O72" s="21">
        <f ca="1">IF($D72="","",SUMIF('TALLY BOX DUMP'!$1:$1,'ACH CALC'!O$2,'TALLY BOX DUMP'!71:71))</f>
        <v>0</v>
      </c>
      <c r="P72" s="21">
        <f ca="1">IF($D72="","",SUMIF('TALLY BOX DUMP'!$1:$1,'ACH CALC'!P$2,'TALLY BOX DUMP'!71:71))</f>
        <v>0</v>
      </c>
      <c r="Q72" s="21">
        <f t="shared" ca="1" si="4"/>
        <v>0</v>
      </c>
      <c r="R72" s="21">
        <f ca="1">IF($D72="","",SUMIF('TALLY BOX DUMP'!$1:$1,'ACH CALC'!R$2,'TALLY BOX DUMP'!71:71))</f>
        <v>0</v>
      </c>
      <c r="S72" s="21">
        <f ca="1">IF($D72="","",SUMIF('TALLY BOX DUMP'!$1:$1,'ACH CALC'!S$2,'TALLY BOX DUMP'!71:71))</f>
        <v>0</v>
      </c>
      <c r="T72" s="21">
        <f ca="1">IF($D72="","",SUMIF('TALLY BOX DUMP'!$1:$1,'ACH CALC'!T$2,'TALLY BOX DUMP'!71:71))</f>
        <v>0</v>
      </c>
      <c r="U72" s="21">
        <f ca="1">IF($D72="","",SUMIF('TALLY BOX DUMP'!$1:$1,'ACH CALC'!U$2,'TALLY BOX DUMP'!71:71))</f>
        <v>0</v>
      </c>
      <c r="V72" s="21">
        <f ca="1">IF($D72="","",SUMIF('TALLY BOX DUMP'!$1:$1,'ACH CALC'!V$2,'TALLY BOX DUMP'!71:71))</f>
        <v>0</v>
      </c>
      <c r="W72" s="21">
        <f ca="1">IF($D72="","",SUMIF('TALLY BOX DUMP'!$1:$1,'ACH CALC'!W$2,'TALLY BOX DUMP'!71:71))</f>
        <v>0</v>
      </c>
      <c r="X72" s="21">
        <f ca="1">IF($D72="","",SUMIF('TALLY BOX DUMP'!$1:$1,'ACH CALC'!X$2,'TALLY BOX DUMP'!71:71))</f>
        <v>0</v>
      </c>
      <c r="Y72" s="21">
        <f ca="1">IF($D72="","",SUMIF('TALLY BOX DUMP'!$1:$1,'ACH CALC'!Y$2,'TALLY BOX DUMP'!71:71))</f>
        <v>0</v>
      </c>
      <c r="Z72" s="21">
        <f ca="1">IF($D72="","",SUMIF('TALLY BOX DUMP'!$1:$1,'ACH CALC'!Z$2,'TALLY BOX DUMP'!71:71)+AE72)</f>
        <v>0</v>
      </c>
      <c r="AA72" s="21">
        <f ca="1">IF($D72="","",SUMIF('TALLY BOX DUMP'!$1:$1,'ACH CALC'!AA$2,'TALLY BOX DUMP'!71:71))</f>
        <v>0</v>
      </c>
      <c r="AB72" s="21">
        <f ca="1">IF($D72="","",SUMIF('TALLY BOX DUMP'!$1:$1,'ACH CALC'!AB$2,'TALLY BOX DUMP'!71:71))</f>
        <v>0</v>
      </c>
      <c r="AC72" s="21">
        <f ca="1">IF($D72="","",SUMIF('TALLY BOX DUMP'!$1:$1,'ACH CALC'!AC$2,'TALLY BOX DUMP'!71:71))</f>
        <v>0</v>
      </c>
      <c r="AD72" s="21">
        <f ca="1">IF($D72="","",SUMIF('TALLY BOX DUMP'!$1:$1,'ACH CALC'!AD$2,'TALLY BOX DUMP'!71:71))</f>
        <v>0</v>
      </c>
      <c r="AE72" s="21">
        <f ca="1">IF($D72="","",SUMIF('TALLY BOX DUMP'!$1:$1,'ACH CALC'!AE$2,'TALLY BOX DUMP'!71:71))</f>
        <v>0</v>
      </c>
      <c r="AF72" s="21">
        <f ca="1">IF($D72="","",SUMIF('TALLY BOX DUMP'!$1:$1,'ACH CALC'!AF$2,'TALLY BOX DUMP'!71:71))</f>
        <v>0</v>
      </c>
      <c r="AG72" s="21">
        <f ca="1">IF($D72="","",SUMIF('TALLY BOX DUMP'!$1:$1,'ACH CALC'!AG$2,'TALLY BOX DUMP'!71:71))</f>
        <v>0</v>
      </c>
      <c r="AH72" s="21">
        <f ca="1">IF($D72="","",SUMIF('TALLY BOX DUMP'!$1:$1,'ACH CALC'!AH$2,'TALLY BOX DUMP'!71:71))</f>
        <v>0</v>
      </c>
      <c r="AI72" s="21">
        <f ca="1">IF($D72="","",SUMIF('TALLY BOX DUMP'!$1:$1,'ACH CALC'!AI$2,'TALLY BOX DUMP'!71:71))</f>
        <v>0</v>
      </c>
      <c r="AJ72" s="21">
        <f ca="1">IF($D72="","",SUMIF('TALLY BOX DUMP'!$1:$1,'ACH CALC'!AJ$2,'TALLY BOX DUMP'!71:71))</f>
        <v>0</v>
      </c>
      <c r="AK72" s="21">
        <f ca="1">IF($D72="","",SUMIF('TALLY BOX DUMP'!$1:$1,'ACH CALC'!AK$2,'TALLY BOX DUMP'!71:71))</f>
        <v>0</v>
      </c>
      <c r="AL72" s="21">
        <f ca="1">IF($D72="","",ROUND(SUMIF('TALLY KG DUMP'!$1:$1,'ACH CALC'!AL$2,'TALLY KG DUMP'!71:71)/30,1))</f>
        <v>0</v>
      </c>
      <c r="AM72" s="21">
        <f ca="1">IF($D72="","",SUMIF('TALLY BOX DUMP'!$1:$1,'ACH CALC'!AM$2,'TALLY BOX DUMP'!71:71))</f>
        <v>1</v>
      </c>
      <c r="AN72" s="21">
        <f ca="1">IF($D72="","",SUMIF('TALLY BOX DUMP'!$1:$1,'ACH CALC'!AN$2,'TALLY BOX DUMP'!71:71))</f>
        <v>0</v>
      </c>
      <c r="AO72" s="21">
        <f ca="1">IF($D72="","",SUMIF('TALLY BOX DUMP'!$1:$1,'ACH CALC'!AO$2,'TALLY BOX DUMP'!71:71))</f>
        <v>1</v>
      </c>
      <c r="AP72" s="21">
        <f ca="1">IF($D72="","",SUMIF('TALLY BOX DUMP'!$1:$1,'ACH CALC'!AP$2,'TALLY BOX DUMP'!71:71))</f>
        <v>0</v>
      </c>
      <c r="AQ72" s="21">
        <f ca="1">IF($D72="","",ROUND(SUMIF('TALLY KG DUMP'!$1:$1,'ACH CALC'!AQ$2,'TALLY KG DUMP'!71:71)/30,1))</f>
        <v>0</v>
      </c>
      <c r="AR72" s="21">
        <f ca="1">IF($D72="","",SUMIF('TALLY BOX DUMP'!$1:$1,'ACH CALC'!AR$2,'TALLY BOX DUMP'!71:71))</f>
        <v>0</v>
      </c>
      <c r="AS72" s="21">
        <f ca="1">IF($D72="","",SUMIF('TALLY BOX DUMP'!$1:$1,'ACH CALC'!AS$2,'TALLY BOX DUMP'!71:71))</f>
        <v>0</v>
      </c>
      <c r="AT72" s="21">
        <f ca="1">IF($D72="","",SUMIF('TALLY BOX DUMP'!$1:$1,'ACH CALC'!AT$2,'TALLY BOX DUMP'!71:71))</f>
        <v>0</v>
      </c>
      <c r="AU72" s="21">
        <f ca="1">IF($D72="","",SUMIF('TALLY BOX DUMP'!$1:$1,'ACH CALC'!AU$2,'TALLY BOX DUMP'!71:71))</f>
        <v>0</v>
      </c>
      <c r="AV72" s="21">
        <f ca="1">IF($D72="","",SUMIF('TALLY BOX DUMP'!$1:$1,'ACH CALC'!AV$2,'TALLY BOX DUMP'!71:71))</f>
        <v>0</v>
      </c>
      <c r="AW72" s="21">
        <f ca="1">IF($D72="","",SUMIF('TALLY BOX DUMP'!$1:$1,'ACH CALC'!AW$2,'TALLY BOX DUMP'!71:71))</f>
        <v>0</v>
      </c>
      <c r="AX72" s="21">
        <f ca="1">IF($D72="","",SUMIF('TALLY BOX DUMP'!$1:$1,'ACH CALC'!AX$2,'TALLY BOX DUMP'!71:71))</f>
        <v>0</v>
      </c>
      <c r="AY72" s="21">
        <f ca="1">IF($D72="","",SUMIF('TALLY BOX DUMP'!$1:$1,'ACH CALC'!AY$2,'TALLY BOX DUMP'!71:71))</f>
        <v>0</v>
      </c>
      <c r="AZ72" s="21">
        <f ca="1">IF($D72="","",SUMIF('TALLY BOX DUMP'!$1:$1,'ACH CALC'!AZ$2,'TALLY BOX DUMP'!71:71))</f>
        <v>0</v>
      </c>
      <c r="BA72" s="69">
        <f>(SUMIF('TALLY KG DUMP'!$2:$2,"Qty",'TALLY KG DUMP'!71:71)/1000)-(SUMIF('TALLY KG DUMP'!$1:$1,"GL",'TALLY KG DUMP'!71:71)/1000)</f>
        <v>3.798</v>
      </c>
      <c r="BB72" s="21" t="b">
        <f t="shared" ca="1" si="5"/>
        <v>1</v>
      </c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</row>
    <row r="73" spans="2:75" x14ac:dyDescent="0.25">
      <c r="B73" s="21" t="str">
        <f ca="1"/>
        <v>70</v>
      </c>
      <c r="C73" s="21" t="str">
        <f ca="1"/>
        <v>SUN01583</v>
      </c>
      <c r="D73" s="21" t="str">
        <f ca="1"/>
        <v>HOSUR DAVID ENTERPRISES</v>
      </c>
      <c r="E73" s="21">
        <f ca="1">IF($D73="","",(SUMIF('TALLY KG DUMP'!$2:$2,"Qty",'TALLY KG DUMP'!72:72)/1000)-(SUMIF('TALLY KG DUMP'!$1:$1,"GL",'TALLY KG DUMP'!72:72)/1000))</f>
        <v>3.57</v>
      </c>
      <c r="F73" s="21">
        <f ca="1">IF($D73="","",(SUMIF('TALLY KG DUMP'!$1:$1,'ACH CALC'!F$2,'TALLY KG DUMP'!72:72)/1000))</f>
        <v>0</v>
      </c>
      <c r="G73" s="21">
        <f ca="1">IF($D73="","",SUMIF('TALLY BOX DUMP'!$1:$1,'ACH CALC'!G$2,'TALLY BOX DUMP'!72:72)+Y73)</f>
        <v>0</v>
      </c>
      <c r="H73" s="21">
        <f t="shared" ca="1" si="3"/>
        <v>6</v>
      </c>
      <c r="I73" s="21">
        <f ca="1">IF($D73="","",SUMIF('TALLY BOX DUMP'!$1:$1,'ACH CALC'!I$2,'TALLY BOX DUMP'!72:72)+AA73)</f>
        <v>0</v>
      </c>
      <c r="J73" s="21">
        <f ca="1">IF($D73="","",SUMIF('TALLY BOX DUMP'!$1:$1,'ACH CALC'!J$2,'TALLY BOX DUMP'!72:72)+AB73)</f>
        <v>0</v>
      </c>
      <c r="K73" s="21">
        <f ca="1">IF($D73="","",SUMIF('TALLY BOX DUMP'!$1:$1,'ACH CALC'!K$2,'TALLY BOX DUMP'!72:72)+AC73)</f>
        <v>6</v>
      </c>
      <c r="L73" s="21">
        <f ca="1">IF($D73="","",SUMIF('TALLY BOX DUMP'!$1:$1,'ACH CALC'!L$2,'TALLY BOX DUMP'!72:72))</f>
        <v>0</v>
      </c>
      <c r="M73" s="21">
        <f ca="1">IF($D73="","",SUMIF('TALLY BOX DUMP'!$1:$1,'ACH CALC'!M$2,'TALLY BOX DUMP'!72:72)+AD73)</f>
        <v>0</v>
      </c>
      <c r="N73" s="21">
        <f ca="1">IF($D73="","",SUMIF('TALLY BOX DUMP'!$1:$1,'ACH CALC'!N$2,'TALLY BOX DUMP'!72:72))</f>
        <v>0</v>
      </c>
      <c r="O73" s="21">
        <f ca="1">IF($D73="","",SUMIF('TALLY BOX DUMP'!$1:$1,'ACH CALC'!O$2,'TALLY BOX DUMP'!72:72))</f>
        <v>0</v>
      </c>
      <c r="P73" s="21">
        <f ca="1">IF($D73="","",SUMIF('TALLY BOX DUMP'!$1:$1,'ACH CALC'!P$2,'TALLY BOX DUMP'!72:72))</f>
        <v>0</v>
      </c>
      <c r="Q73" s="21">
        <f t="shared" ca="1" si="4"/>
        <v>0</v>
      </c>
      <c r="R73" s="21">
        <f ca="1">IF($D73="","",SUMIF('TALLY BOX DUMP'!$1:$1,'ACH CALC'!R$2,'TALLY BOX DUMP'!72:72))</f>
        <v>0</v>
      </c>
      <c r="S73" s="21">
        <f ca="1">IF($D73="","",SUMIF('TALLY BOX DUMP'!$1:$1,'ACH CALC'!S$2,'TALLY BOX DUMP'!72:72))</f>
        <v>0</v>
      </c>
      <c r="T73" s="21">
        <f ca="1">IF($D73="","",SUMIF('TALLY BOX DUMP'!$1:$1,'ACH CALC'!T$2,'TALLY BOX DUMP'!72:72))</f>
        <v>0</v>
      </c>
      <c r="U73" s="21">
        <f ca="1">IF($D73="","",SUMIF('TALLY BOX DUMP'!$1:$1,'ACH CALC'!U$2,'TALLY BOX DUMP'!72:72))</f>
        <v>0</v>
      </c>
      <c r="V73" s="21">
        <f ca="1">IF($D73="","",SUMIF('TALLY BOX DUMP'!$1:$1,'ACH CALC'!V$2,'TALLY BOX DUMP'!72:72))</f>
        <v>0</v>
      </c>
      <c r="W73" s="21">
        <f ca="1">IF($D73="","",SUMIF('TALLY BOX DUMP'!$1:$1,'ACH CALC'!W$2,'TALLY BOX DUMP'!72:72))</f>
        <v>0</v>
      </c>
      <c r="X73" s="21">
        <f ca="1">IF($D73="","",SUMIF('TALLY BOX DUMP'!$1:$1,'ACH CALC'!X$2,'TALLY BOX DUMP'!72:72))</f>
        <v>0</v>
      </c>
      <c r="Y73" s="21">
        <f ca="1">IF($D73="","",SUMIF('TALLY BOX DUMP'!$1:$1,'ACH CALC'!Y$2,'TALLY BOX DUMP'!72:72))</f>
        <v>0</v>
      </c>
      <c r="Z73" s="21">
        <f ca="1">IF($D73="","",SUMIF('TALLY BOX DUMP'!$1:$1,'ACH CALC'!Z$2,'TALLY BOX DUMP'!72:72)+AE73)</f>
        <v>0</v>
      </c>
      <c r="AA73" s="21">
        <f ca="1">IF($D73="","",SUMIF('TALLY BOX DUMP'!$1:$1,'ACH CALC'!AA$2,'TALLY BOX DUMP'!72:72))</f>
        <v>0</v>
      </c>
      <c r="AB73" s="21">
        <f ca="1">IF($D73="","",SUMIF('TALLY BOX DUMP'!$1:$1,'ACH CALC'!AB$2,'TALLY BOX DUMP'!72:72))</f>
        <v>0</v>
      </c>
      <c r="AC73" s="21">
        <f ca="1">IF($D73="","",SUMIF('TALLY BOX DUMP'!$1:$1,'ACH CALC'!AC$2,'TALLY BOX DUMP'!72:72))</f>
        <v>0</v>
      </c>
      <c r="AD73" s="21">
        <f ca="1">IF($D73="","",SUMIF('TALLY BOX DUMP'!$1:$1,'ACH CALC'!AD$2,'TALLY BOX DUMP'!72:72))</f>
        <v>0</v>
      </c>
      <c r="AE73" s="21">
        <f ca="1">IF($D73="","",SUMIF('TALLY BOX DUMP'!$1:$1,'ACH CALC'!AE$2,'TALLY BOX DUMP'!72:72))</f>
        <v>0</v>
      </c>
      <c r="AF73" s="21">
        <f ca="1">IF($D73="","",SUMIF('TALLY BOX DUMP'!$1:$1,'ACH CALC'!AF$2,'TALLY BOX DUMP'!72:72))</f>
        <v>0</v>
      </c>
      <c r="AG73" s="21">
        <f ca="1">IF($D73="","",SUMIF('TALLY BOX DUMP'!$1:$1,'ACH CALC'!AG$2,'TALLY BOX DUMP'!72:72))</f>
        <v>0</v>
      </c>
      <c r="AH73" s="21">
        <f ca="1">IF($D73="","",SUMIF('TALLY BOX DUMP'!$1:$1,'ACH CALC'!AH$2,'TALLY BOX DUMP'!72:72))</f>
        <v>0</v>
      </c>
      <c r="AI73" s="21">
        <f ca="1">IF($D73="","",SUMIF('TALLY BOX DUMP'!$1:$1,'ACH CALC'!AI$2,'TALLY BOX DUMP'!72:72))</f>
        <v>0</v>
      </c>
      <c r="AJ73" s="21">
        <f ca="1">IF($D73="","",SUMIF('TALLY BOX DUMP'!$1:$1,'ACH CALC'!AJ$2,'TALLY BOX DUMP'!72:72))</f>
        <v>0</v>
      </c>
      <c r="AK73" s="21">
        <f ca="1">IF($D73="","",SUMIF('TALLY BOX DUMP'!$1:$1,'ACH CALC'!AK$2,'TALLY BOX DUMP'!72:72))</f>
        <v>0</v>
      </c>
      <c r="AL73" s="21">
        <f ca="1">IF($D73="","",ROUND(SUMIF('TALLY KG DUMP'!$1:$1,'ACH CALC'!AL$2,'TALLY KG DUMP'!72:72)/30,1))</f>
        <v>0</v>
      </c>
      <c r="AM73" s="21">
        <f ca="1">IF($D73="","",SUMIF('TALLY BOX DUMP'!$1:$1,'ACH CALC'!AM$2,'TALLY BOX DUMP'!72:72))</f>
        <v>0</v>
      </c>
      <c r="AN73" s="21">
        <f ca="1">IF($D73="","",SUMIF('TALLY BOX DUMP'!$1:$1,'ACH CALC'!AN$2,'TALLY BOX DUMP'!72:72))</f>
        <v>0</v>
      </c>
      <c r="AO73" s="21">
        <f ca="1">IF($D73="","",SUMIF('TALLY BOX DUMP'!$1:$1,'ACH CALC'!AO$2,'TALLY BOX DUMP'!72:72))</f>
        <v>0</v>
      </c>
      <c r="AP73" s="21">
        <f ca="1">IF($D73="","",SUMIF('TALLY BOX DUMP'!$1:$1,'ACH CALC'!AP$2,'TALLY BOX DUMP'!72:72))</f>
        <v>0</v>
      </c>
      <c r="AQ73" s="21">
        <f ca="1">IF($D73="","",ROUND(SUMIF('TALLY KG DUMP'!$1:$1,'ACH CALC'!AQ$2,'TALLY KG DUMP'!72:72)/30,1))</f>
        <v>0</v>
      </c>
      <c r="AR73" s="21">
        <f ca="1">IF($D73="","",SUMIF('TALLY BOX DUMP'!$1:$1,'ACH CALC'!AR$2,'TALLY BOX DUMP'!72:72))</f>
        <v>0</v>
      </c>
      <c r="AS73" s="21">
        <f ca="1">IF($D73="","",SUMIF('TALLY BOX DUMP'!$1:$1,'ACH CALC'!AS$2,'TALLY BOX DUMP'!72:72))</f>
        <v>0</v>
      </c>
      <c r="AT73" s="21">
        <f ca="1">IF($D73="","",SUMIF('TALLY BOX DUMP'!$1:$1,'ACH CALC'!AT$2,'TALLY BOX DUMP'!72:72))</f>
        <v>0</v>
      </c>
      <c r="AU73" s="21">
        <f ca="1">IF($D73="","",SUMIF('TALLY BOX DUMP'!$1:$1,'ACH CALC'!AU$2,'TALLY BOX DUMP'!72:72))</f>
        <v>0</v>
      </c>
      <c r="AV73" s="21">
        <f ca="1">IF($D73="","",SUMIF('TALLY BOX DUMP'!$1:$1,'ACH CALC'!AV$2,'TALLY BOX DUMP'!72:72))</f>
        <v>0</v>
      </c>
      <c r="AW73" s="21">
        <f ca="1">IF($D73="","",SUMIF('TALLY BOX DUMP'!$1:$1,'ACH CALC'!AW$2,'TALLY BOX DUMP'!72:72))</f>
        <v>0</v>
      </c>
      <c r="AX73" s="21">
        <f ca="1">IF($D73="","",SUMIF('TALLY BOX DUMP'!$1:$1,'ACH CALC'!AX$2,'TALLY BOX DUMP'!72:72))</f>
        <v>0</v>
      </c>
      <c r="AY73" s="21">
        <f ca="1">IF($D73="","",SUMIF('TALLY BOX DUMP'!$1:$1,'ACH CALC'!AY$2,'TALLY BOX DUMP'!72:72))</f>
        <v>0</v>
      </c>
      <c r="AZ73" s="21">
        <f ca="1">IF($D73="","",SUMIF('TALLY BOX DUMP'!$1:$1,'ACH CALC'!AZ$2,'TALLY BOX DUMP'!72:72))</f>
        <v>0</v>
      </c>
      <c r="BA73" s="69">
        <f>(SUMIF('TALLY KG DUMP'!$2:$2,"Qty",'TALLY KG DUMP'!72:72)/1000)-(SUMIF('TALLY KG DUMP'!$1:$1,"GL",'TALLY KG DUMP'!72:72)/1000)</f>
        <v>3.57</v>
      </c>
      <c r="BB73" s="21" t="b">
        <f t="shared" ca="1" si="5"/>
        <v>1</v>
      </c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</row>
    <row r="74" spans="2:75" x14ac:dyDescent="0.25">
      <c r="B74" s="21" t="str">
        <f ca="1"/>
        <v>71</v>
      </c>
      <c r="C74" s="21" t="str">
        <f ca="1"/>
        <v>SUN02952</v>
      </c>
      <c r="D74" s="21" t="str">
        <f ca="1"/>
        <v>KRISHNAGIRI M.R.TRADARS</v>
      </c>
      <c r="E74" s="21">
        <f ca="1">IF($D74="","",(SUMIF('TALLY KG DUMP'!$2:$2,"Qty",'TALLY KG DUMP'!73:73)/1000)-(SUMIF('TALLY KG DUMP'!$1:$1,"GL",'TALLY KG DUMP'!73:73)/1000))</f>
        <v>1.1259999999999999</v>
      </c>
      <c r="F74" s="21">
        <f ca="1">IF($D74="","",(SUMIF('TALLY KG DUMP'!$1:$1,'ACH CALC'!F$2,'TALLY KG DUMP'!73:73)/1000))</f>
        <v>0</v>
      </c>
      <c r="G74" s="21">
        <f ca="1">IF($D74="","",SUMIF('TALLY BOX DUMP'!$1:$1,'ACH CALC'!G$2,'TALLY BOX DUMP'!73:73)+Y74)</f>
        <v>0</v>
      </c>
      <c r="H74" s="21">
        <f t="shared" ca="1" si="3"/>
        <v>0</v>
      </c>
      <c r="I74" s="21">
        <f ca="1">IF($D74="","",SUMIF('TALLY BOX DUMP'!$1:$1,'ACH CALC'!I$2,'TALLY BOX DUMP'!73:73)+AA74)</f>
        <v>0</v>
      </c>
      <c r="J74" s="21">
        <f ca="1">IF($D74="","",SUMIF('TALLY BOX DUMP'!$1:$1,'ACH CALC'!J$2,'TALLY BOX DUMP'!73:73)+AB74)</f>
        <v>0</v>
      </c>
      <c r="K74" s="21">
        <f ca="1">IF($D74="","",SUMIF('TALLY BOX DUMP'!$1:$1,'ACH CALC'!K$2,'TALLY BOX DUMP'!73:73)+AC74)</f>
        <v>0</v>
      </c>
      <c r="L74" s="21">
        <f ca="1">IF($D74="","",SUMIF('TALLY BOX DUMP'!$1:$1,'ACH CALC'!L$2,'TALLY BOX DUMP'!73:73))</f>
        <v>0</v>
      </c>
      <c r="M74" s="21">
        <f ca="1">IF($D74="","",SUMIF('TALLY BOX DUMP'!$1:$1,'ACH CALC'!M$2,'TALLY BOX DUMP'!73:73)+AD74)</f>
        <v>0</v>
      </c>
      <c r="N74" s="21">
        <f ca="1">IF($D74="","",SUMIF('TALLY BOX DUMP'!$1:$1,'ACH CALC'!N$2,'TALLY BOX DUMP'!73:73))</f>
        <v>0</v>
      </c>
      <c r="O74" s="21">
        <f ca="1">IF($D74="","",SUMIF('TALLY BOX DUMP'!$1:$1,'ACH CALC'!O$2,'TALLY BOX DUMP'!73:73))</f>
        <v>0</v>
      </c>
      <c r="P74" s="21">
        <f ca="1">IF($D74="","",SUMIF('TALLY BOX DUMP'!$1:$1,'ACH CALC'!P$2,'TALLY BOX DUMP'!73:73))</f>
        <v>0</v>
      </c>
      <c r="Q74" s="21">
        <f t="shared" ca="1" si="4"/>
        <v>0</v>
      </c>
      <c r="R74" s="21">
        <f ca="1">IF($D74="","",SUMIF('TALLY BOX DUMP'!$1:$1,'ACH CALC'!R$2,'TALLY BOX DUMP'!73:73))</f>
        <v>0</v>
      </c>
      <c r="S74" s="21">
        <f ca="1">IF($D74="","",SUMIF('TALLY BOX DUMP'!$1:$1,'ACH CALC'!S$2,'TALLY BOX DUMP'!73:73))</f>
        <v>0</v>
      </c>
      <c r="T74" s="21">
        <f ca="1">IF($D74="","",SUMIF('TALLY BOX DUMP'!$1:$1,'ACH CALC'!T$2,'TALLY BOX DUMP'!73:73))</f>
        <v>0</v>
      </c>
      <c r="U74" s="21">
        <f ca="1">IF($D74="","",SUMIF('TALLY BOX DUMP'!$1:$1,'ACH CALC'!U$2,'TALLY BOX DUMP'!73:73))</f>
        <v>0</v>
      </c>
      <c r="V74" s="21">
        <f ca="1">IF($D74="","",SUMIF('TALLY BOX DUMP'!$1:$1,'ACH CALC'!V$2,'TALLY BOX DUMP'!73:73))</f>
        <v>0</v>
      </c>
      <c r="W74" s="21">
        <f ca="1">IF($D74="","",SUMIF('TALLY BOX DUMP'!$1:$1,'ACH CALC'!W$2,'TALLY BOX DUMP'!73:73))</f>
        <v>0</v>
      </c>
      <c r="X74" s="21">
        <f ca="1">IF($D74="","",SUMIF('TALLY BOX DUMP'!$1:$1,'ACH CALC'!X$2,'TALLY BOX DUMP'!73:73))</f>
        <v>0</v>
      </c>
      <c r="Y74" s="21">
        <f ca="1">IF($D74="","",SUMIF('TALLY BOX DUMP'!$1:$1,'ACH CALC'!Y$2,'TALLY BOX DUMP'!73:73))</f>
        <v>0</v>
      </c>
      <c r="Z74" s="21">
        <f ca="1">IF($D74="","",SUMIF('TALLY BOX DUMP'!$1:$1,'ACH CALC'!Z$2,'TALLY BOX DUMP'!73:73)+AE74)</f>
        <v>0</v>
      </c>
      <c r="AA74" s="21">
        <f ca="1">IF($D74="","",SUMIF('TALLY BOX DUMP'!$1:$1,'ACH CALC'!AA$2,'TALLY BOX DUMP'!73:73))</f>
        <v>0</v>
      </c>
      <c r="AB74" s="21">
        <f ca="1">IF($D74="","",SUMIF('TALLY BOX DUMP'!$1:$1,'ACH CALC'!AB$2,'TALLY BOX DUMP'!73:73))</f>
        <v>0</v>
      </c>
      <c r="AC74" s="21">
        <f ca="1">IF($D74="","",SUMIF('TALLY BOX DUMP'!$1:$1,'ACH CALC'!AC$2,'TALLY BOX DUMP'!73:73))</f>
        <v>0</v>
      </c>
      <c r="AD74" s="21">
        <f ca="1">IF($D74="","",SUMIF('TALLY BOX DUMP'!$1:$1,'ACH CALC'!AD$2,'TALLY BOX DUMP'!73:73))</f>
        <v>0</v>
      </c>
      <c r="AE74" s="21">
        <f ca="1">IF($D74="","",SUMIF('TALLY BOX DUMP'!$1:$1,'ACH CALC'!AE$2,'TALLY BOX DUMP'!73:73))</f>
        <v>0</v>
      </c>
      <c r="AF74" s="21">
        <f ca="1">IF($D74="","",SUMIF('TALLY BOX DUMP'!$1:$1,'ACH CALC'!AF$2,'TALLY BOX DUMP'!73:73))</f>
        <v>0</v>
      </c>
      <c r="AG74" s="21">
        <f ca="1">IF($D74="","",SUMIF('TALLY BOX DUMP'!$1:$1,'ACH CALC'!AG$2,'TALLY BOX DUMP'!73:73))</f>
        <v>0</v>
      </c>
      <c r="AH74" s="21">
        <f ca="1">IF($D74="","",SUMIF('TALLY BOX DUMP'!$1:$1,'ACH CALC'!AH$2,'TALLY BOX DUMP'!73:73))</f>
        <v>0</v>
      </c>
      <c r="AI74" s="21">
        <f ca="1">IF($D74="","",SUMIF('TALLY BOX DUMP'!$1:$1,'ACH CALC'!AI$2,'TALLY BOX DUMP'!73:73))</f>
        <v>0</v>
      </c>
      <c r="AJ74" s="21">
        <f ca="1">IF($D74="","",SUMIF('TALLY BOX DUMP'!$1:$1,'ACH CALC'!AJ$2,'TALLY BOX DUMP'!73:73))</f>
        <v>0</v>
      </c>
      <c r="AK74" s="21">
        <f ca="1">IF($D74="","",SUMIF('TALLY BOX DUMP'!$1:$1,'ACH CALC'!AK$2,'TALLY BOX DUMP'!73:73))</f>
        <v>0</v>
      </c>
      <c r="AL74" s="21">
        <f ca="1">IF($D74="","",ROUND(SUMIF('TALLY KG DUMP'!$1:$1,'ACH CALC'!AL$2,'TALLY KG DUMP'!73:73)/30,1))</f>
        <v>0</v>
      </c>
      <c r="AM74" s="21">
        <f ca="1">IF($D74="","",SUMIF('TALLY BOX DUMP'!$1:$1,'ACH CALC'!AM$2,'TALLY BOX DUMP'!73:73))</f>
        <v>0</v>
      </c>
      <c r="AN74" s="21">
        <f ca="1">IF($D74="","",SUMIF('TALLY BOX DUMP'!$1:$1,'ACH CALC'!AN$2,'TALLY BOX DUMP'!73:73))</f>
        <v>0</v>
      </c>
      <c r="AO74" s="21">
        <f ca="1">IF($D74="","",SUMIF('TALLY BOX DUMP'!$1:$1,'ACH CALC'!AO$2,'TALLY BOX DUMP'!73:73))</f>
        <v>0</v>
      </c>
      <c r="AP74" s="21">
        <f ca="1">IF($D74="","",SUMIF('TALLY BOX DUMP'!$1:$1,'ACH CALC'!AP$2,'TALLY BOX DUMP'!73:73))</f>
        <v>0</v>
      </c>
      <c r="AQ74" s="21">
        <f ca="1">IF($D74="","",ROUND(SUMIF('TALLY KG DUMP'!$1:$1,'ACH CALC'!AQ$2,'TALLY KG DUMP'!73:73)/30,1))</f>
        <v>0</v>
      </c>
      <c r="AR74" s="21">
        <f ca="1">IF($D74="","",SUMIF('TALLY BOX DUMP'!$1:$1,'ACH CALC'!AR$2,'TALLY BOX DUMP'!73:73))</f>
        <v>0</v>
      </c>
      <c r="AS74" s="21">
        <f ca="1">IF($D74="","",SUMIF('TALLY BOX DUMP'!$1:$1,'ACH CALC'!AS$2,'TALLY BOX DUMP'!73:73))</f>
        <v>0</v>
      </c>
      <c r="AT74" s="21">
        <f ca="1">IF($D74="","",SUMIF('TALLY BOX DUMP'!$1:$1,'ACH CALC'!AT$2,'TALLY BOX DUMP'!73:73))</f>
        <v>0</v>
      </c>
      <c r="AU74" s="21">
        <f ca="1">IF($D74="","",SUMIF('TALLY BOX DUMP'!$1:$1,'ACH CALC'!AU$2,'TALLY BOX DUMP'!73:73))</f>
        <v>0</v>
      </c>
      <c r="AV74" s="21">
        <f ca="1">IF($D74="","",SUMIF('TALLY BOX DUMP'!$1:$1,'ACH CALC'!AV$2,'TALLY BOX DUMP'!73:73))</f>
        <v>0</v>
      </c>
      <c r="AW74" s="21">
        <f ca="1">IF($D74="","",SUMIF('TALLY BOX DUMP'!$1:$1,'ACH CALC'!AW$2,'TALLY BOX DUMP'!73:73))</f>
        <v>0</v>
      </c>
      <c r="AX74" s="21">
        <f ca="1">IF($D74="","",SUMIF('TALLY BOX DUMP'!$1:$1,'ACH CALC'!AX$2,'TALLY BOX DUMP'!73:73))</f>
        <v>0</v>
      </c>
      <c r="AY74" s="21">
        <f ca="1">IF($D74="","",SUMIF('TALLY BOX DUMP'!$1:$1,'ACH CALC'!AY$2,'TALLY BOX DUMP'!73:73))</f>
        <v>0</v>
      </c>
      <c r="AZ74" s="21">
        <f ca="1">IF($D74="","",SUMIF('TALLY BOX DUMP'!$1:$1,'ACH CALC'!AZ$2,'TALLY BOX DUMP'!73:73))</f>
        <v>0</v>
      </c>
      <c r="BA74" s="69">
        <f>(SUMIF('TALLY KG DUMP'!$2:$2,"Qty",'TALLY KG DUMP'!73:73)/1000)-(SUMIF('TALLY KG DUMP'!$1:$1,"GL",'TALLY KG DUMP'!73:73)/1000)</f>
        <v>1.1259999999999999</v>
      </c>
      <c r="BB74" s="21" t="b">
        <f t="shared" ca="1" si="5"/>
        <v>1</v>
      </c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</row>
    <row r="75" spans="2:75" x14ac:dyDescent="0.25">
      <c r="B75" s="21" t="str">
        <f ca="1"/>
        <v>72</v>
      </c>
      <c r="C75" s="21" t="str">
        <f ca="1"/>
        <v>SUN07406</v>
      </c>
      <c r="D75" s="21" t="str">
        <f ca="1"/>
        <v>KARUR-NAKSATRAA TRADERS</v>
      </c>
      <c r="E75" s="21">
        <f ca="1">IF($D75="","",(SUMIF('TALLY KG DUMP'!$2:$2,"Qty",'TALLY KG DUMP'!74:74)/1000)-(SUMIF('TALLY KG DUMP'!$1:$1,"GL",'TALLY KG DUMP'!74:74)/1000))</f>
        <v>8.26</v>
      </c>
      <c r="F75" s="21">
        <f ca="1">IF($D75="","",(SUMIF('TALLY KG DUMP'!$1:$1,'ACH CALC'!F$2,'TALLY KG DUMP'!74:74)/1000))</f>
        <v>0</v>
      </c>
      <c r="G75" s="21">
        <f ca="1">IF($D75="","",SUMIF('TALLY BOX DUMP'!$1:$1,'ACH CALC'!G$2,'TALLY BOX DUMP'!74:74)+Y75)</f>
        <v>0</v>
      </c>
      <c r="H75" s="21">
        <f t="shared" ca="1" si="3"/>
        <v>0</v>
      </c>
      <c r="I75" s="21">
        <f ca="1">IF($D75="","",SUMIF('TALLY BOX DUMP'!$1:$1,'ACH CALC'!I$2,'TALLY BOX DUMP'!74:74)+AA75)</f>
        <v>0</v>
      </c>
      <c r="J75" s="21">
        <f ca="1">IF($D75="","",SUMIF('TALLY BOX DUMP'!$1:$1,'ACH CALC'!J$2,'TALLY BOX DUMP'!74:74)+AB75)</f>
        <v>0</v>
      </c>
      <c r="K75" s="21">
        <f ca="1">IF($D75="","",SUMIF('TALLY BOX DUMP'!$1:$1,'ACH CALC'!K$2,'TALLY BOX DUMP'!74:74)+AC75)</f>
        <v>0</v>
      </c>
      <c r="L75" s="21">
        <f ca="1">IF($D75="","",SUMIF('TALLY BOX DUMP'!$1:$1,'ACH CALC'!L$2,'TALLY BOX DUMP'!74:74))</f>
        <v>0</v>
      </c>
      <c r="M75" s="21">
        <f ca="1">IF($D75="","",SUMIF('TALLY BOX DUMP'!$1:$1,'ACH CALC'!M$2,'TALLY BOX DUMP'!74:74)+AD75)</f>
        <v>0</v>
      </c>
      <c r="N75" s="21">
        <f ca="1">IF($D75="","",SUMIF('TALLY BOX DUMP'!$1:$1,'ACH CALC'!N$2,'TALLY BOX DUMP'!74:74))</f>
        <v>0</v>
      </c>
      <c r="O75" s="21">
        <f ca="1">IF($D75="","",SUMIF('TALLY BOX DUMP'!$1:$1,'ACH CALC'!O$2,'TALLY BOX DUMP'!74:74))</f>
        <v>0</v>
      </c>
      <c r="P75" s="21">
        <f ca="1">IF($D75="","",SUMIF('TALLY BOX DUMP'!$1:$1,'ACH CALC'!P$2,'TALLY BOX DUMP'!74:74))</f>
        <v>0</v>
      </c>
      <c r="Q75" s="21">
        <f t="shared" ca="1" si="4"/>
        <v>0</v>
      </c>
      <c r="R75" s="21">
        <f ca="1">IF($D75="","",SUMIF('TALLY BOX DUMP'!$1:$1,'ACH CALC'!R$2,'TALLY BOX DUMP'!74:74))</f>
        <v>0</v>
      </c>
      <c r="S75" s="21">
        <f ca="1">IF($D75="","",SUMIF('TALLY BOX DUMP'!$1:$1,'ACH CALC'!S$2,'TALLY BOX DUMP'!74:74))</f>
        <v>0</v>
      </c>
      <c r="T75" s="21">
        <f ca="1">IF($D75="","",SUMIF('TALLY BOX DUMP'!$1:$1,'ACH CALC'!T$2,'TALLY BOX DUMP'!74:74))</f>
        <v>0</v>
      </c>
      <c r="U75" s="21">
        <f ca="1">IF($D75="","",SUMIF('TALLY BOX DUMP'!$1:$1,'ACH CALC'!U$2,'TALLY BOX DUMP'!74:74))</f>
        <v>0</v>
      </c>
      <c r="V75" s="21">
        <f ca="1">IF($D75="","",SUMIF('TALLY BOX DUMP'!$1:$1,'ACH CALC'!V$2,'TALLY BOX DUMP'!74:74))</f>
        <v>0</v>
      </c>
      <c r="W75" s="21">
        <f ca="1">IF($D75="","",SUMIF('TALLY BOX DUMP'!$1:$1,'ACH CALC'!W$2,'TALLY BOX DUMP'!74:74))</f>
        <v>0</v>
      </c>
      <c r="X75" s="21">
        <f ca="1">IF($D75="","",SUMIF('TALLY BOX DUMP'!$1:$1,'ACH CALC'!X$2,'TALLY BOX DUMP'!74:74))</f>
        <v>0</v>
      </c>
      <c r="Y75" s="21">
        <f ca="1">IF($D75="","",SUMIF('TALLY BOX DUMP'!$1:$1,'ACH CALC'!Y$2,'TALLY BOX DUMP'!74:74))</f>
        <v>0</v>
      </c>
      <c r="Z75" s="21">
        <f ca="1">IF($D75="","",SUMIF('TALLY BOX DUMP'!$1:$1,'ACH CALC'!Z$2,'TALLY BOX DUMP'!74:74)+AE75)</f>
        <v>0</v>
      </c>
      <c r="AA75" s="21">
        <f ca="1">IF($D75="","",SUMIF('TALLY BOX DUMP'!$1:$1,'ACH CALC'!AA$2,'TALLY BOX DUMP'!74:74))</f>
        <v>0</v>
      </c>
      <c r="AB75" s="21">
        <f ca="1">IF($D75="","",SUMIF('TALLY BOX DUMP'!$1:$1,'ACH CALC'!AB$2,'TALLY BOX DUMP'!74:74))</f>
        <v>0</v>
      </c>
      <c r="AC75" s="21">
        <f ca="1">IF($D75="","",SUMIF('TALLY BOX DUMP'!$1:$1,'ACH CALC'!AC$2,'TALLY BOX DUMP'!74:74))</f>
        <v>0</v>
      </c>
      <c r="AD75" s="21">
        <f ca="1">IF($D75="","",SUMIF('TALLY BOX DUMP'!$1:$1,'ACH CALC'!AD$2,'TALLY BOX DUMP'!74:74))</f>
        <v>0</v>
      </c>
      <c r="AE75" s="21">
        <f ca="1">IF($D75="","",SUMIF('TALLY BOX DUMP'!$1:$1,'ACH CALC'!AE$2,'TALLY BOX DUMP'!74:74))</f>
        <v>0</v>
      </c>
      <c r="AF75" s="21">
        <f ca="1">IF($D75="","",SUMIF('TALLY BOX DUMP'!$1:$1,'ACH CALC'!AF$2,'TALLY BOX DUMP'!74:74))</f>
        <v>0</v>
      </c>
      <c r="AG75" s="21">
        <f ca="1">IF($D75="","",SUMIF('TALLY BOX DUMP'!$1:$1,'ACH CALC'!AG$2,'TALLY BOX DUMP'!74:74))</f>
        <v>0</v>
      </c>
      <c r="AH75" s="21">
        <f ca="1">IF($D75="","",SUMIF('TALLY BOX DUMP'!$1:$1,'ACH CALC'!AH$2,'TALLY BOX DUMP'!74:74))</f>
        <v>0</v>
      </c>
      <c r="AI75" s="21">
        <f ca="1">IF($D75="","",SUMIF('TALLY BOX DUMP'!$1:$1,'ACH CALC'!AI$2,'TALLY BOX DUMP'!74:74))</f>
        <v>0</v>
      </c>
      <c r="AJ75" s="21">
        <f ca="1">IF($D75="","",SUMIF('TALLY BOX DUMP'!$1:$1,'ACH CALC'!AJ$2,'TALLY BOX DUMP'!74:74))</f>
        <v>0</v>
      </c>
      <c r="AK75" s="21">
        <f ca="1">IF($D75="","",SUMIF('TALLY BOX DUMP'!$1:$1,'ACH CALC'!AK$2,'TALLY BOX DUMP'!74:74))</f>
        <v>0</v>
      </c>
      <c r="AL75" s="21">
        <f ca="1">IF($D75="","",ROUND(SUMIF('TALLY KG DUMP'!$1:$1,'ACH CALC'!AL$2,'TALLY KG DUMP'!74:74)/30,1))</f>
        <v>0</v>
      </c>
      <c r="AM75" s="21">
        <f ca="1">IF($D75="","",SUMIF('TALLY BOX DUMP'!$1:$1,'ACH CALC'!AM$2,'TALLY BOX DUMP'!74:74))</f>
        <v>0</v>
      </c>
      <c r="AN75" s="21">
        <f ca="1">IF($D75="","",SUMIF('TALLY BOX DUMP'!$1:$1,'ACH CALC'!AN$2,'TALLY BOX DUMP'!74:74))</f>
        <v>0</v>
      </c>
      <c r="AO75" s="21">
        <f ca="1">IF($D75="","",SUMIF('TALLY BOX DUMP'!$1:$1,'ACH CALC'!AO$2,'TALLY BOX DUMP'!74:74))</f>
        <v>0</v>
      </c>
      <c r="AP75" s="21">
        <f ca="1">IF($D75="","",SUMIF('TALLY BOX DUMP'!$1:$1,'ACH CALC'!AP$2,'TALLY BOX DUMP'!74:74))</f>
        <v>0</v>
      </c>
      <c r="AQ75" s="21">
        <f ca="1">IF($D75="","",ROUND(SUMIF('TALLY KG DUMP'!$1:$1,'ACH CALC'!AQ$2,'TALLY KG DUMP'!74:74)/30,1))</f>
        <v>0</v>
      </c>
      <c r="AR75" s="21">
        <f ca="1">IF($D75="","",SUMIF('TALLY BOX DUMP'!$1:$1,'ACH CALC'!AR$2,'TALLY BOX DUMP'!74:74))</f>
        <v>0</v>
      </c>
      <c r="AS75" s="21">
        <f ca="1">IF($D75="","",SUMIF('TALLY BOX DUMP'!$1:$1,'ACH CALC'!AS$2,'TALLY BOX DUMP'!74:74))</f>
        <v>0</v>
      </c>
      <c r="AT75" s="21">
        <f ca="1">IF($D75="","",SUMIF('TALLY BOX DUMP'!$1:$1,'ACH CALC'!AT$2,'TALLY BOX DUMP'!74:74))</f>
        <v>0</v>
      </c>
      <c r="AU75" s="21">
        <f ca="1">IF($D75="","",SUMIF('TALLY BOX DUMP'!$1:$1,'ACH CALC'!AU$2,'TALLY BOX DUMP'!74:74))</f>
        <v>0</v>
      </c>
      <c r="AV75" s="21">
        <f ca="1">IF($D75="","",SUMIF('TALLY BOX DUMP'!$1:$1,'ACH CALC'!AV$2,'TALLY BOX DUMP'!74:74))</f>
        <v>0</v>
      </c>
      <c r="AW75" s="21">
        <f ca="1">IF($D75="","",SUMIF('TALLY BOX DUMP'!$1:$1,'ACH CALC'!AW$2,'TALLY BOX DUMP'!74:74))</f>
        <v>0</v>
      </c>
      <c r="AX75" s="21">
        <f ca="1">IF($D75="","",SUMIF('TALLY BOX DUMP'!$1:$1,'ACH CALC'!AX$2,'TALLY BOX DUMP'!74:74))</f>
        <v>0</v>
      </c>
      <c r="AY75" s="21">
        <f ca="1">IF($D75="","",SUMIF('TALLY BOX DUMP'!$1:$1,'ACH CALC'!AY$2,'TALLY BOX DUMP'!74:74))</f>
        <v>0</v>
      </c>
      <c r="AZ75" s="21">
        <f ca="1">IF($D75="","",SUMIF('TALLY BOX DUMP'!$1:$1,'ACH CALC'!AZ$2,'TALLY BOX DUMP'!74:74))</f>
        <v>0</v>
      </c>
      <c r="BA75" s="69">
        <f>(SUMIF('TALLY KG DUMP'!$2:$2,"Qty",'TALLY KG DUMP'!74:74)/1000)-(SUMIF('TALLY KG DUMP'!$1:$1,"GL",'TALLY KG DUMP'!74:74)/1000)</f>
        <v>8.26</v>
      </c>
      <c r="BB75" s="21" t="b">
        <f t="shared" ca="1" si="5"/>
        <v>1</v>
      </c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</row>
    <row r="76" spans="2:75" x14ac:dyDescent="0.25">
      <c r="B76" s="21" t="str">
        <f ca="1"/>
        <v>73</v>
      </c>
      <c r="C76" s="21" t="str">
        <f ca="1"/>
        <v>SUN06600</v>
      </c>
      <c r="D76" s="21" t="str">
        <f ca="1"/>
        <v>KODUMUDI-SUDHA SUPER MARKET</v>
      </c>
      <c r="E76" s="21">
        <f ca="1">IF($D76="","",(SUMIF('TALLY KG DUMP'!$2:$2,"Qty",'TALLY KG DUMP'!75:75)/1000)-(SUMIF('TALLY KG DUMP'!$1:$1,"GL",'TALLY KG DUMP'!75:75)/1000))</f>
        <v>0</v>
      </c>
      <c r="F76" s="21">
        <f ca="1">IF($D76="","",(SUMIF('TALLY KG DUMP'!$1:$1,'ACH CALC'!F$2,'TALLY KG DUMP'!75:75)/1000))</f>
        <v>0</v>
      </c>
      <c r="G76" s="21">
        <f ca="1">IF($D76="","",SUMIF('TALLY BOX DUMP'!$1:$1,'ACH CALC'!G$2,'TALLY BOX DUMP'!75:75)+Y76)</f>
        <v>0</v>
      </c>
      <c r="H76" s="21">
        <f t="shared" ca="1" si="3"/>
        <v>0</v>
      </c>
      <c r="I76" s="21">
        <f ca="1">IF($D76="","",SUMIF('TALLY BOX DUMP'!$1:$1,'ACH CALC'!I$2,'TALLY BOX DUMP'!75:75)+AA76)</f>
        <v>0</v>
      </c>
      <c r="J76" s="21">
        <f ca="1">IF($D76="","",SUMIF('TALLY BOX DUMP'!$1:$1,'ACH CALC'!J$2,'TALLY BOX DUMP'!75:75)+AB76)</f>
        <v>0</v>
      </c>
      <c r="K76" s="21">
        <f ca="1">IF($D76="","",SUMIF('TALLY BOX DUMP'!$1:$1,'ACH CALC'!K$2,'TALLY BOX DUMP'!75:75)+AC76)</f>
        <v>0</v>
      </c>
      <c r="L76" s="21">
        <f ca="1">IF($D76="","",SUMIF('TALLY BOX DUMP'!$1:$1,'ACH CALC'!L$2,'TALLY BOX DUMP'!75:75))</f>
        <v>0</v>
      </c>
      <c r="M76" s="21">
        <f ca="1">IF($D76="","",SUMIF('TALLY BOX DUMP'!$1:$1,'ACH CALC'!M$2,'TALLY BOX DUMP'!75:75)+AD76)</f>
        <v>0</v>
      </c>
      <c r="N76" s="21">
        <f ca="1">IF($D76="","",SUMIF('TALLY BOX DUMP'!$1:$1,'ACH CALC'!N$2,'TALLY BOX DUMP'!75:75))</f>
        <v>0</v>
      </c>
      <c r="O76" s="21">
        <f ca="1">IF($D76="","",SUMIF('TALLY BOX DUMP'!$1:$1,'ACH CALC'!O$2,'TALLY BOX DUMP'!75:75))</f>
        <v>0</v>
      </c>
      <c r="P76" s="21">
        <f ca="1">IF($D76="","",SUMIF('TALLY BOX DUMP'!$1:$1,'ACH CALC'!P$2,'TALLY BOX DUMP'!75:75))</f>
        <v>0</v>
      </c>
      <c r="Q76" s="21">
        <f t="shared" ca="1" si="4"/>
        <v>0</v>
      </c>
      <c r="R76" s="21">
        <f ca="1">IF($D76="","",SUMIF('TALLY BOX DUMP'!$1:$1,'ACH CALC'!R$2,'TALLY BOX DUMP'!75:75))</f>
        <v>0</v>
      </c>
      <c r="S76" s="21">
        <f ca="1">IF($D76="","",SUMIF('TALLY BOX DUMP'!$1:$1,'ACH CALC'!S$2,'TALLY BOX DUMP'!75:75))</f>
        <v>0</v>
      </c>
      <c r="T76" s="21">
        <f ca="1">IF($D76="","",SUMIF('TALLY BOX DUMP'!$1:$1,'ACH CALC'!T$2,'TALLY BOX DUMP'!75:75))</f>
        <v>0</v>
      </c>
      <c r="U76" s="21">
        <f ca="1">IF($D76="","",SUMIF('TALLY BOX DUMP'!$1:$1,'ACH CALC'!U$2,'TALLY BOX DUMP'!75:75))</f>
        <v>0</v>
      </c>
      <c r="V76" s="21">
        <f ca="1">IF($D76="","",SUMIF('TALLY BOX DUMP'!$1:$1,'ACH CALC'!V$2,'TALLY BOX DUMP'!75:75))</f>
        <v>0</v>
      </c>
      <c r="W76" s="21">
        <f ca="1">IF($D76="","",SUMIF('TALLY BOX DUMP'!$1:$1,'ACH CALC'!W$2,'TALLY BOX DUMP'!75:75))</f>
        <v>0</v>
      </c>
      <c r="X76" s="21">
        <f ca="1">IF($D76="","",SUMIF('TALLY BOX DUMP'!$1:$1,'ACH CALC'!X$2,'TALLY BOX DUMP'!75:75))</f>
        <v>0</v>
      </c>
      <c r="Y76" s="21">
        <f ca="1">IF($D76="","",SUMIF('TALLY BOX DUMP'!$1:$1,'ACH CALC'!Y$2,'TALLY BOX DUMP'!75:75))</f>
        <v>0</v>
      </c>
      <c r="Z76" s="21">
        <f ca="1">IF($D76="","",SUMIF('TALLY BOX DUMP'!$1:$1,'ACH CALC'!Z$2,'TALLY BOX DUMP'!75:75)+AE76)</f>
        <v>0</v>
      </c>
      <c r="AA76" s="21">
        <f ca="1">IF($D76="","",SUMIF('TALLY BOX DUMP'!$1:$1,'ACH CALC'!AA$2,'TALLY BOX DUMP'!75:75))</f>
        <v>0</v>
      </c>
      <c r="AB76" s="21">
        <f ca="1">IF($D76="","",SUMIF('TALLY BOX DUMP'!$1:$1,'ACH CALC'!AB$2,'TALLY BOX DUMP'!75:75))</f>
        <v>0</v>
      </c>
      <c r="AC76" s="21">
        <f ca="1">IF($D76="","",SUMIF('TALLY BOX DUMP'!$1:$1,'ACH CALC'!AC$2,'TALLY BOX DUMP'!75:75))</f>
        <v>0</v>
      </c>
      <c r="AD76" s="21">
        <f ca="1">IF($D76="","",SUMIF('TALLY BOX DUMP'!$1:$1,'ACH CALC'!AD$2,'TALLY BOX DUMP'!75:75))</f>
        <v>0</v>
      </c>
      <c r="AE76" s="21">
        <f ca="1">IF($D76="","",SUMIF('TALLY BOX DUMP'!$1:$1,'ACH CALC'!AE$2,'TALLY BOX DUMP'!75:75))</f>
        <v>0</v>
      </c>
      <c r="AF76" s="21">
        <f ca="1">IF($D76="","",SUMIF('TALLY BOX DUMP'!$1:$1,'ACH CALC'!AF$2,'TALLY BOX DUMP'!75:75))</f>
        <v>0</v>
      </c>
      <c r="AG76" s="21">
        <f ca="1">IF($D76="","",SUMIF('TALLY BOX DUMP'!$1:$1,'ACH CALC'!AG$2,'TALLY BOX DUMP'!75:75))</f>
        <v>0</v>
      </c>
      <c r="AH76" s="21">
        <f ca="1">IF($D76="","",SUMIF('TALLY BOX DUMP'!$1:$1,'ACH CALC'!AH$2,'TALLY BOX DUMP'!75:75))</f>
        <v>0</v>
      </c>
      <c r="AI76" s="21">
        <f ca="1">IF($D76="","",SUMIF('TALLY BOX DUMP'!$1:$1,'ACH CALC'!AI$2,'TALLY BOX DUMP'!75:75))</f>
        <v>0</v>
      </c>
      <c r="AJ76" s="21">
        <f ca="1">IF($D76="","",SUMIF('TALLY BOX DUMP'!$1:$1,'ACH CALC'!AJ$2,'TALLY BOX DUMP'!75:75))</f>
        <v>0</v>
      </c>
      <c r="AK76" s="21">
        <f ca="1">IF($D76="","",SUMIF('TALLY BOX DUMP'!$1:$1,'ACH CALC'!AK$2,'TALLY BOX DUMP'!75:75))</f>
        <v>0</v>
      </c>
      <c r="AL76" s="21">
        <f ca="1">IF($D76="","",ROUND(SUMIF('TALLY KG DUMP'!$1:$1,'ACH CALC'!AL$2,'TALLY KG DUMP'!75:75)/30,1))</f>
        <v>0</v>
      </c>
      <c r="AM76" s="21">
        <f ca="1">IF($D76="","",SUMIF('TALLY BOX DUMP'!$1:$1,'ACH CALC'!AM$2,'TALLY BOX DUMP'!75:75))</f>
        <v>0</v>
      </c>
      <c r="AN76" s="21">
        <f ca="1">IF($D76="","",SUMIF('TALLY BOX DUMP'!$1:$1,'ACH CALC'!AN$2,'TALLY BOX DUMP'!75:75))</f>
        <v>0</v>
      </c>
      <c r="AO76" s="21">
        <f ca="1">IF($D76="","",SUMIF('TALLY BOX DUMP'!$1:$1,'ACH CALC'!AO$2,'TALLY BOX DUMP'!75:75))</f>
        <v>0</v>
      </c>
      <c r="AP76" s="21">
        <f ca="1">IF($D76="","",SUMIF('TALLY BOX DUMP'!$1:$1,'ACH CALC'!AP$2,'TALLY BOX DUMP'!75:75))</f>
        <v>0</v>
      </c>
      <c r="AQ76" s="21">
        <f ca="1">IF($D76="","",ROUND(SUMIF('TALLY KG DUMP'!$1:$1,'ACH CALC'!AQ$2,'TALLY KG DUMP'!75:75)/30,1))</f>
        <v>0</v>
      </c>
      <c r="AR76" s="21">
        <f ca="1">IF($D76="","",SUMIF('TALLY BOX DUMP'!$1:$1,'ACH CALC'!AR$2,'TALLY BOX DUMP'!75:75))</f>
        <v>0</v>
      </c>
      <c r="AS76" s="21">
        <f ca="1">IF($D76="","",SUMIF('TALLY BOX DUMP'!$1:$1,'ACH CALC'!AS$2,'TALLY BOX DUMP'!75:75))</f>
        <v>0</v>
      </c>
      <c r="AT76" s="21">
        <f ca="1">IF($D76="","",SUMIF('TALLY BOX DUMP'!$1:$1,'ACH CALC'!AT$2,'TALLY BOX DUMP'!75:75))</f>
        <v>0</v>
      </c>
      <c r="AU76" s="21">
        <f ca="1">IF($D76="","",SUMIF('TALLY BOX DUMP'!$1:$1,'ACH CALC'!AU$2,'TALLY BOX DUMP'!75:75))</f>
        <v>0</v>
      </c>
      <c r="AV76" s="21">
        <f ca="1">IF($D76="","",SUMIF('TALLY BOX DUMP'!$1:$1,'ACH CALC'!AV$2,'TALLY BOX DUMP'!75:75))</f>
        <v>0</v>
      </c>
      <c r="AW76" s="21">
        <f ca="1">IF($D76="","",SUMIF('TALLY BOX DUMP'!$1:$1,'ACH CALC'!AW$2,'TALLY BOX DUMP'!75:75))</f>
        <v>0</v>
      </c>
      <c r="AX76" s="21">
        <f ca="1">IF($D76="","",SUMIF('TALLY BOX DUMP'!$1:$1,'ACH CALC'!AX$2,'TALLY BOX DUMP'!75:75))</f>
        <v>0</v>
      </c>
      <c r="AY76" s="21">
        <f ca="1">IF($D76="","",SUMIF('TALLY BOX DUMP'!$1:$1,'ACH CALC'!AY$2,'TALLY BOX DUMP'!75:75))</f>
        <v>0</v>
      </c>
      <c r="AZ76" s="21">
        <f ca="1">IF($D76="","",SUMIF('TALLY BOX DUMP'!$1:$1,'ACH CALC'!AZ$2,'TALLY BOX DUMP'!75:75))</f>
        <v>0</v>
      </c>
      <c r="BA76" s="69">
        <f>(SUMIF('TALLY KG DUMP'!$2:$2,"Qty",'TALLY KG DUMP'!75:75)/1000)-(SUMIF('TALLY KG DUMP'!$1:$1,"GL",'TALLY KG DUMP'!75:75)/1000)</f>
        <v>0</v>
      </c>
      <c r="BB76" s="21" t="b">
        <f t="shared" ca="1" si="5"/>
        <v>1</v>
      </c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</row>
    <row r="77" spans="2:75" x14ac:dyDescent="0.25">
      <c r="B77" s="21" t="str">
        <f ca="1"/>
        <v>74</v>
      </c>
      <c r="C77" s="21" t="str">
        <f ca="1"/>
        <v>SUN03375</v>
      </c>
      <c r="D77" s="21" t="str">
        <f ca="1"/>
        <v>KA KATTIGENAHALLI SRI VINAYAKA PROVISION STORES</v>
      </c>
      <c r="E77" s="21">
        <f ca="1">IF($D77="","",(SUMIF('TALLY KG DUMP'!$2:$2,"Qty",'TALLY KG DUMP'!76:76)/1000)-(SUMIF('TALLY KG DUMP'!$1:$1,"GL",'TALLY KG DUMP'!76:76)/1000))</f>
        <v>3.3879999999999999</v>
      </c>
      <c r="F77" s="21">
        <f ca="1">IF($D77="","",(SUMIF('TALLY KG DUMP'!$1:$1,'ACH CALC'!F$2,'TALLY KG DUMP'!76:76)/1000))</f>
        <v>0</v>
      </c>
      <c r="G77" s="21">
        <f ca="1">IF($D77="","",SUMIF('TALLY BOX DUMP'!$1:$1,'ACH CALC'!G$2,'TALLY BOX DUMP'!76:76)+Y77)</f>
        <v>0</v>
      </c>
      <c r="H77" s="21">
        <f t="shared" ca="1" si="3"/>
        <v>0</v>
      </c>
      <c r="I77" s="21">
        <f ca="1">IF($D77="","",SUMIF('TALLY BOX DUMP'!$1:$1,'ACH CALC'!I$2,'TALLY BOX DUMP'!76:76)+AA77)</f>
        <v>0</v>
      </c>
      <c r="J77" s="21">
        <f ca="1">IF($D77="","",SUMIF('TALLY BOX DUMP'!$1:$1,'ACH CALC'!J$2,'TALLY BOX DUMP'!76:76)+AB77)</f>
        <v>0</v>
      </c>
      <c r="K77" s="21">
        <f ca="1">IF($D77="","",SUMIF('TALLY BOX DUMP'!$1:$1,'ACH CALC'!K$2,'TALLY BOX DUMP'!76:76)+AC77)</f>
        <v>0</v>
      </c>
      <c r="L77" s="21">
        <f ca="1">IF($D77="","",SUMIF('TALLY BOX DUMP'!$1:$1,'ACH CALC'!L$2,'TALLY BOX DUMP'!76:76))</f>
        <v>0</v>
      </c>
      <c r="M77" s="21">
        <f ca="1">IF($D77="","",SUMIF('TALLY BOX DUMP'!$1:$1,'ACH CALC'!M$2,'TALLY BOX DUMP'!76:76)+AD77)</f>
        <v>0</v>
      </c>
      <c r="N77" s="21">
        <f ca="1">IF($D77="","",SUMIF('TALLY BOX DUMP'!$1:$1,'ACH CALC'!N$2,'TALLY BOX DUMP'!76:76))</f>
        <v>0</v>
      </c>
      <c r="O77" s="21">
        <f ca="1">IF($D77="","",SUMIF('TALLY BOX DUMP'!$1:$1,'ACH CALC'!O$2,'TALLY BOX DUMP'!76:76))</f>
        <v>0</v>
      </c>
      <c r="P77" s="21">
        <f ca="1">IF($D77="","",SUMIF('TALLY BOX DUMP'!$1:$1,'ACH CALC'!P$2,'TALLY BOX DUMP'!76:76))</f>
        <v>0</v>
      </c>
      <c r="Q77" s="21">
        <f t="shared" ca="1" si="4"/>
        <v>0</v>
      </c>
      <c r="R77" s="21">
        <f ca="1">IF($D77="","",SUMIF('TALLY BOX DUMP'!$1:$1,'ACH CALC'!R$2,'TALLY BOX DUMP'!76:76))</f>
        <v>0</v>
      </c>
      <c r="S77" s="21">
        <f ca="1">IF($D77="","",SUMIF('TALLY BOX DUMP'!$1:$1,'ACH CALC'!S$2,'TALLY BOX DUMP'!76:76))</f>
        <v>0</v>
      </c>
      <c r="T77" s="21">
        <f ca="1">IF($D77="","",SUMIF('TALLY BOX DUMP'!$1:$1,'ACH CALC'!T$2,'TALLY BOX DUMP'!76:76))</f>
        <v>0</v>
      </c>
      <c r="U77" s="21">
        <f ca="1">IF($D77="","",SUMIF('TALLY BOX DUMP'!$1:$1,'ACH CALC'!U$2,'TALLY BOX DUMP'!76:76))</f>
        <v>0</v>
      </c>
      <c r="V77" s="21">
        <f ca="1">IF($D77="","",SUMIF('TALLY BOX DUMP'!$1:$1,'ACH CALC'!V$2,'TALLY BOX DUMP'!76:76))</f>
        <v>0</v>
      </c>
      <c r="W77" s="21">
        <f ca="1">IF($D77="","",SUMIF('TALLY BOX DUMP'!$1:$1,'ACH CALC'!W$2,'TALLY BOX DUMP'!76:76))</f>
        <v>0</v>
      </c>
      <c r="X77" s="21">
        <f ca="1">IF($D77="","",SUMIF('TALLY BOX DUMP'!$1:$1,'ACH CALC'!X$2,'TALLY BOX DUMP'!76:76))</f>
        <v>0</v>
      </c>
      <c r="Y77" s="21">
        <f ca="1">IF($D77="","",SUMIF('TALLY BOX DUMP'!$1:$1,'ACH CALC'!Y$2,'TALLY BOX DUMP'!76:76))</f>
        <v>0</v>
      </c>
      <c r="Z77" s="21">
        <f ca="1">IF($D77="","",SUMIF('TALLY BOX DUMP'!$1:$1,'ACH CALC'!Z$2,'TALLY BOX DUMP'!76:76)+AE77)</f>
        <v>0</v>
      </c>
      <c r="AA77" s="21">
        <f ca="1">IF($D77="","",SUMIF('TALLY BOX DUMP'!$1:$1,'ACH CALC'!AA$2,'TALLY BOX DUMP'!76:76))</f>
        <v>0</v>
      </c>
      <c r="AB77" s="21">
        <f ca="1">IF($D77="","",SUMIF('TALLY BOX DUMP'!$1:$1,'ACH CALC'!AB$2,'TALLY BOX DUMP'!76:76))</f>
        <v>0</v>
      </c>
      <c r="AC77" s="21">
        <f ca="1">IF($D77="","",SUMIF('TALLY BOX DUMP'!$1:$1,'ACH CALC'!AC$2,'TALLY BOX DUMP'!76:76))</f>
        <v>0</v>
      </c>
      <c r="AD77" s="21">
        <f ca="1">IF($D77="","",SUMIF('TALLY BOX DUMP'!$1:$1,'ACH CALC'!AD$2,'TALLY BOX DUMP'!76:76))</f>
        <v>0</v>
      </c>
      <c r="AE77" s="21">
        <f ca="1">IF($D77="","",SUMIF('TALLY BOX DUMP'!$1:$1,'ACH CALC'!AE$2,'TALLY BOX DUMP'!76:76))</f>
        <v>0</v>
      </c>
      <c r="AF77" s="21">
        <f ca="1">IF($D77="","",SUMIF('TALLY BOX DUMP'!$1:$1,'ACH CALC'!AF$2,'TALLY BOX DUMP'!76:76))</f>
        <v>0</v>
      </c>
      <c r="AG77" s="21">
        <f ca="1">IF($D77="","",SUMIF('TALLY BOX DUMP'!$1:$1,'ACH CALC'!AG$2,'TALLY BOX DUMP'!76:76))</f>
        <v>0</v>
      </c>
      <c r="AH77" s="21">
        <f ca="1">IF($D77="","",SUMIF('TALLY BOX DUMP'!$1:$1,'ACH CALC'!AH$2,'TALLY BOX DUMP'!76:76))</f>
        <v>0</v>
      </c>
      <c r="AI77" s="21">
        <f ca="1">IF($D77="","",SUMIF('TALLY BOX DUMP'!$1:$1,'ACH CALC'!AI$2,'TALLY BOX DUMP'!76:76))</f>
        <v>0</v>
      </c>
      <c r="AJ77" s="21">
        <f ca="1">IF($D77="","",SUMIF('TALLY BOX DUMP'!$1:$1,'ACH CALC'!AJ$2,'TALLY BOX DUMP'!76:76))</f>
        <v>0</v>
      </c>
      <c r="AK77" s="21">
        <f ca="1">IF($D77="","",SUMIF('TALLY BOX DUMP'!$1:$1,'ACH CALC'!AK$2,'TALLY BOX DUMP'!76:76))</f>
        <v>0</v>
      </c>
      <c r="AL77" s="21">
        <f ca="1">IF($D77="","",ROUND(SUMIF('TALLY KG DUMP'!$1:$1,'ACH CALC'!AL$2,'TALLY KG DUMP'!76:76)/30,1))</f>
        <v>0</v>
      </c>
      <c r="AM77" s="21">
        <f ca="1">IF($D77="","",SUMIF('TALLY BOX DUMP'!$1:$1,'ACH CALC'!AM$2,'TALLY BOX DUMP'!76:76))</f>
        <v>0</v>
      </c>
      <c r="AN77" s="21">
        <f ca="1">IF($D77="","",SUMIF('TALLY BOX DUMP'!$1:$1,'ACH CALC'!AN$2,'TALLY BOX DUMP'!76:76))</f>
        <v>0</v>
      </c>
      <c r="AO77" s="21">
        <f ca="1">IF($D77="","",SUMIF('TALLY BOX DUMP'!$1:$1,'ACH CALC'!AO$2,'TALLY BOX DUMP'!76:76))</f>
        <v>0</v>
      </c>
      <c r="AP77" s="21">
        <f ca="1">IF($D77="","",SUMIF('TALLY BOX DUMP'!$1:$1,'ACH CALC'!AP$2,'TALLY BOX DUMP'!76:76))</f>
        <v>0</v>
      </c>
      <c r="AQ77" s="21">
        <f ca="1">IF($D77="","",ROUND(SUMIF('TALLY KG DUMP'!$1:$1,'ACH CALC'!AQ$2,'TALLY KG DUMP'!76:76)/30,1))</f>
        <v>0</v>
      </c>
      <c r="AR77" s="21">
        <f ca="1">IF($D77="","",SUMIF('TALLY BOX DUMP'!$1:$1,'ACH CALC'!AR$2,'TALLY BOX DUMP'!76:76))</f>
        <v>0</v>
      </c>
      <c r="AS77" s="21">
        <f ca="1">IF($D77="","",SUMIF('TALLY BOX DUMP'!$1:$1,'ACH CALC'!AS$2,'TALLY BOX DUMP'!76:76))</f>
        <v>0</v>
      </c>
      <c r="AT77" s="21">
        <f ca="1">IF($D77="","",SUMIF('TALLY BOX DUMP'!$1:$1,'ACH CALC'!AT$2,'TALLY BOX DUMP'!76:76))</f>
        <v>0</v>
      </c>
      <c r="AU77" s="21">
        <f ca="1">IF($D77="","",SUMIF('TALLY BOX DUMP'!$1:$1,'ACH CALC'!AU$2,'TALLY BOX DUMP'!76:76))</f>
        <v>0</v>
      </c>
      <c r="AV77" s="21">
        <f ca="1">IF($D77="","",SUMIF('TALLY BOX DUMP'!$1:$1,'ACH CALC'!AV$2,'TALLY BOX DUMP'!76:76))</f>
        <v>0</v>
      </c>
      <c r="AW77" s="21">
        <f ca="1">IF($D77="","",SUMIF('TALLY BOX DUMP'!$1:$1,'ACH CALC'!AW$2,'TALLY BOX DUMP'!76:76))</f>
        <v>0</v>
      </c>
      <c r="AX77" s="21">
        <f ca="1">IF($D77="","",SUMIF('TALLY BOX DUMP'!$1:$1,'ACH CALC'!AX$2,'TALLY BOX DUMP'!76:76))</f>
        <v>0</v>
      </c>
      <c r="AY77" s="21">
        <f ca="1">IF($D77="","",SUMIF('TALLY BOX DUMP'!$1:$1,'ACH CALC'!AY$2,'TALLY BOX DUMP'!76:76))</f>
        <v>0</v>
      </c>
      <c r="AZ77" s="21">
        <f ca="1">IF($D77="","",SUMIF('TALLY BOX DUMP'!$1:$1,'ACH CALC'!AZ$2,'TALLY BOX DUMP'!76:76))</f>
        <v>0</v>
      </c>
      <c r="BA77" s="69">
        <f>(SUMIF('TALLY KG DUMP'!$2:$2,"Qty",'TALLY KG DUMP'!76:76)/1000)-(SUMIF('TALLY KG DUMP'!$1:$1,"GL",'TALLY KG DUMP'!76:76)/1000)</f>
        <v>3.3879999999999999</v>
      </c>
      <c r="BB77" s="21" t="b">
        <f t="shared" ca="1" si="5"/>
        <v>1</v>
      </c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</row>
    <row r="78" spans="2:75" x14ac:dyDescent="0.25">
      <c r="B78" s="21" t="str">
        <f ca="1"/>
        <v>75</v>
      </c>
      <c r="C78" s="21" t="str">
        <f ca="1"/>
        <v>SUN05864</v>
      </c>
      <c r="D78" s="21" t="str">
        <f ca="1"/>
        <v>BLR SUNRAJA OIL INDUSTERIES PVT LTD (NEW)</v>
      </c>
      <c r="E78" s="21">
        <f ca="1">IF($D78="","",(SUMIF('TALLY KG DUMP'!$2:$2,"Qty",'TALLY KG DUMP'!77:77)/1000)-(SUMIF('TALLY KG DUMP'!$1:$1,"GL",'TALLY KG DUMP'!77:77)/1000))</f>
        <v>10.92</v>
      </c>
      <c r="F78" s="21">
        <f ca="1">IF($D78="","",(SUMIF('TALLY KG DUMP'!$1:$1,'ACH CALC'!F$2,'TALLY KG DUMP'!77:77)/1000))</f>
        <v>0</v>
      </c>
      <c r="G78" s="21">
        <f ca="1">IF($D78="","",SUMIF('TALLY BOX DUMP'!$1:$1,'ACH CALC'!G$2,'TALLY BOX DUMP'!77:77)+Y78)</f>
        <v>0</v>
      </c>
      <c r="H78" s="21">
        <f t="shared" ca="1" si="3"/>
        <v>0</v>
      </c>
      <c r="I78" s="21">
        <f ca="1">IF($D78="","",SUMIF('TALLY BOX DUMP'!$1:$1,'ACH CALC'!I$2,'TALLY BOX DUMP'!77:77)+AA78)</f>
        <v>0</v>
      </c>
      <c r="J78" s="21">
        <f ca="1">IF($D78="","",SUMIF('TALLY BOX DUMP'!$1:$1,'ACH CALC'!J$2,'TALLY BOX DUMP'!77:77)+AB78)</f>
        <v>0</v>
      </c>
      <c r="K78" s="21">
        <f ca="1">IF($D78="","",SUMIF('TALLY BOX DUMP'!$1:$1,'ACH CALC'!K$2,'TALLY BOX DUMP'!77:77)+AC78)</f>
        <v>0</v>
      </c>
      <c r="L78" s="21">
        <f ca="1">IF($D78="","",SUMIF('TALLY BOX DUMP'!$1:$1,'ACH CALC'!L$2,'TALLY BOX DUMP'!77:77))</f>
        <v>0</v>
      </c>
      <c r="M78" s="21">
        <f ca="1">IF($D78="","",SUMIF('TALLY BOX DUMP'!$1:$1,'ACH CALC'!M$2,'TALLY BOX DUMP'!77:77)+AD78)</f>
        <v>0</v>
      </c>
      <c r="N78" s="21">
        <f ca="1">IF($D78="","",SUMIF('TALLY BOX DUMP'!$1:$1,'ACH CALC'!N$2,'TALLY BOX DUMP'!77:77))</f>
        <v>0</v>
      </c>
      <c r="O78" s="21">
        <f ca="1">IF($D78="","",SUMIF('TALLY BOX DUMP'!$1:$1,'ACH CALC'!O$2,'TALLY BOX DUMP'!77:77))</f>
        <v>0</v>
      </c>
      <c r="P78" s="21">
        <f ca="1">IF($D78="","",SUMIF('TALLY BOX DUMP'!$1:$1,'ACH CALC'!P$2,'TALLY BOX DUMP'!77:77))</f>
        <v>0</v>
      </c>
      <c r="Q78" s="21">
        <f t="shared" ca="1" si="4"/>
        <v>0</v>
      </c>
      <c r="R78" s="21">
        <f ca="1">IF($D78="","",SUMIF('TALLY BOX DUMP'!$1:$1,'ACH CALC'!R$2,'TALLY BOX DUMP'!77:77))</f>
        <v>0</v>
      </c>
      <c r="S78" s="21">
        <f ca="1">IF($D78="","",SUMIF('TALLY BOX DUMP'!$1:$1,'ACH CALC'!S$2,'TALLY BOX DUMP'!77:77))</f>
        <v>0</v>
      </c>
      <c r="T78" s="21">
        <f ca="1">IF($D78="","",SUMIF('TALLY BOX DUMP'!$1:$1,'ACH CALC'!T$2,'TALLY BOX DUMP'!77:77))</f>
        <v>0</v>
      </c>
      <c r="U78" s="21">
        <f ca="1">IF($D78="","",SUMIF('TALLY BOX DUMP'!$1:$1,'ACH CALC'!U$2,'TALLY BOX DUMP'!77:77))</f>
        <v>0</v>
      </c>
      <c r="V78" s="21">
        <f ca="1">IF($D78="","",SUMIF('TALLY BOX DUMP'!$1:$1,'ACH CALC'!V$2,'TALLY BOX DUMP'!77:77))</f>
        <v>0</v>
      </c>
      <c r="W78" s="21">
        <f ca="1">IF($D78="","",SUMIF('TALLY BOX DUMP'!$1:$1,'ACH CALC'!W$2,'TALLY BOX DUMP'!77:77))</f>
        <v>0</v>
      </c>
      <c r="X78" s="21">
        <f ca="1">IF($D78="","",SUMIF('TALLY BOX DUMP'!$1:$1,'ACH CALC'!X$2,'TALLY BOX DUMP'!77:77))</f>
        <v>0</v>
      </c>
      <c r="Y78" s="21">
        <f ca="1">IF($D78="","",SUMIF('TALLY BOX DUMP'!$1:$1,'ACH CALC'!Y$2,'TALLY BOX DUMP'!77:77))</f>
        <v>0</v>
      </c>
      <c r="Z78" s="21">
        <f ca="1">IF($D78="","",SUMIF('TALLY BOX DUMP'!$1:$1,'ACH CALC'!Z$2,'TALLY BOX DUMP'!77:77)+AE78)</f>
        <v>0</v>
      </c>
      <c r="AA78" s="21">
        <f ca="1">IF($D78="","",SUMIF('TALLY BOX DUMP'!$1:$1,'ACH CALC'!AA$2,'TALLY BOX DUMP'!77:77))</f>
        <v>0</v>
      </c>
      <c r="AB78" s="21">
        <f ca="1">IF($D78="","",SUMIF('TALLY BOX DUMP'!$1:$1,'ACH CALC'!AB$2,'TALLY BOX DUMP'!77:77))</f>
        <v>0</v>
      </c>
      <c r="AC78" s="21">
        <f ca="1">IF($D78="","",SUMIF('TALLY BOX DUMP'!$1:$1,'ACH CALC'!AC$2,'TALLY BOX DUMP'!77:77))</f>
        <v>0</v>
      </c>
      <c r="AD78" s="21">
        <f ca="1">IF($D78="","",SUMIF('TALLY BOX DUMP'!$1:$1,'ACH CALC'!AD$2,'TALLY BOX DUMP'!77:77))</f>
        <v>0</v>
      </c>
      <c r="AE78" s="21">
        <f ca="1">IF($D78="","",SUMIF('TALLY BOX DUMP'!$1:$1,'ACH CALC'!AE$2,'TALLY BOX DUMP'!77:77))</f>
        <v>0</v>
      </c>
      <c r="AF78" s="21">
        <f ca="1">IF($D78="","",SUMIF('TALLY BOX DUMP'!$1:$1,'ACH CALC'!AF$2,'TALLY BOX DUMP'!77:77))</f>
        <v>0</v>
      </c>
      <c r="AG78" s="21">
        <f ca="1">IF($D78="","",SUMIF('TALLY BOX DUMP'!$1:$1,'ACH CALC'!AG$2,'TALLY BOX DUMP'!77:77))</f>
        <v>0</v>
      </c>
      <c r="AH78" s="21">
        <f ca="1">IF($D78="","",SUMIF('TALLY BOX DUMP'!$1:$1,'ACH CALC'!AH$2,'TALLY BOX DUMP'!77:77))</f>
        <v>0</v>
      </c>
      <c r="AI78" s="21">
        <f ca="1">IF($D78="","",SUMIF('TALLY BOX DUMP'!$1:$1,'ACH CALC'!AI$2,'TALLY BOX DUMP'!77:77))</f>
        <v>0</v>
      </c>
      <c r="AJ78" s="21">
        <f ca="1">IF($D78="","",SUMIF('TALLY BOX DUMP'!$1:$1,'ACH CALC'!AJ$2,'TALLY BOX DUMP'!77:77))</f>
        <v>0</v>
      </c>
      <c r="AK78" s="21">
        <f ca="1">IF($D78="","",SUMIF('TALLY BOX DUMP'!$1:$1,'ACH CALC'!AK$2,'TALLY BOX DUMP'!77:77))</f>
        <v>0</v>
      </c>
      <c r="AL78" s="21">
        <f ca="1">IF($D78="","",ROUND(SUMIF('TALLY KG DUMP'!$1:$1,'ACH CALC'!AL$2,'TALLY KG DUMP'!77:77)/30,1))</f>
        <v>0</v>
      </c>
      <c r="AM78" s="21">
        <f ca="1">IF($D78="","",SUMIF('TALLY BOX DUMP'!$1:$1,'ACH CALC'!AM$2,'TALLY BOX DUMP'!77:77))</f>
        <v>0</v>
      </c>
      <c r="AN78" s="21">
        <f ca="1">IF($D78="","",SUMIF('TALLY BOX DUMP'!$1:$1,'ACH CALC'!AN$2,'TALLY BOX DUMP'!77:77))</f>
        <v>0</v>
      </c>
      <c r="AO78" s="21">
        <f ca="1">IF($D78="","",SUMIF('TALLY BOX DUMP'!$1:$1,'ACH CALC'!AO$2,'TALLY BOX DUMP'!77:77))</f>
        <v>0</v>
      </c>
      <c r="AP78" s="21">
        <f ca="1">IF($D78="","",SUMIF('TALLY BOX DUMP'!$1:$1,'ACH CALC'!AP$2,'TALLY BOX DUMP'!77:77))</f>
        <v>0</v>
      </c>
      <c r="AQ78" s="21">
        <f ca="1">IF($D78="","",ROUND(SUMIF('TALLY KG DUMP'!$1:$1,'ACH CALC'!AQ$2,'TALLY KG DUMP'!77:77)/30,1))</f>
        <v>0</v>
      </c>
      <c r="AR78" s="21">
        <f ca="1">IF($D78="","",SUMIF('TALLY BOX DUMP'!$1:$1,'ACH CALC'!AR$2,'TALLY BOX DUMP'!77:77))</f>
        <v>0</v>
      </c>
      <c r="AS78" s="21">
        <f ca="1">IF($D78="","",SUMIF('TALLY BOX DUMP'!$1:$1,'ACH CALC'!AS$2,'TALLY BOX DUMP'!77:77))</f>
        <v>0</v>
      </c>
      <c r="AT78" s="21">
        <f ca="1">IF($D78="","",SUMIF('TALLY BOX DUMP'!$1:$1,'ACH CALC'!AT$2,'TALLY BOX DUMP'!77:77))</f>
        <v>0</v>
      </c>
      <c r="AU78" s="21">
        <f ca="1">IF($D78="","",SUMIF('TALLY BOX DUMP'!$1:$1,'ACH CALC'!AU$2,'TALLY BOX DUMP'!77:77))</f>
        <v>0</v>
      </c>
      <c r="AV78" s="21">
        <f ca="1">IF($D78="","",SUMIF('TALLY BOX DUMP'!$1:$1,'ACH CALC'!AV$2,'TALLY BOX DUMP'!77:77))</f>
        <v>0</v>
      </c>
      <c r="AW78" s="21">
        <f ca="1">IF($D78="","",SUMIF('TALLY BOX DUMP'!$1:$1,'ACH CALC'!AW$2,'TALLY BOX DUMP'!77:77))</f>
        <v>0</v>
      </c>
      <c r="AX78" s="21">
        <f ca="1">IF($D78="","",SUMIF('TALLY BOX DUMP'!$1:$1,'ACH CALC'!AX$2,'TALLY BOX DUMP'!77:77))</f>
        <v>0</v>
      </c>
      <c r="AY78" s="21">
        <f ca="1">IF($D78="","",SUMIF('TALLY BOX DUMP'!$1:$1,'ACH CALC'!AY$2,'TALLY BOX DUMP'!77:77))</f>
        <v>0</v>
      </c>
      <c r="AZ78" s="21">
        <f ca="1">IF($D78="","",SUMIF('TALLY BOX DUMP'!$1:$1,'ACH CALC'!AZ$2,'TALLY BOX DUMP'!77:77))</f>
        <v>0</v>
      </c>
      <c r="BA78" s="69">
        <f>(SUMIF('TALLY KG DUMP'!$2:$2,"Qty",'TALLY KG DUMP'!77:77)/1000)-(SUMIF('TALLY KG DUMP'!$1:$1,"GL",'TALLY KG DUMP'!77:77)/1000)</f>
        <v>10.92</v>
      </c>
      <c r="BB78" s="21" t="b">
        <f t="shared" ca="1" si="5"/>
        <v>1</v>
      </c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</row>
    <row r="79" spans="2:75" x14ac:dyDescent="0.25">
      <c r="B79" s="21" t="str">
        <f ca="1"/>
        <v>76</v>
      </c>
      <c r="C79" s="21" t="str">
        <f ca="1"/>
        <v>SUN04370</v>
      </c>
      <c r="D79" s="21" t="str">
        <f ca="1"/>
        <v>GOBI ARISH A TO Z WHOLESALER</v>
      </c>
      <c r="E79" s="21">
        <f ca="1">IF($D79="","",(SUMIF('TALLY KG DUMP'!$2:$2,"Qty",'TALLY KG DUMP'!78:78)/1000)-(SUMIF('TALLY KG DUMP'!$1:$1,"GL",'TALLY KG DUMP'!78:78)/1000))</f>
        <v>5.79</v>
      </c>
      <c r="F79" s="21">
        <f ca="1">IF($D79="","",(SUMIF('TALLY KG DUMP'!$1:$1,'ACH CALC'!F$2,'TALLY KG DUMP'!78:78)/1000))</f>
        <v>0</v>
      </c>
      <c r="G79" s="21">
        <f ca="1">IF($D79="","",SUMIF('TALLY BOX DUMP'!$1:$1,'ACH CALC'!G$2,'TALLY BOX DUMP'!78:78)+Y79)</f>
        <v>0</v>
      </c>
      <c r="H79" s="21">
        <f t="shared" ca="1" si="3"/>
        <v>0</v>
      </c>
      <c r="I79" s="21">
        <f ca="1">IF($D79="","",SUMIF('TALLY BOX DUMP'!$1:$1,'ACH CALC'!I$2,'TALLY BOX DUMP'!78:78)+AA79)</f>
        <v>0</v>
      </c>
      <c r="J79" s="21">
        <f ca="1">IF($D79="","",SUMIF('TALLY BOX DUMP'!$1:$1,'ACH CALC'!J$2,'TALLY BOX DUMP'!78:78)+AB79)</f>
        <v>0</v>
      </c>
      <c r="K79" s="21">
        <f ca="1">IF($D79="","",SUMIF('TALLY BOX DUMP'!$1:$1,'ACH CALC'!K$2,'TALLY BOX DUMP'!78:78)+AC79)</f>
        <v>0</v>
      </c>
      <c r="L79" s="21">
        <f ca="1">IF($D79="","",SUMIF('TALLY BOX DUMP'!$1:$1,'ACH CALC'!L$2,'TALLY BOX DUMP'!78:78))</f>
        <v>0</v>
      </c>
      <c r="M79" s="21">
        <f ca="1">IF($D79="","",SUMIF('TALLY BOX DUMP'!$1:$1,'ACH CALC'!M$2,'TALLY BOX DUMP'!78:78)+AD79)</f>
        <v>0</v>
      </c>
      <c r="N79" s="21">
        <f ca="1">IF($D79="","",SUMIF('TALLY BOX DUMP'!$1:$1,'ACH CALC'!N$2,'TALLY BOX DUMP'!78:78))</f>
        <v>0</v>
      </c>
      <c r="O79" s="21">
        <f ca="1">IF($D79="","",SUMIF('TALLY BOX DUMP'!$1:$1,'ACH CALC'!O$2,'TALLY BOX DUMP'!78:78))</f>
        <v>0</v>
      </c>
      <c r="P79" s="21">
        <f ca="1">IF($D79="","",SUMIF('TALLY BOX DUMP'!$1:$1,'ACH CALC'!P$2,'TALLY BOX DUMP'!78:78))</f>
        <v>0</v>
      </c>
      <c r="Q79" s="21">
        <f t="shared" ca="1" si="4"/>
        <v>0</v>
      </c>
      <c r="R79" s="21">
        <f ca="1">IF($D79="","",SUMIF('TALLY BOX DUMP'!$1:$1,'ACH CALC'!R$2,'TALLY BOX DUMP'!78:78))</f>
        <v>0</v>
      </c>
      <c r="S79" s="21">
        <f ca="1">IF($D79="","",SUMIF('TALLY BOX DUMP'!$1:$1,'ACH CALC'!S$2,'TALLY BOX DUMP'!78:78))</f>
        <v>0</v>
      </c>
      <c r="T79" s="21">
        <f ca="1">IF($D79="","",SUMIF('TALLY BOX DUMP'!$1:$1,'ACH CALC'!T$2,'TALLY BOX DUMP'!78:78))</f>
        <v>0</v>
      </c>
      <c r="U79" s="21">
        <f ca="1">IF($D79="","",SUMIF('TALLY BOX DUMP'!$1:$1,'ACH CALC'!U$2,'TALLY BOX DUMP'!78:78))</f>
        <v>0</v>
      </c>
      <c r="V79" s="21">
        <f ca="1">IF($D79="","",SUMIF('TALLY BOX DUMP'!$1:$1,'ACH CALC'!V$2,'TALLY BOX DUMP'!78:78))</f>
        <v>0</v>
      </c>
      <c r="W79" s="21">
        <f ca="1">IF($D79="","",SUMIF('TALLY BOX DUMP'!$1:$1,'ACH CALC'!W$2,'TALLY BOX DUMP'!78:78))</f>
        <v>0</v>
      </c>
      <c r="X79" s="21">
        <f ca="1">IF($D79="","",SUMIF('TALLY BOX DUMP'!$1:$1,'ACH CALC'!X$2,'TALLY BOX DUMP'!78:78))</f>
        <v>0</v>
      </c>
      <c r="Y79" s="21">
        <f ca="1">IF($D79="","",SUMIF('TALLY BOX DUMP'!$1:$1,'ACH CALC'!Y$2,'TALLY BOX DUMP'!78:78))</f>
        <v>0</v>
      </c>
      <c r="Z79" s="21">
        <f ca="1">IF($D79="","",SUMIF('TALLY BOX DUMP'!$1:$1,'ACH CALC'!Z$2,'TALLY BOX DUMP'!78:78)+AE79)</f>
        <v>0</v>
      </c>
      <c r="AA79" s="21">
        <f ca="1">IF($D79="","",SUMIF('TALLY BOX DUMP'!$1:$1,'ACH CALC'!AA$2,'TALLY BOX DUMP'!78:78))</f>
        <v>0</v>
      </c>
      <c r="AB79" s="21">
        <f ca="1">IF($D79="","",SUMIF('TALLY BOX DUMP'!$1:$1,'ACH CALC'!AB$2,'TALLY BOX DUMP'!78:78))</f>
        <v>0</v>
      </c>
      <c r="AC79" s="21">
        <f ca="1">IF($D79="","",SUMIF('TALLY BOX DUMP'!$1:$1,'ACH CALC'!AC$2,'TALLY BOX DUMP'!78:78))</f>
        <v>0</v>
      </c>
      <c r="AD79" s="21">
        <f ca="1">IF($D79="","",SUMIF('TALLY BOX DUMP'!$1:$1,'ACH CALC'!AD$2,'TALLY BOX DUMP'!78:78))</f>
        <v>0</v>
      </c>
      <c r="AE79" s="21">
        <f ca="1">IF($D79="","",SUMIF('TALLY BOX DUMP'!$1:$1,'ACH CALC'!AE$2,'TALLY BOX DUMP'!78:78))</f>
        <v>0</v>
      </c>
      <c r="AF79" s="21">
        <f ca="1">IF($D79="","",SUMIF('TALLY BOX DUMP'!$1:$1,'ACH CALC'!AF$2,'TALLY BOX DUMP'!78:78))</f>
        <v>0</v>
      </c>
      <c r="AG79" s="21">
        <f ca="1">IF($D79="","",SUMIF('TALLY BOX DUMP'!$1:$1,'ACH CALC'!AG$2,'TALLY BOX DUMP'!78:78))</f>
        <v>0</v>
      </c>
      <c r="AH79" s="21">
        <f ca="1">IF($D79="","",SUMIF('TALLY BOX DUMP'!$1:$1,'ACH CALC'!AH$2,'TALLY BOX DUMP'!78:78))</f>
        <v>0</v>
      </c>
      <c r="AI79" s="21">
        <f ca="1">IF($D79="","",SUMIF('TALLY BOX DUMP'!$1:$1,'ACH CALC'!AI$2,'TALLY BOX DUMP'!78:78))</f>
        <v>0</v>
      </c>
      <c r="AJ79" s="21">
        <f ca="1">IF($D79="","",SUMIF('TALLY BOX DUMP'!$1:$1,'ACH CALC'!AJ$2,'TALLY BOX DUMP'!78:78))</f>
        <v>0</v>
      </c>
      <c r="AK79" s="21">
        <f ca="1">IF($D79="","",SUMIF('TALLY BOX DUMP'!$1:$1,'ACH CALC'!AK$2,'TALLY BOX DUMP'!78:78))</f>
        <v>0</v>
      </c>
      <c r="AL79" s="21">
        <f ca="1">IF($D79="","",ROUND(SUMIF('TALLY KG DUMP'!$1:$1,'ACH CALC'!AL$2,'TALLY KG DUMP'!78:78)/30,1))</f>
        <v>0</v>
      </c>
      <c r="AM79" s="21">
        <f ca="1">IF($D79="","",SUMIF('TALLY BOX DUMP'!$1:$1,'ACH CALC'!AM$2,'TALLY BOX DUMP'!78:78))</f>
        <v>1</v>
      </c>
      <c r="AN79" s="21">
        <f ca="1">IF($D79="","",SUMIF('TALLY BOX DUMP'!$1:$1,'ACH CALC'!AN$2,'TALLY BOX DUMP'!78:78))</f>
        <v>0</v>
      </c>
      <c r="AO79" s="21">
        <f ca="1">IF($D79="","",SUMIF('TALLY BOX DUMP'!$1:$1,'ACH CALC'!AO$2,'TALLY BOX DUMP'!78:78))</f>
        <v>1</v>
      </c>
      <c r="AP79" s="21">
        <f ca="1">IF($D79="","",SUMIF('TALLY BOX DUMP'!$1:$1,'ACH CALC'!AP$2,'TALLY BOX DUMP'!78:78))</f>
        <v>0</v>
      </c>
      <c r="AQ79" s="21">
        <f ca="1">IF($D79="","",ROUND(SUMIF('TALLY KG DUMP'!$1:$1,'ACH CALC'!AQ$2,'TALLY KG DUMP'!78:78)/30,1))</f>
        <v>0</v>
      </c>
      <c r="AR79" s="21">
        <f ca="1">IF($D79="","",SUMIF('TALLY BOX DUMP'!$1:$1,'ACH CALC'!AR$2,'TALLY BOX DUMP'!78:78))</f>
        <v>0</v>
      </c>
      <c r="AS79" s="21">
        <f ca="1">IF($D79="","",SUMIF('TALLY BOX DUMP'!$1:$1,'ACH CALC'!AS$2,'TALLY BOX DUMP'!78:78))</f>
        <v>0</v>
      </c>
      <c r="AT79" s="21">
        <f ca="1">IF($D79="","",SUMIF('TALLY BOX DUMP'!$1:$1,'ACH CALC'!AT$2,'TALLY BOX DUMP'!78:78))</f>
        <v>0</v>
      </c>
      <c r="AU79" s="21">
        <f ca="1">IF($D79="","",SUMIF('TALLY BOX DUMP'!$1:$1,'ACH CALC'!AU$2,'TALLY BOX DUMP'!78:78))</f>
        <v>0</v>
      </c>
      <c r="AV79" s="21">
        <f ca="1">IF($D79="","",SUMIF('TALLY BOX DUMP'!$1:$1,'ACH CALC'!AV$2,'TALLY BOX DUMP'!78:78))</f>
        <v>0</v>
      </c>
      <c r="AW79" s="21">
        <f ca="1">IF($D79="","",SUMIF('TALLY BOX DUMP'!$1:$1,'ACH CALC'!AW$2,'TALLY BOX DUMP'!78:78))</f>
        <v>0</v>
      </c>
      <c r="AX79" s="21">
        <f ca="1">IF($D79="","",SUMIF('TALLY BOX DUMP'!$1:$1,'ACH CALC'!AX$2,'TALLY BOX DUMP'!78:78))</f>
        <v>0</v>
      </c>
      <c r="AY79" s="21">
        <f ca="1">IF($D79="","",SUMIF('TALLY BOX DUMP'!$1:$1,'ACH CALC'!AY$2,'TALLY BOX DUMP'!78:78))</f>
        <v>0</v>
      </c>
      <c r="AZ79" s="21">
        <f ca="1">IF($D79="","",SUMIF('TALLY BOX DUMP'!$1:$1,'ACH CALC'!AZ$2,'TALLY BOX DUMP'!78:78))</f>
        <v>0</v>
      </c>
      <c r="BA79" s="69">
        <f>(SUMIF('TALLY KG DUMP'!$2:$2,"Qty",'TALLY KG DUMP'!78:78)/1000)-(SUMIF('TALLY KG DUMP'!$1:$1,"GL",'TALLY KG DUMP'!78:78)/1000)</f>
        <v>5.79</v>
      </c>
      <c r="BB79" s="21" t="b">
        <f t="shared" ca="1" si="5"/>
        <v>1</v>
      </c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</row>
    <row r="80" spans="2:75" x14ac:dyDescent="0.25">
      <c r="B80" s="21" t="str">
        <f ca="1"/>
        <v>77</v>
      </c>
      <c r="C80" s="21" t="str">
        <f ca="1"/>
        <v>SUN05709</v>
      </c>
      <c r="D80" s="21" t="str">
        <f ca="1"/>
        <v>TIRUPUR- MANIPAL STORES (HEAD OFFICE)</v>
      </c>
      <c r="E80" s="21">
        <f ca="1">IF($D80="","",(SUMIF('TALLY KG DUMP'!$2:$2,"Qty",'TALLY KG DUMP'!79:79)/1000)-(SUMIF('TALLY KG DUMP'!$1:$1,"GL",'TALLY KG DUMP'!79:79)/1000))</f>
        <v>0</v>
      </c>
      <c r="F80" s="21">
        <f ca="1">IF($D80="","",(SUMIF('TALLY KG DUMP'!$1:$1,'ACH CALC'!F$2,'TALLY KG DUMP'!79:79)/1000))</f>
        <v>0</v>
      </c>
      <c r="G80" s="21">
        <f ca="1">IF($D80="","",SUMIF('TALLY BOX DUMP'!$1:$1,'ACH CALC'!G$2,'TALLY BOX DUMP'!79:79)+Y80)</f>
        <v>0</v>
      </c>
      <c r="H80" s="21">
        <f t="shared" ca="1" si="3"/>
        <v>0</v>
      </c>
      <c r="I80" s="21">
        <f ca="1">IF($D80="","",SUMIF('TALLY BOX DUMP'!$1:$1,'ACH CALC'!I$2,'TALLY BOX DUMP'!79:79)+AA80)</f>
        <v>0</v>
      </c>
      <c r="J80" s="21">
        <f ca="1">IF($D80="","",SUMIF('TALLY BOX DUMP'!$1:$1,'ACH CALC'!J$2,'TALLY BOX DUMP'!79:79)+AB80)</f>
        <v>0</v>
      </c>
      <c r="K80" s="21">
        <f ca="1">IF($D80="","",SUMIF('TALLY BOX DUMP'!$1:$1,'ACH CALC'!K$2,'TALLY BOX DUMP'!79:79)+AC80)</f>
        <v>0</v>
      </c>
      <c r="L80" s="21">
        <f ca="1">IF($D80="","",SUMIF('TALLY BOX DUMP'!$1:$1,'ACH CALC'!L$2,'TALLY BOX DUMP'!79:79))</f>
        <v>0</v>
      </c>
      <c r="M80" s="21">
        <f ca="1">IF($D80="","",SUMIF('TALLY BOX DUMP'!$1:$1,'ACH CALC'!M$2,'TALLY BOX DUMP'!79:79)+AD80)</f>
        <v>0</v>
      </c>
      <c r="N80" s="21">
        <f ca="1">IF($D80="","",SUMIF('TALLY BOX DUMP'!$1:$1,'ACH CALC'!N$2,'TALLY BOX DUMP'!79:79))</f>
        <v>0</v>
      </c>
      <c r="O80" s="21">
        <f ca="1">IF($D80="","",SUMIF('TALLY BOX DUMP'!$1:$1,'ACH CALC'!O$2,'TALLY BOX DUMP'!79:79))</f>
        <v>0</v>
      </c>
      <c r="P80" s="21">
        <f ca="1">IF($D80="","",SUMIF('TALLY BOX DUMP'!$1:$1,'ACH CALC'!P$2,'TALLY BOX DUMP'!79:79))</f>
        <v>0</v>
      </c>
      <c r="Q80" s="21">
        <f t="shared" ca="1" si="4"/>
        <v>0</v>
      </c>
      <c r="R80" s="21">
        <f ca="1">IF($D80="","",SUMIF('TALLY BOX DUMP'!$1:$1,'ACH CALC'!R$2,'TALLY BOX DUMP'!79:79))</f>
        <v>0</v>
      </c>
      <c r="S80" s="21">
        <f ca="1">IF($D80="","",SUMIF('TALLY BOX DUMP'!$1:$1,'ACH CALC'!S$2,'TALLY BOX DUMP'!79:79))</f>
        <v>0</v>
      </c>
      <c r="T80" s="21">
        <f ca="1">IF($D80="","",SUMIF('TALLY BOX DUMP'!$1:$1,'ACH CALC'!T$2,'TALLY BOX DUMP'!79:79))</f>
        <v>0</v>
      </c>
      <c r="U80" s="21">
        <f ca="1">IF($D80="","",SUMIF('TALLY BOX DUMP'!$1:$1,'ACH CALC'!U$2,'TALLY BOX DUMP'!79:79))</f>
        <v>0</v>
      </c>
      <c r="V80" s="21">
        <f ca="1">IF($D80="","",SUMIF('TALLY BOX DUMP'!$1:$1,'ACH CALC'!V$2,'TALLY BOX DUMP'!79:79))</f>
        <v>0</v>
      </c>
      <c r="W80" s="21">
        <f ca="1">IF($D80="","",SUMIF('TALLY BOX DUMP'!$1:$1,'ACH CALC'!W$2,'TALLY BOX DUMP'!79:79))</f>
        <v>0</v>
      </c>
      <c r="X80" s="21">
        <f ca="1">IF($D80="","",SUMIF('TALLY BOX DUMP'!$1:$1,'ACH CALC'!X$2,'TALLY BOX DUMP'!79:79))</f>
        <v>0</v>
      </c>
      <c r="Y80" s="21">
        <f ca="1">IF($D80="","",SUMIF('TALLY BOX DUMP'!$1:$1,'ACH CALC'!Y$2,'TALLY BOX DUMP'!79:79))</f>
        <v>0</v>
      </c>
      <c r="Z80" s="21">
        <f ca="1">IF($D80="","",SUMIF('TALLY BOX DUMP'!$1:$1,'ACH CALC'!Z$2,'TALLY BOX DUMP'!79:79)+AE80)</f>
        <v>0</v>
      </c>
      <c r="AA80" s="21">
        <f ca="1">IF($D80="","",SUMIF('TALLY BOX DUMP'!$1:$1,'ACH CALC'!AA$2,'TALLY BOX DUMP'!79:79))</f>
        <v>0</v>
      </c>
      <c r="AB80" s="21">
        <f ca="1">IF($D80="","",SUMIF('TALLY BOX DUMP'!$1:$1,'ACH CALC'!AB$2,'TALLY BOX DUMP'!79:79))</f>
        <v>0</v>
      </c>
      <c r="AC80" s="21">
        <f ca="1">IF($D80="","",SUMIF('TALLY BOX DUMP'!$1:$1,'ACH CALC'!AC$2,'TALLY BOX DUMP'!79:79))</f>
        <v>0</v>
      </c>
      <c r="AD80" s="21">
        <f ca="1">IF($D80="","",SUMIF('TALLY BOX DUMP'!$1:$1,'ACH CALC'!AD$2,'TALLY BOX DUMP'!79:79))</f>
        <v>0</v>
      </c>
      <c r="AE80" s="21">
        <f ca="1">IF($D80="","",SUMIF('TALLY BOX DUMP'!$1:$1,'ACH CALC'!AE$2,'TALLY BOX DUMP'!79:79))</f>
        <v>0</v>
      </c>
      <c r="AF80" s="21">
        <f ca="1">IF($D80="","",SUMIF('TALLY BOX DUMP'!$1:$1,'ACH CALC'!AF$2,'TALLY BOX DUMP'!79:79))</f>
        <v>0</v>
      </c>
      <c r="AG80" s="21">
        <f ca="1">IF($D80="","",SUMIF('TALLY BOX DUMP'!$1:$1,'ACH CALC'!AG$2,'TALLY BOX DUMP'!79:79))</f>
        <v>0</v>
      </c>
      <c r="AH80" s="21">
        <f ca="1">IF($D80="","",SUMIF('TALLY BOX DUMP'!$1:$1,'ACH CALC'!AH$2,'TALLY BOX DUMP'!79:79))</f>
        <v>0</v>
      </c>
      <c r="AI80" s="21">
        <f ca="1">IF($D80="","",SUMIF('TALLY BOX DUMP'!$1:$1,'ACH CALC'!AI$2,'TALLY BOX DUMP'!79:79))</f>
        <v>0</v>
      </c>
      <c r="AJ80" s="21">
        <f ca="1">IF($D80="","",SUMIF('TALLY BOX DUMP'!$1:$1,'ACH CALC'!AJ$2,'TALLY BOX DUMP'!79:79))</f>
        <v>0</v>
      </c>
      <c r="AK80" s="21">
        <f ca="1">IF($D80="","",SUMIF('TALLY BOX DUMP'!$1:$1,'ACH CALC'!AK$2,'TALLY BOX DUMP'!79:79))</f>
        <v>0</v>
      </c>
      <c r="AL80" s="21">
        <f ca="1">IF($D80="","",ROUND(SUMIF('TALLY KG DUMP'!$1:$1,'ACH CALC'!AL$2,'TALLY KG DUMP'!79:79)/30,1))</f>
        <v>0</v>
      </c>
      <c r="AM80" s="21">
        <f ca="1">IF($D80="","",SUMIF('TALLY BOX DUMP'!$1:$1,'ACH CALC'!AM$2,'TALLY BOX DUMP'!79:79))</f>
        <v>0</v>
      </c>
      <c r="AN80" s="21">
        <f ca="1">IF($D80="","",SUMIF('TALLY BOX DUMP'!$1:$1,'ACH CALC'!AN$2,'TALLY BOX DUMP'!79:79))</f>
        <v>0</v>
      </c>
      <c r="AO80" s="21">
        <f ca="1">IF($D80="","",SUMIF('TALLY BOX DUMP'!$1:$1,'ACH CALC'!AO$2,'TALLY BOX DUMP'!79:79))</f>
        <v>0</v>
      </c>
      <c r="AP80" s="21">
        <f ca="1">IF($D80="","",SUMIF('TALLY BOX DUMP'!$1:$1,'ACH CALC'!AP$2,'TALLY BOX DUMP'!79:79))</f>
        <v>0</v>
      </c>
      <c r="AQ80" s="21">
        <f ca="1">IF($D80="","",ROUND(SUMIF('TALLY KG DUMP'!$1:$1,'ACH CALC'!AQ$2,'TALLY KG DUMP'!79:79)/30,1))</f>
        <v>0</v>
      </c>
      <c r="AR80" s="21">
        <f ca="1">IF($D80="","",SUMIF('TALLY BOX DUMP'!$1:$1,'ACH CALC'!AR$2,'TALLY BOX DUMP'!79:79))</f>
        <v>0</v>
      </c>
      <c r="AS80" s="21">
        <f ca="1">IF($D80="","",SUMIF('TALLY BOX DUMP'!$1:$1,'ACH CALC'!AS$2,'TALLY BOX DUMP'!79:79))</f>
        <v>0</v>
      </c>
      <c r="AT80" s="21">
        <f ca="1">IF($D80="","",SUMIF('TALLY BOX DUMP'!$1:$1,'ACH CALC'!AT$2,'TALLY BOX DUMP'!79:79))</f>
        <v>0</v>
      </c>
      <c r="AU80" s="21">
        <f ca="1">IF($D80="","",SUMIF('TALLY BOX DUMP'!$1:$1,'ACH CALC'!AU$2,'TALLY BOX DUMP'!79:79))</f>
        <v>0</v>
      </c>
      <c r="AV80" s="21">
        <f ca="1">IF($D80="","",SUMIF('TALLY BOX DUMP'!$1:$1,'ACH CALC'!AV$2,'TALLY BOX DUMP'!79:79))</f>
        <v>0</v>
      </c>
      <c r="AW80" s="21">
        <f ca="1">IF($D80="","",SUMIF('TALLY BOX DUMP'!$1:$1,'ACH CALC'!AW$2,'TALLY BOX DUMP'!79:79))</f>
        <v>0</v>
      </c>
      <c r="AX80" s="21">
        <f ca="1">IF($D80="","",SUMIF('TALLY BOX DUMP'!$1:$1,'ACH CALC'!AX$2,'TALLY BOX DUMP'!79:79))</f>
        <v>0</v>
      </c>
      <c r="AY80" s="21">
        <f ca="1">IF($D80="","",SUMIF('TALLY BOX DUMP'!$1:$1,'ACH CALC'!AY$2,'TALLY BOX DUMP'!79:79))</f>
        <v>0</v>
      </c>
      <c r="AZ80" s="21">
        <f ca="1">IF($D80="","",SUMIF('TALLY BOX DUMP'!$1:$1,'ACH CALC'!AZ$2,'TALLY BOX DUMP'!79:79))</f>
        <v>0</v>
      </c>
      <c r="BA80" s="69">
        <f>(SUMIF('TALLY KG DUMP'!$2:$2,"Qty",'TALLY KG DUMP'!79:79)/1000)-(SUMIF('TALLY KG DUMP'!$1:$1,"GL",'TALLY KG DUMP'!79:79)/1000)</f>
        <v>0</v>
      </c>
      <c r="BB80" s="21" t="b">
        <f t="shared" ca="1" si="5"/>
        <v>1</v>
      </c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</row>
    <row r="81" spans="2:75" x14ac:dyDescent="0.25">
      <c r="B81" s="21" t="str">
        <f ca="1"/>
        <v>78</v>
      </c>
      <c r="C81" s="21" t="str">
        <f ca="1"/>
        <v>SUN06832</v>
      </c>
      <c r="D81" s="21" t="str">
        <f ca="1"/>
        <v>DHARAPURAM-SVK TRADERS</v>
      </c>
      <c r="E81" s="21">
        <f ca="1">IF($D81="","",(SUMIF('TALLY KG DUMP'!$2:$2,"Qty",'TALLY KG DUMP'!80:80)/1000)-(SUMIF('TALLY KG DUMP'!$1:$1,"GL",'TALLY KG DUMP'!80:80)/1000))</f>
        <v>4.2519999999999998</v>
      </c>
      <c r="F81" s="21">
        <f ca="1">IF($D81="","",(SUMIF('TALLY KG DUMP'!$1:$1,'ACH CALC'!F$2,'TALLY KG DUMP'!80:80)/1000))</f>
        <v>0</v>
      </c>
      <c r="G81" s="21">
        <f ca="1">IF($D81="","",SUMIF('TALLY BOX DUMP'!$1:$1,'ACH CALC'!G$2,'TALLY BOX DUMP'!80:80)+Y81)</f>
        <v>0</v>
      </c>
      <c r="H81" s="21">
        <f t="shared" ca="1" si="3"/>
        <v>0</v>
      </c>
      <c r="I81" s="21">
        <f ca="1">IF($D81="","",SUMIF('TALLY BOX DUMP'!$1:$1,'ACH CALC'!I$2,'TALLY BOX DUMP'!80:80)+AA81)</f>
        <v>0</v>
      </c>
      <c r="J81" s="21">
        <f ca="1">IF($D81="","",SUMIF('TALLY BOX DUMP'!$1:$1,'ACH CALC'!J$2,'TALLY BOX DUMP'!80:80)+AB81)</f>
        <v>0</v>
      </c>
      <c r="K81" s="21">
        <f ca="1">IF($D81="","",SUMIF('TALLY BOX DUMP'!$1:$1,'ACH CALC'!K$2,'TALLY BOX DUMP'!80:80)+AC81)</f>
        <v>0</v>
      </c>
      <c r="L81" s="21">
        <f ca="1">IF($D81="","",SUMIF('TALLY BOX DUMP'!$1:$1,'ACH CALC'!L$2,'TALLY BOX DUMP'!80:80))</f>
        <v>0</v>
      </c>
      <c r="M81" s="21">
        <f ca="1">IF($D81="","",SUMIF('TALLY BOX DUMP'!$1:$1,'ACH CALC'!M$2,'TALLY BOX DUMP'!80:80)+AD81)</f>
        <v>0</v>
      </c>
      <c r="N81" s="21">
        <f ca="1">IF($D81="","",SUMIF('TALLY BOX DUMP'!$1:$1,'ACH CALC'!N$2,'TALLY BOX DUMP'!80:80))</f>
        <v>0</v>
      </c>
      <c r="O81" s="21">
        <f ca="1">IF($D81="","",SUMIF('TALLY BOX DUMP'!$1:$1,'ACH CALC'!O$2,'TALLY BOX DUMP'!80:80))</f>
        <v>0</v>
      </c>
      <c r="P81" s="21">
        <f ca="1">IF($D81="","",SUMIF('TALLY BOX DUMP'!$1:$1,'ACH CALC'!P$2,'TALLY BOX DUMP'!80:80))</f>
        <v>0</v>
      </c>
      <c r="Q81" s="21">
        <f t="shared" ca="1" si="4"/>
        <v>0</v>
      </c>
      <c r="R81" s="21">
        <f ca="1">IF($D81="","",SUMIF('TALLY BOX DUMP'!$1:$1,'ACH CALC'!R$2,'TALLY BOX DUMP'!80:80))</f>
        <v>0</v>
      </c>
      <c r="S81" s="21">
        <f ca="1">IF($D81="","",SUMIF('TALLY BOX DUMP'!$1:$1,'ACH CALC'!S$2,'TALLY BOX DUMP'!80:80))</f>
        <v>0</v>
      </c>
      <c r="T81" s="21">
        <f ca="1">IF($D81="","",SUMIF('TALLY BOX DUMP'!$1:$1,'ACH CALC'!T$2,'TALLY BOX DUMP'!80:80))</f>
        <v>0</v>
      </c>
      <c r="U81" s="21">
        <f ca="1">IF($D81="","",SUMIF('TALLY BOX DUMP'!$1:$1,'ACH CALC'!U$2,'TALLY BOX DUMP'!80:80))</f>
        <v>0</v>
      </c>
      <c r="V81" s="21">
        <f ca="1">IF($D81="","",SUMIF('TALLY BOX DUMP'!$1:$1,'ACH CALC'!V$2,'TALLY BOX DUMP'!80:80))</f>
        <v>0</v>
      </c>
      <c r="W81" s="21">
        <f ca="1">IF($D81="","",SUMIF('TALLY BOX DUMP'!$1:$1,'ACH CALC'!W$2,'TALLY BOX DUMP'!80:80))</f>
        <v>0</v>
      </c>
      <c r="X81" s="21">
        <f ca="1">IF($D81="","",SUMIF('TALLY BOX DUMP'!$1:$1,'ACH CALC'!X$2,'TALLY BOX DUMP'!80:80))</f>
        <v>0</v>
      </c>
      <c r="Y81" s="21">
        <f ca="1">IF($D81="","",SUMIF('TALLY BOX DUMP'!$1:$1,'ACH CALC'!Y$2,'TALLY BOX DUMP'!80:80))</f>
        <v>0</v>
      </c>
      <c r="Z81" s="21">
        <f ca="1">IF($D81="","",SUMIF('TALLY BOX DUMP'!$1:$1,'ACH CALC'!Z$2,'TALLY BOX DUMP'!80:80)+AE81)</f>
        <v>0</v>
      </c>
      <c r="AA81" s="21">
        <f ca="1">IF($D81="","",SUMIF('TALLY BOX DUMP'!$1:$1,'ACH CALC'!AA$2,'TALLY BOX DUMP'!80:80))</f>
        <v>0</v>
      </c>
      <c r="AB81" s="21">
        <f ca="1">IF($D81="","",SUMIF('TALLY BOX DUMP'!$1:$1,'ACH CALC'!AB$2,'TALLY BOX DUMP'!80:80))</f>
        <v>0</v>
      </c>
      <c r="AC81" s="21">
        <f ca="1">IF($D81="","",SUMIF('TALLY BOX DUMP'!$1:$1,'ACH CALC'!AC$2,'TALLY BOX DUMP'!80:80))</f>
        <v>0</v>
      </c>
      <c r="AD81" s="21">
        <f ca="1">IF($D81="","",SUMIF('TALLY BOX DUMP'!$1:$1,'ACH CALC'!AD$2,'TALLY BOX DUMP'!80:80))</f>
        <v>0</v>
      </c>
      <c r="AE81" s="21">
        <f ca="1">IF($D81="","",SUMIF('TALLY BOX DUMP'!$1:$1,'ACH CALC'!AE$2,'TALLY BOX DUMP'!80:80))</f>
        <v>0</v>
      </c>
      <c r="AF81" s="21">
        <f ca="1">IF($D81="","",SUMIF('TALLY BOX DUMP'!$1:$1,'ACH CALC'!AF$2,'TALLY BOX DUMP'!80:80))</f>
        <v>0</v>
      </c>
      <c r="AG81" s="21">
        <f ca="1">IF($D81="","",SUMIF('TALLY BOX DUMP'!$1:$1,'ACH CALC'!AG$2,'TALLY BOX DUMP'!80:80))</f>
        <v>0</v>
      </c>
      <c r="AH81" s="21">
        <f ca="1">IF($D81="","",SUMIF('TALLY BOX DUMP'!$1:$1,'ACH CALC'!AH$2,'TALLY BOX DUMP'!80:80))</f>
        <v>0</v>
      </c>
      <c r="AI81" s="21">
        <f ca="1">IF($D81="","",SUMIF('TALLY BOX DUMP'!$1:$1,'ACH CALC'!AI$2,'TALLY BOX DUMP'!80:80))</f>
        <v>0</v>
      </c>
      <c r="AJ81" s="21">
        <f ca="1">IF($D81="","",SUMIF('TALLY BOX DUMP'!$1:$1,'ACH CALC'!AJ$2,'TALLY BOX DUMP'!80:80))</f>
        <v>0</v>
      </c>
      <c r="AK81" s="21">
        <f ca="1">IF($D81="","",SUMIF('TALLY BOX DUMP'!$1:$1,'ACH CALC'!AK$2,'TALLY BOX DUMP'!80:80))</f>
        <v>0</v>
      </c>
      <c r="AL81" s="21">
        <f ca="1">IF($D81="","",ROUND(SUMIF('TALLY KG DUMP'!$1:$1,'ACH CALC'!AL$2,'TALLY KG DUMP'!80:80)/30,1))</f>
        <v>0</v>
      </c>
      <c r="AM81" s="21">
        <f ca="1">IF($D81="","",SUMIF('TALLY BOX DUMP'!$1:$1,'ACH CALC'!AM$2,'TALLY BOX DUMP'!80:80))</f>
        <v>0</v>
      </c>
      <c r="AN81" s="21">
        <f ca="1">IF($D81="","",SUMIF('TALLY BOX DUMP'!$1:$1,'ACH CALC'!AN$2,'TALLY BOX DUMP'!80:80))</f>
        <v>0</v>
      </c>
      <c r="AO81" s="21">
        <f ca="1">IF($D81="","",SUMIF('TALLY BOX DUMP'!$1:$1,'ACH CALC'!AO$2,'TALLY BOX DUMP'!80:80))</f>
        <v>0</v>
      </c>
      <c r="AP81" s="21">
        <f ca="1">IF($D81="","",SUMIF('TALLY BOX DUMP'!$1:$1,'ACH CALC'!AP$2,'TALLY BOX DUMP'!80:80))</f>
        <v>0</v>
      </c>
      <c r="AQ81" s="21">
        <f ca="1">IF($D81="","",ROUND(SUMIF('TALLY KG DUMP'!$1:$1,'ACH CALC'!AQ$2,'TALLY KG DUMP'!80:80)/30,1))</f>
        <v>0</v>
      </c>
      <c r="AR81" s="21">
        <f ca="1">IF($D81="","",SUMIF('TALLY BOX DUMP'!$1:$1,'ACH CALC'!AR$2,'TALLY BOX DUMP'!80:80))</f>
        <v>0</v>
      </c>
      <c r="AS81" s="21">
        <f ca="1">IF($D81="","",SUMIF('TALLY BOX DUMP'!$1:$1,'ACH CALC'!AS$2,'TALLY BOX DUMP'!80:80))</f>
        <v>0</v>
      </c>
      <c r="AT81" s="21">
        <f ca="1">IF($D81="","",SUMIF('TALLY BOX DUMP'!$1:$1,'ACH CALC'!AT$2,'TALLY BOX DUMP'!80:80))</f>
        <v>0</v>
      </c>
      <c r="AU81" s="21">
        <f ca="1">IF($D81="","",SUMIF('TALLY BOX DUMP'!$1:$1,'ACH CALC'!AU$2,'TALLY BOX DUMP'!80:80))</f>
        <v>0</v>
      </c>
      <c r="AV81" s="21">
        <f ca="1">IF($D81="","",SUMIF('TALLY BOX DUMP'!$1:$1,'ACH CALC'!AV$2,'TALLY BOX DUMP'!80:80))</f>
        <v>0</v>
      </c>
      <c r="AW81" s="21">
        <f ca="1">IF($D81="","",SUMIF('TALLY BOX DUMP'!$1:$1,'ACH CALC'!AW$2,'TALLY BOX DUMP'!80:80))</f>
        <v>0</v>
      </c>
      <c r="AX81" s="21">
        <f ca="1">IF($D81="","",SUMIF('TALLY BOX DUMP'!$1:$1,'ACH CALC'!AX$2,'TALLY BOX DUMP'!80:80))</f>
        <v>0</v>
      </c>
      <c r="AY81" s="21">
        <f ca="1">IF($D81="","",SUMIF('TALLY BOX DUMP'!$1:$1,'ACH CALC'!AY$2,'TALLY BOX DUMP'!80:80))</f>
        <v>0</v>
      </c>
      <c r="AZ81" s="21">
        <f ca="1">IF($D81="","",SUMIF('TALLY BOX DUMP'!$1:$1,'ACH CALC'!AZ$2,'TALLY BOX DUMP'!80:80))</f>
        <v>0</v>
      </c>
      <c r="BA81" s="69">
        <f>(SUMIF('TALLY KG DUMP'!$2:$2,"Qty",'TALLY KG DUMP'!80:80)/1000)-(SUMIF('TALLY KG DUMP'!$1:$1,"GL",'TALLY KG DUMP'!80:80)/1000)</f>
        <v>4.2519999999999998</v>
      </c>
      <c r="BB81" s="21" t="b">
        <f t="shared" ca="1" si="5"/>
        <v>1</v>
      </c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</row>
    <row r="82" spans="2:75" x14ac:dyDescent="0.25">
      <c r="B82" s="21" t="str">
        <f ca="1"/>
        <v>79</v>
      </c>
      <c r="C82" s="21" t="str">
        <f ca="1"/>
        <v>SUN01143</v>
      </c>
      <c r="D82" s="21" t="str">
        <f ca="1"/>
        <v>BHUVANAGIRI KANI AGENCIES</v>
      </c>
      <c r="E82" s="21">
        <f ca="1">IF($D82="","",(SUMIF('TALLY KG DUMP'!$2:$2,"Qty",'TALLY KG DUMP'!81:81)/1000)-(SUMIF('TALLY KG DUMP'!$1:$1,"GL",'TALLY KG DUMP'!81:81)/1000))</f>
        <v>4.069</v>
      </c>
      <c r="F82" s="21">
        <f ca="1">IF($D82="","",(SUMIF('TALLY KG DUMP'!$1:$1,'ACH CALC'!F$2,'TALLY KG DUMP'!81:81)/1000))</f>
        <v>0</v>
      </c>
      <c r="G82" s="21">
        <f ca="1">IF($D82="","",SUMIF('TALLY BOX DUMP'!$1:$1,'ACH CALC'!G$2,'TALLY BOX DUMP'!81:81)+Y82)</f>
        <v>0</v>
      </c>
      <c r="H82" s="21">
        <f t="shared" ca="1" si="3"/>
        <v>16</v>
      </c>
      <c r="I82" s="21">
        <f ca="1">IF($D82="","",SUMIF('TALLY BOX DUMP'!$1:$1,'ACH CALC'!I$2,'TALLY BOX DUMP'!81:81)+AA82)</f>
        <v>0</v>
      </c>
      <c r="J82" s="21">
        <f ca="1">IF($D82="","",SUMIF('TALLY BOX DUMP'!$1:$1,'ACH CALC'!J$2,'TALLY BOX DUMP'!81:81)+AB82)</f>
        <v>0</v>
      </c>
      <c r="K82" s="21">
        <f ca="1">IF($D82="","",SUMIF('TALLY BOX DUMP'!$1:$1,'ACH CALC'!K$2,'TALLY BOX DUMP'!81:81)+AC82)</f>
        <v>16</v>
      </c>
      <c r="L82" s="21">
        <f ca="1">IF($D82="","",SUMIF('TALLY BOX DUMP'!$1:$1,'ACH CALC'!L$2,'TALLY BOX DUMP'!81:81))</f>
        <v>0</v>
      </c>
      <c r="M82" s="21">
        <f ca="1">IF($D82="","",SUMIF('TALLY BOX DUMP'!$1:$1,'ACH CALC'!M$2,'TALLY BOX DUMP'!81:81)+AD82)</f>
        <v>0</v>
      </c>
      <c r="N82" s="21">
        <f ca="1">IF($D82="","",SUMIF('TALLY BOX DUMP'!$1:$1,'ACH CALC'!N$2,'TALLY BOX DUMP'!81:81))</f>
        <v>0</v>
      </c>
      <c r="O82" s="21">
        <f ca="1">IF($D82="","",SUMIF('TALLY BOX DUMP'!$1:$1,'ACH CALC'!O$2,'TALLY BOX DUMP'!81:81))</f>
        <v>0</v>
      </c>
      <c r="P82" s="21">
        <f ca="1">IF($D82="","",SUMIF('TALLY BOX DUMP'!$1:$1,'ACH CALC'!P$2,'TALLY BOX DUMP'!81:81))</f>
        <v>0</v>
      </c>
      <c r="Q82" s="21">
        <f t="shared" ca="1" si="4"/>
        <v>0</v>
      </c>
      <c r="R82" s="21">
        <f ca="1">IF($D82="","",SUMIF('TALLY BOX DUMP'!$1:$1,'ACH CALC'!R$2,'TALLY BOX DUMP'!81:81))</f>
        <v>0</v>
      </c>
      <c r="S82" s="21">
        <f ca="1">IF($D82="","",SUMIF('TALLY BOX DUMP'!$1:$1,'ACH CALC'!S$2,'TALLY BOX DUMP'!81:81))</f>
        <v>0</v>
      </c>
      <c r="T82" s="21">
        <f ca="1">IF($D82="","",SUMIF('TALLY BOX DUMP'!$1:$1,'ACH CALC'!T$2,'TALLY BOX DUMP'!81:81))</f>
        <v>0</v>
      </c>
      <c r="U82" s="21">
        <f ca="1">IF($D82="","",SUMIF('TALLY BOX DUMP'!$1:$1,'ACH CALC'!U$2,'TALLY BOX DUMP'!81:81))</f>
        <v>0</v>
      </c>
      <c r="V82" s="21">
        <f ca="1">IF($D82="","",SUMIF('TALLY BOX DUMP'!$1:$1,'ACH CALC'!V$2,'TALLY BOX DUMP'!81:81))</f>
        <v>0</v>
      </c>
      <c r="W82" s="21">
        <f ca="1">IF($D82="","",SUMIF('TALLY BOX DUMP'!$1:$1,'ACH CALC'!W$2,'TALLY BOX DUMP'!81:81))</f>
        <v>0</v>
      </c>
      <c r="X82" s="21">
        <f ca="1">IF($D82="","",SUMIF('TALLY BOX DUMP'!$1:$1,'ACH CALC'!X$2,'TALLY BOX DUMP'!81:81))</f>
        <v>0</v>
      </c>
      <c r="Y82" s="21">
        <f ca="1">IF($D82="","",SUMIF('TALLY BOX DUMP'!$1:$1,'ACH CALC'!Y$2,'TALLY BOX DUMP'!81:81))</f>
        <v>0</v>
      </c>
      <c r="Z82" s="21">
        <f ca="1">IF($D82="","",SUMIF('TALLY BOX DUMP'!$1:$1,'ACH CALC'!Z$2,'TALLY BOX DUMP'!81:81)+AE82)</f>
        <v>0</v>
      </c>
      <c r="AA82" s="21">
        <f ca="1">IF($D82="","",SUMIF('TALLY BOX DUMP'!$1:$1,'ACH CALC'!AA$2,'TALLY BOX DUMP'!81:81))</f>
        <v>0</v>
      </c>
      <c r="AB82" s="21">
        <f ca="1">IF($D82="","",SUMIF('TALLY BOX DUMP'!$1:$1,'ACH CALC'!AB$2,'TALLY BOX DUMP'!81:81))</f>
        <v>0</v>
      </c>
      <c r="AC82" s="21">
        <f ca="1">IF($D82="","",SUMIF('TALLY BOX DUMP'!$1:$1,'ACH CALC'!AC$2,'TALLY BOX DUMP'!81:81))</f>
        <v>0</v>
      </c>
      <c r="AD82" s="21">
        <f ca="1">IF($D82="","",SUMIF('TALLY BOX DUMP'!$1:$1,'ACH CALC'!AD$2,'TALLY BOX DUMP'!81:81))</f>
        <v>0</v>
      </c>
      <c r="AE82" s="21">
        <f ca="1">IF($D82="","",SUMIF('TALLY BOX DUMP'!$1:$1,'ACH CALC'!AE$2,'TALLY BOX DUMP'!81:81))</f>
        <v>0</v>
      </c>
      <c r="AF82" s="21">
        <f ca="1">IF($D82="","",SUMIF('TALLY BOX DUMP'!$1:$1,'ACH CALC'!AF$2,'TALLY BOX DUMP'!81:81))</f>
        <v>0</v>
      </c>
      <c r="AG82" s="21">
        <f ca="1">IF($D82="","",SUMIF('TALLY BOX DUMP'!$1:$1,'ACH CALC'!AG$2,'TALLY BOX DUMP'!81:81))</f>
        <v>0</v>
      </c>
      <c r="AH82" s="21">
        <f ca="1">IF($D82="","",SUMIF('TALLY BOX DUMP'!$1:$1,'ACH CALC'!AH$2,'TALLY BOX DUMP'!81:81))</f>
        <v>0</v>
      </c>
      <c r="AI82" s="21">
        <f ca="1">IF($D82="","",SUMIF('TALLY BOX DUMP'!$1:$1,'ACH CALC'!AI$2,'TALLY BOX DUMP'!81:81))</f>
        <v>0</v>
      </c>
      <c r="AJ82" s="21">
        <f ca="1">IF($D82="","",SUMIF('TALLY BOX DUMP'!$1:$1,'ACH CALC'!AJ$2,'TALLY BOX DUMP'!81:81))</f>
        <v>0</v>
      </c>
      <c r="AK82" s="21">
        <f ca="1">IF($D82="","",SUMIF('TALLY BOX DUMP'!$1:$1,'ACH CALC'!AK$2,'TALLY BOX DUMP'!81:81))</f>
        <v>0</v>
      </c>
      <c r="AL82" s="21">
        <f ca="1">IF($D82="","",ROUND(SUMIF('TALLY KG DUMP'!$1:$1,'ACH CALC'!AL$2,'TALLY KG DUMP'!81:81)/30,1))</f>
        <v>0</v>
      </c>
      <c r="AM82" s="21">
        <f ca="1">IF($D82="","",SUMIF('TALLY BOX DUMP'!$1:$1,'ACH CALC'!AM$2,'TALLY BOX DUMP'!81:81))</f>
        <v>52</v>
      </c>
      <c r="AN82" s="21">
        <f ca="1">IF($D82="","",SUMIF('TALLY BOX DUMP'!$1:$1,'ACH CALC'!AN$2,'TALLY BOX DUMP'!81:81))</f>
        <v>0</v>
      </c>
      <c r="AO82" s="21">
        <f ca="1">IF($D82="","",SUMIF('TALLY BOX DUMP'!$1:$1,'ACH CALC'!AO$2,'TALLY BOX DUMP'!81:81))</f>
        <v>0</v>
      </c>
      <c r="AP82" s="21">
        <f ca="1">IF($D82="","",SUMIF('TALLY BOX DUMP'!$1:$1,'ACH CALC'!AP$2,'TALLY BOX DUMP'!81:81))</f>
        <v>0</v>
      </c>
      <c r="AQ82" s="21">
        <f ca="1">IF($D82="","",ROUND(SUMIF('TALLY KG DUMP'!$1:$1,'ACH CALC'!AQ$2,'TALLY KG DUMP'!81:81)/30,1))</f>
        <v>0</v>
      </c>
      <c r="AR82" s="21">
        <f ca="1">IF($D82="","",SUMIF('TALLY BOX DUMP'!$1:$1,'ACH CALC'!AR$2,'TALLY BOX DUMP'!81:81))</f>
        <v>0</v>
      </c>
      <c r="AS82" s="21">
        <f ca="1">IF($D82="","",SUMIF('TALLY BOX DUMP'!$1:$1,'ACH CALC'!AS$2,'TALLY BOX DUMP'!81:81))</f>
        <v>0</v>
      </c>
      <c r="AT82" s="21">
        <f ca="1">IF($D82="","",SUMIF('TALLY BOX DUMP'!$1:$1,'ACH CALC'!AT$2,'TALLY BOX DUMP'!81:81))</f>
        <v>0</v>
      </c>
      <c r="AU82" s="21">
        <f ca="1">IF($D82="","",SUMIF('TALLY BOX DUMP'!$1:$1,'ACH CALC'!AU$2,'TALLY BOX DUMP'!81:81))</f>
        <v>0</v>
      </c>
      <c r="AV82" s="21">
        <f ca="1">IF($D82="","",SUMIF('TALLY BOX DUMP'!$1:$1,'ACH CALC'!AV$2,'TALLY BOX DUMP'!81:81))</f>
        <v>0</v>
      </c>
      <c r="AW82" s="21">
        <f ca="1">IF($D82="","",SUMIF('TALLY BOX DUMP'!$1:$1,'ACH CALC'!AW$2,'TALLY BOX DUMP'!81:81))</f>
        <v>0</v>
      </c>
      <c r="AX82" s="21">
        <f ca="1">IF($D82="","",SUMIF('TALLY BOX DUMP'!$1:$1,'ACH CALC'!AX$2,'TALLY BOX DUMP'!81:81))</f>
        <v>0</v>
      </c>
      <c r="AY82" s="21">
        <f ca="1">IF($D82="","",SUMIF('TALLY BOX DUMP'!$1:$1,'ACH CALC'!AY$2,'TALLY BOX DUMP'!81:81))</f>
        <v>0</v>
      </c>
      <c r="AZ82" s="21">
        <f ca="1">IF($D82="","",SUMIF('TALLY BOX DUMP'!$1:$1,'ACH CALC'!AZ$2,'TALLY BOX DUMP'!81:81))</f>
        <v>0</v>
      </c>
      <c r="BA82" s="69">
        <f>(SUMIF('TALLY KG DUMP'!$2:$2,"Qty",'TALLY KG DUMP'!81:81)/1000)-(SUMIF('TALLY KG DUMP'!$1:$1,"GL",'TALLY KG DUMP'!81:81)/1000)</f>
        <v>4.069</v>
      </c>
      <c r="BB82" s="21" t="b">
        <f t="shared" ca="1" si="5"/>
        <v>1</v>
      </c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</row>
    <row r="83" spans="2:75" x14ac:dyDescent="0.25">
      <c r="B83" s="21" t="str">
        <f ca="1"/>
        <v>80</v>
      </c>
      <c r="C83" s="21" t="str">
        <f ca="1"/>
        <v>SUN03624</v>
      </c>
      <c r="D83" s="21" t="str">
        <f ca="1"/>
        <v>CHIDAMBARAM VISALAM TRADERS</v>
      </c>
      <c r="E83" s="21">
        <f ca="1">IF($D83="","",(SUMIF('TALLY KG DUMP'!$2:$2,"Qty",'TALLY KG DUMP'!82:82)/1000)-(SUMIF('TALLY KG DUMP'!$1:$1,"GL",'TALLY KG DUMP'!82:82)/1000))</f>
        <v>2.6</v>
      </c>
      <c r="F83" s="21">
        <f ca="1">IF($D83="","",(SUMIF('TALLY KG DUMP'!$1:$1,'ACH CALC'!F$2,'TALLY KG DUMP'!82:82)/1000))</f>
        <v>0</v>
      </c>
      <c r="G83" s="21">
        <f ca="1">IF($D83="","",SUMIF('TALLY BOX DUMP'!$1:$1,'ACH CALC'!G$2,'TALLY BOX DUMP'!82:82)+Y83)</f>
        <v>0</v>
      </c>
      <c r="H83" s="21">
        <f t="shared" ca="1" si="3"/>
        <v>0</v>
      </c>
      <c r="I83" s="21">
        <f ca="1">IF($D83="","",SUMIF('TALLY BOX DUMP'!$1:$1,'ACH CALC'!I$2,'TALLY BOX DUMP'!82:82)+AA83)</f>
        <v>0</v>
      </c>
      <c r="J83" s="21">
        <f ca="1">IF($D83="","",SUMIF('TALLY BOX DUMP'!$1:$1,'ACH CALC'!J$2,'TALLY BOX DUMP'!82:82)+AB83)</f>
        <v>0</v>
      </c>
      <c r="K83" s="21">
        <f ca="1">IF($D83="","",SUMIF('TALLY BOX DUMP'!$1:$1,'ACH CALC'!K$2,'TALLY BOX DUMP'!82:82)+AC83)</f>
        <v>0</v>
      </c>
      <c r="L83" s="21">
        <f ca="1">IF($D83="","",SUMIF('TALLY BOX DUMP'!$1:$1,'ACH CALC'!L$2,'TALLY BOX DUMP'!82:82))</f>
        <v>0</v>
      </c>
      <c r="M83" s="21">
        <f ca="1">IF($D83="","",SUMIF('TALLY BOX DUMP'!$1:$1,'ACH CALC'!M$2,'TALLY BOX DUMP'!82:82)+AD83)</f>
        <v>0</v>
      </c>
      <c r="N83" s="21">
        <f ca="1">IF($D83="","",SUMIF('TALLY BOX DUMP'!$1:$1,'ACH CALC'!N$2,'TALLY BOX DUMP'!82:82))</f>
        <v>0</v>
      </c>
      <c r="O83" s="21">
        <f ca="1">IF($D83="","",SUMIF('TALLY BOX DUMP'!$1:$1,'ACH CALC'!O$2,'TALLY BOX DUMP'!82:82))</f>
        <v>0</v>
      </c>
      <c r="P83" s="21">
        <f ca="1">IF($D83="","",SUMIF('TALLY BOX DUMP'!$1:$1,'ACH CALC'!P$2,'TALLY BOX DUMP'!82:82))</f>
        <v>0</v>
      </c>
      <c r="Q83" s="21">
        <f t="shared" ca="1" si="4"/>
        <v>0</v>
      </c>
      <c r="R83" s="21">
        <f ca="1">IF($D83="","",SUMIF('TALLY BOX DUMP'!$1:$1,'ACH CALC'!R$2,'TALLY BOX DUMP'!82:82))</f>
        <v>0</v>
      </c>
      <c r="S83" s="21">
        <f ca="1">IF($D83="","",SUMIF('TALLY BOX DUMP'!$1:$1,'ACH CALC'!S$2,'TALLY BOX DUMP'!82:82))</f>
        <v>0</v>
      </c>
      <c r="T83" s="21">
        <f ca="1">IF($D83="","",SUMIF('TALLY BOX DUMP'!$1:$1,'ACH CALC'!T$2,'TALLY BOX DUMP'!82:82))</f>
        <v>0</v>
      </c>
      <c r="U83" s="21">
        <f ca="1">IF($D83="","",SUMIF('TALLY BOX DUMP'!$1:$1,'ACH CALC'!U$2,'TALLY BOX DUMP'!82:82))</f>
        <v>0</v>
      </c>
      <c r="V83" s="21">
        <f ca="1">IF($D83="","",SUMIF('TALLY BOX DUMP'!$1:$1,'ACH CALC'!V$2,'TALLY BOX DUMP'!82:82))</f>
        <v>0</v>
      </c>
      <c r="W83" s="21">
        <f ca="1">IF($D83="","",SUMIF('TALLY BOX DUMP'!$1:$1,'ACH CALC'!W$2,'TALLY BOX DUMP'!82:82))</f>
        <v>0</v>
      </c>
      <c r="X83" s="21">
        <f ca="1">IF($D83="","",SUMIF('TALLY BOX DUMP'!$1:$1,'ACH CALC'!X$2,'TALLY BOX DUMP'!82:82))</f>
        <v>0</v>
      </c>
      <c r="Y83" s="21">
        <f ca="1">IF($D83="","",SUMIF('TALLY BOX DUMP'!$1:$1,'ACH CALC'!Y$2,'TALLY BOX DUMP'!82:82))</f>
        <v>0</v>
      </c>
      <c r="Z83" s="21">
        <f ca="1">IF($D83="","",SUMIF('TALLY BOX DUMP'!$1:$1,'ACH CALC'!Z$2,'TALLY BOX DUMP'!82:82)+AE83)</f>
        <v>0</v>
      </c>
      <c r="AA83" s="21">
        <f ca="1">IF($D83="","",SUMIF('TALLY BOX DUMP'!$1:$1,'ACH CALC'!AA$2,'TALLY BOX DUMP'!82:82))</f>
        <v>0</v>
      </c>
      <c r="AB83" s="21">
        <f ca="1">IF($D83="","",SUMIF('TALLY BOX DUMP'!$1:$1,'ACH CALC'!AB$2,'TALLY BOX DUMP'!82:82))</f>
        <v>0</v>
      </c>
      <c r="AC83" s="21">
        <f ca="1">IF($D83="","",SUMIF('TALLY BOX DUMP'!$1:$1,'ACH CALC'!AC$2,'TALLY BOX DUMP'!82:82))</f>
        <v>0</v>
      </c>
      <c r="AD83" s="21">
        <f ca="1">IF($D83="","",SUMIF('TALLY BOX DUMP'!$1:$1,'ACH CALC'!AD$2,'TALLY BOX DUMP'!82:82))</f>
        <v>0</v>
      </c>
      <c r="AE83" s="21">
        <f ca="1">IF($D83="","",SUMIF('TALLY BOX DUMP'!$1:$1,'ACH CALC'!AE$2,'TALLY BOX DUMP'!82:82))</f>
        <v>0</v>
      </c>
      <c r="AF83" s="21">
        <f ca="1">IF($D83="","",SUMIF('TALLY BOX DUMP'!$1:$1,'ACH CALC'!AF$2,'TALLY BOX DUMP'!82:82))</f>
        <v>0</v>
      </c>
      <c r="AG83" s="21">
        <f ca="1">IF($D83="","",SUMIF('TALLY BOX DUMP'!$1:$1,'ACH CALC'!AG$2,'TALLY BOX DUMP'!82:82))</f>
        <v>0</v>
      </c>
      <c r="AH83" s="21">
        <f ca="1">IF($D83="","",SUMIF('TALLY BOX DUMP'!$1:$1,'ACH CALC'!AH$2,'TALLY BOX DUMP'!82:82))</f>
        <v>0</v>
      </c>
      <c r="AI83" s="21">
        <f ca="1">IF($D83="","",SUMIF('TALLY BOX DUMP'!$1:$1,'ACH CALC'!AI$2,'TALLY BOX DUMP'!82:82))</f>
        <v>0</v>
      </c>
      <c r="AJ83" s="21">
        <f ca="1">IF($D83="","",SUMIF('TALLY BOX DUMP'!$1:$1,'ACH CALC'!AJ$2,'TALLY BOX DUMP'!82:82))</f>
        <v>0</v>
      </c>
      <c r="AK83" s="21">
        <f ca="1">IF($D83="","",SUMIF('TALLY BOX DUMP'!$1:$1,'ACH CALC'!AK$2,'TALLY BOX DUMP'!82:82))</f>
        <v>0</v>
      </c>
      <c r="AL83" s="21">
        <f ca="1">IF($D83="","",ROUND(SUMIF('TALLY KG DUMP'!$1:$1,'ACH CALC'!AL$2,'TALLY KG DUMP'!82:82)/30,1))</f>
        <v>0</v>
      </c>
      <c r="AM83" s="21">
        <f ca="1">IF($D83="","",SUMIF('TALLY BOX DUMP'!$1:$1,'ACH CALC'!AM$2,'TALLY BOX DUMP'!82:82))</f>
        <v>30</v>
      </c>
      <c r="AN83" s="21">
        <f ca="1">IF($D83="","",SUMIF('TALLY BOX DUMP'!$1:$1,'ACH CALC'!AN$2,'TALLY BOX DUMP'!82:82))</f>
        <v>0</v>
      </c>
      <c r="AO83" s="21">
        <f ca="1">IF($D83="","",SUMIF('TALLY BOX DUMP'!$1:$1,'ACH CALC'!AO$2,'TALLY BOX DUMP'!82:82))</f>
        <v>0</v>
      </c>
      <c r="AP83" s="21">
        <f ca="1">IF($D83="","",SUMIF('TALLY BOX DUMP'!$1:$1,'ACH CALC'!AP$2,'TALLY BOX DUMP'!82:82))</f>
        <v>0</v>
      </c>
      <c r="AQ83" s="21">
        <f ca="1">IF($D83="","",ROUND(SUMIF('TALLY KG DUMP'!$1:$1,'ACH CALC'!AQ$2,'TALLY KG DUMP'!82:82)/30,1))</f>
        <v>0</v>
      </c>
      <c r="AR83" s="21">
        <f ca="1">IF($D83="","",SUMIF('TALLY BOX DUMP'!$1:$1,'ACH CALC'!AR$2,'TALLY BOX DUMP'!82:82))</f>
        <v>0</v>
      </c>
      <c r="AS83" s="21">
        <f ca="1">IF($D83="","",SUMIF('TALLY BOX DUMP'!$1:$1,'ACH CALC'!AS$2,'TALLY BOX DUMP'!82:82))</f>
        <v>0</v>
      </c>
      <c r="AT83" s="21">
        <f ca="1">IF($D83="","",SUMIF('TALLY BOX DUMP'!$1:$1,'ACH CALC'!AT$2,'TALLY BOX DUMP'!82:82))</f>
        <v>0</v>
      </c>
      <c r="AU83" s="21">
        <f ca="1">IF($D83="","",SUMIF('TALLY BOX DUMP'!$1:$1,'ACH CALC'!AU$2,'TALLY BOX DUMP'!82:82))</f>
        <v>0</v>
      </c>
      <c r="AV83" s="21">
        <f ca="1">IF($D83="","",SUMIF('TALLY BOX DUMP'!$1:$1,'ACH CALC'!AV$2,'TALLY BOX DUMP'!82:82))</f>
        <v>0</v>
      </c>
      <c r="AW83" s="21">
        <f ca="1">IF($D83="","",SUMIF('TALLY BOX DUMP'!$1:$1,'ACH CALC'!AW$2,'TALLY BOX DUMP'!82:82))</f>
        <v>0</v>
      </c>
      <c r="AX83" s="21">
        <f ca="1">IF($D83="","",SUMIF('TALLY BOX DUMP'!$1:$1,'ACH CALC'!AX$2,'TALLY BOX DUMP'!82:82))</f>
        <v>0</v>
      </c>
      <c r="AY83" s="21">
        <f ca="1">IF($D83="","",SUMIF('TALLY BOX DUMP'!$1:$1,'ACH CALC'!AY$2,'TALLY BOX DUMP'!82:82))</f>
        <v>0</v>
      </c>
      <c r="AZ83" s="21">
        <f ca="1">IF($D83="","",SUMIF('TALLY BOX DUMP'!$1:$1,'ACH CALC'!AZ$2,'TALLY BOX DUMP'!82:82))</f>
        <v>0</v>
      </c>
      <c r="BA83" s="69">
        <f>(SUMIF('TALLY KG DUMP'!$2:$2,"Qty",'TALLY KG DUMP'!82:82)/1000)-(SUMIF('TALLY KG DUMP'!$1:$1,"GL",'TALLY KG DUMP'!82:82)/1000)</f>
        <v>2.6</v>
      </c>
      <c r="BB83" s="21" t="b">
        <f t="shared" ca="1" si="5"/>
        <v>1</v>
      </c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</row>
    <row r="84" spans="2:75" x14ac:dyDescent="0.25">
      <c r="B84" s="21" t="str">
        <f ca="1"/>
        <v>81</v>
      </c>
      <c r="C84" s="21" t="str">
        <f ca="1"/>
        <v>SUN06750</v>
      </c>
      <c r="D84" s="21" t="str">
        <f ca="1"/>
        <v>JAYANKONDAM-SOWDAMBIKAA VIDYALAYA</v>
      </c>
      <c r="E84" s="21">
        <f ca="1">IF($D84="","",(SUMIF('TALLY KG DUMP'!$2:$2,"Qty",'TALLY KG DUMP'!83:83)/1000)-(SUMIF('TALLY KG DUMP'!$1:$1,"GL",'TALLY KG DUMP'!83:83)/1000))</f>
        <v>0</v>
      </c>
      <c r="F84" s="21">
        <f ca="1">IF($D84="","",(SUMIF('TALLY KG DUMP'!$1:$1,'ACH CALC'!F$2,'TALLY KG DUMP'!83:83)/1000))</f>
        <v>0</v>
      </c>
      <c r="G84" s="21">
        <f ca="1">IF($D84="","",SUMIF('TALLY BOX DUMP'!$1:$1,'ACH CALC'!G$2,'TALLY BOX DUMP'!83:83)+Y84)</f>
        <v>0</v>
      </c>
      <c r="H84" s="21">
        <f t="shared" ca="1" si="3"/>
        <v>0</v>
      </c>
      <c r="I84" s="21">
        <f ca="1">IF($D84="","",SUMIF('TALLY BOX DUMP'!$1:$1,'ACH CALC'!I$2,'TALLY BOX DUMP'!83:83)+AA84)</f>
        <v>0</v>
      </c>
      <c r="J84" s="21">
        <f ca="1">IF($D84="","",SUMIF('TALLY BOX DUMP'!$1:$1,'ACH CALC'!J$2,'TALLY BOX DUMP'!83:83)+AB84)</f>
        <v>0</v>
      </c>
      <c r="K84" s="21">
        <f ca="1">IF($D84="","",SUMIF('TALLY BOX DUMP'!$1:$1,'ACH CALC'!K$2,'TALLY BOX DUMP'!83:83)+AC84)</f>
        <v>0</v>
      </c>
      <c r="L84" s="21">
        <f ca="1">IF($D84="","",SUMIF('TALLY BOX DUMP'!$1:$1,'ACH CALC'!L$2,'TALLY BOX DUMP'!83:83))</f>
        <v>0</v>
      </c>
      <c r="M84" s="21">
        <f ca="1">IF($D84="","",SUMIF('TALLY BOX DUMP'!$1:$1,'ACH CALC'!M$2,'TALLY BOX DUMP'!83:83)+AD84)</f>
        <v>0</v>
      </c>
      <c r="N84" s="21">
        <f ca="1">IF($D84="","",SUMIF('TALLY BOX DUMP'!$1:$1,'ACH CALC'!N$2,'TALLY BOX DUMP'!83:83))</f>
        <v>0</v>
      </c>
      <c r="O84" s="21">
        <f ca="1">IF($D84="","",SUMIF('TALLY BOX DUMP'!$1:$1,'ACH CALC'!O$2,'TALLY BOX DUMP'!83:83))</f>
        <v>0</v>
      </c>
      <c r="P84" s="21">
        <f ca="1">IF($D84="","",SUMIF('TALLY BOX DUMP'!$1:$1,'ACH CALC'!P$2,'TALLY BOX DUMP'!83:83))</f>
        <v>0</v>
      </c>
      <c r="Q84" s="21">
        <f t="shared" ca="1" si="4"/>
        <v>0</v>
      </c>
      <c r="R84" s="21">
        <f ca="1">IF($D84="","",SUMIF('TALLY BOX DUMP'!$1:$1,'ACH CALC'!R$2,'TALLY BOX DUMP'!83:83))</f>
        <v>0</v>
      </c>
      <c r="S84" s="21">
        <f ca="1">IF($D84="","",SUMIF('TALLY BOX DUMP'!$1:$1,'ACH CALC'!S$2,'TALLY BOX DUMP'!83:83))</f>
        <v>0</v>
      </c>
      <c r="T84" s="21">
        <f ca="1">IF($D84="","",SUMIF('TALLY BOX DUMP'!$1:$1,'ACH CALC'!T$2,'TALLY BOX DUMP'!83:83))</f>
        <v>0</v>
      </c>
      <c r="U84" s="21">
        <f ca="1">IF($D84="","",SUMIF('TALLY BOX DUMP'!$1:$1,'ACH CALC'!U$2,'TALLY BOX DUMP'!83:83))</f>
        <v>0</v>
      </c>
      <c r="V84" s="21">
        <f ca="1">IF($D84="","",SUMIF('TALLY BOX DUMP'!$1:$1,'ACH CALC'!V$2,'TALLY BOX DUMP'!83:83))</f>
        <v>0</v>
      </c>
      <c r="W84" s="21">
        <f ca="1">IF($D84="","",SUMIF('TALLY BOX DUMP'!$1:$1,'ACH CALC'!W$2,'TALLY BOX DUMP'!83:83))</f>
        <v>0</v>
      </c>
      <c r="X84" s="21">
        <f ca="1">IF($D84="","",SUMIF('TALLY BOX DUMP'!$1:$1,'ACH CALC'!X$2,'TALLY BOX DUMP'!83:83))</f>
        <v>0</v>
      </c>
      <c r="Y84" s="21">
        <f ca="1">IF($D84="","",SUMIF('TALLY BOX DUMP'!$1:$1,'ACH CALC'!Y$2,'TALLY BOX DUMP'!83:83))</f>
        <v>0</v>
      </c>
      <c r="Z84" s="21">
        <f ca="1">IF($D84="","",SUMIF('TALLY BOX DUMP'!$1:$1,'ACH CALC'!Z$2,'TALLY BOX DUMP'!83:83)+AE84)</f>
        <v>0</v>
      </c>
      <c r="AA84" s="21">
        <f ca="1">IF($D84="","",SUMIF('TALLY BOX DUMP'!$1:$1,'ACH CALC'!AA$2,'TALLY BOX DUMP'!83:83))</f>
        <v>0</v>
      </c>
      <c r="AB84" s="21">
        <f ca="1">IF($D84="","",SUMIF('TALLY BOX DUMP'!$1:$1,'ACH CALC'!AB$2,'TALLY BOX DUMP'!83:83))</f>
        <v>0</v>
      </c>
      <c r="AC84" s="21">
        <f ca="1">IF($D84="","",SUMIF('TALLY BOX DUMP'!$1:$1,'ACH CALC'!AC$2,'TALLY BOX DUMP'!83:83))</f>
        <v>0</v>
      </c>
      <c r="AD84" s="21">
        <f ca="1">IF($D84="","",SUMIF('TALLY BOX DUMP'!$1:$1,'ACH CALC'!AD$2,'TALLY BOX DUMP'!83:83))</f>
        <v>0</v>
      </c>
      <c r="AE84" s="21">
        <f ca="1">IF($D84="","",SUMIF('TALLY BOX DUMP'!$1:$1,'ACH CALC'!AE$2,'TALLY BOX DUMP'!83:83))</f>
        <v>0</v>
      </c>
      <c r="AF84" s="21">
        <f ca="1">IF($D84="","",SUMIF('TALLY BOX DUMP'!$1:$1,'ACH CALC'!AF$2,'TALLY BOX DUMP'!83:83))</f>
        <v>0</v>
      </c>
      <c r="AG84" s="21">
        <f ca="1">IF($D84="","",SUMIF('TALLY BOX DUMP'!$1:$1,'ACH CALC'!AG$2,'TALLY BOX DUMP'!83:83))</f>
        <v>0</v>
      </c>
      <c r="AH84" s="21">
        <f ca="1">IF($D84="","",SUMIF('TALLY BOX DUMP'!$1:$1,'ACH CALC'!AH$2,'TALLY BOX DUMP'!83:83))</f>
        <v>0</v>
      </c>
      <c r="AI84" s="21">
        <f ca="1">IF($D84="","",SUMIF('TALLY BOX DUMP'!$1:$1,'ACH CALC'!AI$2,'TALLY BOX DUMP'!83:83))</f>
        <v>0</v>
      </c>
      <c r="AJ84" s="21">
        <f ca="1">IF($D84="","",SUMIF('TALLY BOX DUMP'!$1:$1,'ACH CALC'!AJ$2,'TALLY BOX DUMP'!83:83))</f>
        <v>0</v>
      </c>
      <c r="AK84" s="21">
        <f ca="1">IF($D84="","",SUMIF('TALLY BOX DUMP'!$1:$1,'ACH CALC'!AK$2,'TALLY BOX DUMP'!83:83))</f>
        <v>0</v>
      </c>
      <c r="AL84" s="21">
        <f ca="1">IF($D84="","",ROUND(SUMIF('TALLY KG DUMP'!$1:$1,'ACH CALC'!AL$2,'TALLY KG DUMP'!83:83)/30,1))</f>
        <v>0</v>
      </c>
      <c r="AM84" s="21">
        <f ca="1">IF($D84="","",SUMIF('TALLY BOX DUMP'!$1:$1,'ACH CALC'!AM$2,'TALLY BOX DUMP'!83:83))</f>
        <v>0</v>
      </c>
      <c r="AN84" s="21">
        <f ca="1">IF($D84="","",SUMIF('TALLY BOX DUMP'!$1:$1,'ACH CALC'!AN$2,'TALLY BOX DUMP'!83:83))</f>
        <v>0</v>
      </c>
      <c r="AO84" s="21">
        <f ca="1">IF($D84="","",SUMIF('TALLY BOX DUMP'!$1:$1,'ACH CALC'!AO$2,'TALLY BOX DUMP'!83:83))</f>
        <v>0</v>
      </c>
      <c r="AP84" s="21">
        <f ca="1">IF($D84="","",SUMIF('TALLY BOX DUMP'!$1:$1,'ACH CALC'!AP$2,'TALLY BOX DUMP'!83:83))</f>
        <v>0</v>
      </c>
      <c r="AQ84" s="21">
        <f ca="1">IF($D84="","",ROUND(SUMIF('TALLY KG DUMP'!$1:$1,'ACH CALC'!AQ$2,'TALLY KG DUMP'!83:83)/30,1))</f>
        <v>0</v>
      </c>
      <c r="AR84" s="21">
        <f ca="1">IF($D84="","",SUMIF('TALLY BOX DUMP'!$1:$1,'ACH CALC'!AR$2,'TALLY BOX DUMP'!83:83))</f>
        <v>0</v>
      </c>
      <c r="AS84" s="21">
        <f ca="1">IF($D84="","",SUMIF('TALLY BOX DUMP'!$1:$1,'ACH CALC'!AS$2,'TALLY BOX DUMP'!83:83))</f>
        <v>0</v>
      </c>
      <c r="AT84" s="21">
        <f ca="1">IF($D84="","",SUMIF('TALLY BOX DUMP'!$1:$1,'ACH CALC'!AT$2,'TALLY BOX DUMP'!83:83))</f>
        <v>0</v>
      </c>
      <c r="AU84" s="21">
        <f ca="1">IF($D84="","",SUMIF('TALLY BOX DUMP'!$1:$1,'ACH CALC'!AU$2,'TALLY BOX DUMP'!83:83))</f>
        <v>0</v>
      </c>
      <c r="AV84" s="21">
        <f ca="1">IF($D84="","",SUMIF('TALLY BOX DUMP'!$1:$1,'ACH CALC'!AV$2,'TALLY BOX DUMP'!83:83))</f>
        <v>0</v>
      </c>
      <c r="AW84" s="21">
        <f ca="1">IF($D84="","",SUMIF('TALLY BOX DUMP'!$1:$1,'ACH CALC'!AW$2,'TALLY BOX DUMP'!83:83))</f>
        <v>0</v>
      </c>
      <c r="AX84" s="21">
        <f ca="1">IF($D84="","",SUMIF('TALLY BOX DUMP'!$1:$1,'ACH CALC'!AX$2,'TALLY BOX DUMP'!83:83))</f>
        <v>0</v>
      </c>
      <c r="AY84" s="21">
        <f ca="1">IF($D84="","",SUMIF('TALLY BOX DUMP'!$1:$1,'ACH CALC'!AY$2,'TALLY BOX DUMP'!83:83))</f>
        <v>0</v>
      </c>
      <c r="AZ84" s="21">
        <f ca="1">IF($D84="","",SUMIF('TALLY BOX DUMP'!$1:$1,'ACH CALC'!AZ$2,'TALLY BOX DUMP'!83:83))</f>
        <v>0</v>
      </c>
      <c r="BA84" s="69">
        <f>(SUMIF('TALLY KG DUMP'!$2:$2,"Qty",'TALLY KG DUMP'!83:83)/1000)-(SUMIF('TALLY KG DUMP'!$1:$1,"GL",'TALLY KG DUMP'!83:83)/1000)</f>
        <v>0</v>
      </c>
      <c r="BB84" s="21" t="b">
        <f t="shared" ca="1" si="5"/>
        <v>1</v>
      </c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</row>
    <row r="85" spans="2:75" x14ac:dyDescent="0.25">
      <c r="B85" s="21" t="str">
        <f ca="1"/>
        <v>82</v>
      </c>
      <c r="C85" s="21" t="str">
        <f ca="1"/>
        <v>SUN06711</v>
      </c>
      <c r="D85" s="21" t="str">
        <f ca="1"/>
        <v>VIRUDHACHALAM-KUMARAN TRADERS</v>
      </c>
      <c r="E85" s="21">
        <f ca="1">IF($D85="","",(SUMIF('TALLY KG DUMP'!$2:$2,"Qty",'TALLY KG DUMP'!84:84)/1000)-(SUMIF('TALLY KG DUMP'!$1:$1,"GL",'TALLY KG DUMP'!84:84)/1000))</f>
        <v>0</v>
      </c>
      <c r="F85" s="21">
        <f ca="1">IF($D85="","",(SUMIF('TALLY KG DUMP'!$1:$1,'ACH CALC'!F$2,'TALLY KG DUMP'!84:84)/1000))</f>
        <v>0</v>
      </c>
      <c r="G85" s="21">
        <f ca="1">IF($D85="","",SUMIF('TALLY BOX DUMP'!$1:$1,'ACH CALC'!G$2,'TALLY BOX DUMP'!84:84)+Y85)</f>
        <v>0</v>
      </c>
      <c r="H85" s="21">
        <f t="shared" ca="1" si="3"/>
        <v>0</v>
      </c>
      <c r="I85" s="21">
        <f ca="1">IF($D85="","",SUMIF('TALLY BOX DUMP'!$1:$1,'ACH CALC'!I$2,'TALLY BOX DUMP'!84:84)+AA85)</f>
        <v>0</v>
      </c>
      <c r="J85" s="21">
        <f ca="1">IF($D85="","",SUMIF('TALLY BOX DUMP'!$1:$1,'ACH CALC'!J$2,'TALLY BOX DUMP'!84:84)+AB85)</f>
        <v>0</v>
      </c>
      <c r="K85" s="21">
        <f ca="1">IF($D85="","",SUMIF('TALLY BOX DUMP'!$1:$1,'ACH CALC'!K$2,'TALLY BOX DUMP'!84:84)+AC85)</f>
        <v>0</v>
      </c>
      <c r="L85" s="21">
        <f ca="1">IF($D85="","",SUMIF('TALLY BOX DUMP'!$1:$1,'ACH CALC'!L$2,'TALLY BOX DUMP'!84:84))</f>
        <v>0</v>
      </c>
      <c r="M85" s="21">
        <f ca="1">IF($D85="","",SUMIF('TALLY BOX DUMP'!$1:$1,'ACH CALC'!M$2,'TALLY BOX DUMP'!84:84)+AD85)</f>
        <v>0</v>
      </c>
      <c r="N85" s="21">
        <f ca="1">IF($D85="","",SUMIF('TALLY BOX DUMP'!$1:$1,'ACH CALC'!N$2,'TALLY BOX DUMP'!84:84))</f>
        <v>0</v>
      </c>
      <c r="O85" s="21">
        <f ca="1">IF($D85="","",SUMIF('TALLY BOX DUMP'!$1:$1,'ACH CALC'!O$2,'TALLY BOX DUMP'!84:84))</f>
        <v>0</v>
      </c>
      <c r="P85" s="21">
        <f ca="1">IF($D85="","",SUMIF('TALLY BOX DUMP'!$1:$1,'ACH CALC'!P$2,'TALLY BOX DUMP'!84:84))</f>
        <v>0</v>
      </c>
      <c r="Q85" s="21">
        <f t="shared" ca="1" si="4"/>
        <v>0</v>
      </c>
      <c r="R85" s="21">
        <f ca="1">IF($D85="","",SUMIF('TALLY BOX DUMP'!$1:$1,'ACH CALC'!R$2,'TALLY BOX DUMP'!84:84))</f>
        <v>0</v>
      </c>
      <c r="S85" s="21">
        <f ca="1">IF($D85="","",SUMIF('TALLY BOX DUMP'!$1:$1,'ACH CALC'!S$2,'TALLY BOX DUMP'!84:84))</f>
        <v>0</v>
      </c>
      <c r="T85" s="21">
        <f ca="1">IF($D85="","",SUMIF('TALLY BOX DUMP'!$1:$1,'ACH CALC'!T$2,'TALLY BOX DUMP'!84:84))</f>
        <v>0</v>
      </c>
      <c r="U85" s="21">
        <f ca="1">IF($D85="","",SUMIF('TALLY BOX DUMP'!$1:$1,'ACH CALC'!U$2,'TALLY BOX DUMP'!84:84))</f>
        <v>0</v>
      </c>
      <c r="V85" s="21">
        <f ca="1">IF($D85="","",SUMIF('TALLY BOX DUMP'!$1:$1,'ACH CALC'!V$2,'TALLY BOX DUMP'!84:84))</f>
        <v>0</v>
      </c>
      <c r="W85" s="21">
        <f ca="1">IF($D85="","",SUMIF('TALLY BOX DUMP'!$1:$1,'ACH CALC'!W$2,'TALLY BOX DUMP'!84:84))</f>
        <v>0</v>
      </c>
      <c r="X85" s="21">
        <f ca="1">IF($D85="","",SUMIF('TALLY BOX DUMP'!$1:$1,'ACH CALC'!X$2,'TALLY BOX DUMP'!84:84))</f>
        <v>0</v>
      </c>
      <c r="Y85" s="21">
        <f ca="1">IF($D85="","",SUMIF('TALLY BOX DUMP'!$1:$1,'ACH CALC'!Y$2,'TALLY BOX DUMP'!84:84))</f>
        <v>0</v>
      </c>
      <c r="Z85" s="21">
        <f ca="1">IF($D85="","",SUMIF('TALLY BOX DUMP'!$1:$1,'ACH CALC'!Z$2,'TALLY BOX DUMP'!84:84)+AE85)</f>
        <v>0</v>
      </c>
      <c r="AA85" s="21">
        <f ca="1">IF($D85="","",SUMIF('TALLY BOX DUMP'!$1:$1,'ACH CALC'!AA$2,'TALLY BOX DUMP'!84:84))</f>
        <v>0</v>
      </c>
      <c r="AB85" s="21">
        <f ca="1">IF($D85="","",SUMIF('TALLY BOX DUMP'!$1:$1,'ACH CALC'!AB$2,'TALLY BOX DUMP'!84:84))</f>
        <v>0</v>
      </c>
      <c r="AC85" s="21">
        <f ca="1">IF($D85="","",SUMIF('TALLY BOX DUMP'!$1:$1,'ACH CALC'!AC$2,'TALLY BOX DUMP'!84:84))</f>
        <v>0</v>
      </c>
      <c r="AD85" s="21">
        <f ca="1">IF($D85="","",SUMIF('TALLY BOX DUMP'!$1:$1,'ACH CALC'!AD$2,'TALLY BOX DUMP'!84:84))</f>
        <v>0</v>
      </c>
      <c r="AE85" s="21">
        <f ca="1">IF($D85="","",SUMIF('TALLY BOX DUMP'!$1:$1,'ACH CALC'!AE$2,'TALLY BOX DUMP'!84:84))</f>
        <v>0</v>
      </c>
      <c r="AF85" s="21">
        <f ca="1">IF($D85="","",SUMIF('TALLY BOX DUMP'!$1:$1,'ACH CALC'!AF$2,'TALLY BOX DUMP'!84:84))</f>
        <v>0</v>
      </c>
      <c r="AG85" s="21">
        <f ca="1">IF($D85="","",SUMIF('TALLY BOX DUMP'!$1:$1,'ACH CALC'!AG$2,'TALLY BOX DUMP'!84:84))</f>
        <v>0</v>
      </c>
      <c r="AH85" s="21">
        <f ca="1">IF($D85="","",SUMIF('TALLY BOX DUMP'!$1:$1,'ACH CALC'!AH$2,'TALLY BOX DUMP'!84:84))</f>
        <v>0</v>
      </c>
      <c r="AI85" s="21">
        <f ca="1">IF($D85="","",SUMIF('TALLY BOX DUMP'!$1:$1,'ACH CALC'!AI$2,'TALLY BOX DUMP'!84:84))</f>
        <v>0</v>
      </c>
      <c r="AJ85" s="21">
        <f ca="1">IF($D85="","",SUMIF('TALLY BOX DUMP'!$1:$1,'ACH CALC'!AJ$2,'TALLY BOX DUMP'!84:84))</f>
        <v>0</v>
      </c>
      <c r="AK85" s="21">
        <f ca="1">IF($D85="","",SUMIF('TALLY BOX DUMP'!$1:$1,'ACH CALC'!AK$2,'TALLY BOX DUMP'!84:84))</f>
        <v>0</v>
      </c>
      <c r="AL85" s="21">
        <f ca="1">IF($D85="","",ROUND(SUMIF('TALLY KG DUMP'!$1:$1,'ACH CALC'!AL$2,'TALLY KG DUMP'!84:84)/30,1))</f>
        <v>0</v>
      </c>
      <c r="AM85" s="21">
        <f ca="1">IF($D85="","",SUMIF('TALLY BOX DUMP'!$1:$1,'ACH CALC'!AM$2,'TALLY BOX DUMP'!84:84))</f>
        <v>0</v>
      </c>
      <c r="AN85" s="21">
        <f ca="1">IF($D85="","",SUMIF('TALLY BOX DUMP'!$1:$1,'ACH CALC'!AN$2,'TALLY BOX DUMP'!84:84))</f>
        <v>0</v>
      </c>
      <c r="AO85" s="21">
        <f ca="1">IF($D85="","",SUMIF('TALLY BOX DUMP'!$1:$1,'ACH CALC'!AO$2,'TALLY BOX DUMP'!84:84))</f>
        <v>0</v>
      </c>
      <c r="AP85" s="21">
        <f ca="1">IF($D85="","",SUMIF('TALLY BOX DUMP'!$1:$1,'ACH CALC'!AP$2,'TALLY BOX DUMP'!84:84))</f>
        <v>0</v>
      </c>
      <c r="AQ85" s="21">
        <f ca="1">IF($D85="","",ROUND(SUMIF('TALLY KG DUMP'!$1:$1,'ACH CALC'!AQ$2,'TALLY KG DUMP'!84:84)/30,1))</f>
        <v>0</v>
      </c>
      <c r="AR85" s="21">
        <f ca="1">IF($D85="","",SUMIF('TALLY BOX DUMP'!$1:$1,'ACH CALC'!AR$2,'TALLY BOX DUMP'!84:84))</f>
        <v>0</v>
      </c>
      <c r="AS85" s="21">
        <f ca="1">IF($D85="","",SUMIF('TALLY BOX DUMP'!$1:$1,'ACH CALC'!AS$2,'TALLY BOX DUMP'!84:84))</f>
        <v>0</v>
      </c>
      <c r="AT85" s="21">
        <f ca="1">IF($D85="","",SUMIF('TALLY BOX DUMP'!$1:$1,'ACH CALC'!AT$2,'TALLY BOX DUMP'!84:84))</f>
        <v>0</v>
      </c>
      <c r="AU85" s="21">
        <f ca="1">IF($D85="","",SUMIF('TALLY BOX DUMP'!$1:$1,'ACH CALC'!AU$2,'TALLY BOX DUMP'!84:84))</f>
        <v>0</v>
      </c>
      <c r="AV85" s="21">
        <f ca="1">IF($D85="","",SUMIF('TALLY BOX DUMP'!$1:$1,'ACH CALC'!AV$2,'TALLY BOX DUMP'!84:84))</f>
        <v>0</v>
      </c>
      <c r="AW85" s="21">
        <f ca="1">IF($D85="","",SUMIF('TALLY BOX DUMP'!$1:$1,'ACH CALC'!AW$2,'TALLY BOX DUMP'!84:84))</f>
        <v>0</v>
      </c>
      <c r="AX85" s="21">
        <f ca="1">IF($D85="","",SUMIF('TALLY BOX DUMP'!$1:$1,'ACH CALC'!AX$2,'TALLY BOX DUMP'!84:84))</f>
        <v>0</v>
      </c>
      <c r="AY85" s="21">
        <f ca="1">IF($D85="","",SUMIF('TALLY BOX DUMP'!$1:$1,'ACH CALC'!AY$2,'TALLY BOX DUMP'!84:84))</f>
        <v>0</v>
      </c>
      <c r="AZ85" s="21">
        <f ca="1">IF($D85="","",SUMIF('TALLY BOX DUMP'!$1:$1,'ACH CALC'!AZ$2,'TALLY BOX DUMP'!84:84))</f>
        <v>0</v>
      </c>
      <c r="BA85" s="69">
        <f>(SUMIF('TALLY KG DUMP'!$2:$2,"Qty",'TALLY KG DUMP'!84:84)/1000)-(SUMIF('TALLY KG DUMP'!$1:$1,"GL",'TALLY KG DUMP'!84:84)/1000)</f>
        <v>0</v>
      </c>
      <c r="BB85" s="21" t="b">
        <f t="shared" ca="1" si="5"/>
        <v>1</v>
      </c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</row>
    <row r="86" spans="2:75" x14ac:dyDescent="0.25">
      <c r="B86" s="21" t="str">
        <f ca="1"/>
        <v>83</v>
      </c>
      <c r="C86" s="21" t="str">
        <f ca="1"/>
        <v>SUN02359</v>
      </c>
      <c r="D86" s="21" t="str">
        <f ca="1"/>
        <v>KATTUMANNARKOIL HAJABAWA SWEETS &amp; BAKERY (LALPET)</v>
      </c>
      <c r="E86" s="21">
        <f ca="1">IF($D86="","",(SUMIF('TALLY KG DUMP'!$2:$2,"Qty",'TALLY KG DUMP'!85:85)/1000)-(SUMIF('TALLY KG DUMP'!$1:$1,"GL",'TALLY KG DUMP'!85:85)/1000))</f>
        <v>0</v>
      </c>
      <c r="F86" s="21">
        <f ca="1">IF($D86="","",(SUMIF('TALLY KG DUMP'!$1:$1,'ACH CALC'!F$2,'TALLY KG DUMP'!85:85)/1000))</f>
        <v>0</v>
      </c>
      <c r="G86" s="21">
        <f ca="1">IF($D86="","",SUMIF('TALLY BOX DUMP'!$1:$1,'ACH CALC'!G$2,'TALLY BOX DUMP'!85:85)+Y86)</f>
        <v>0</v>
      </c>
      <c r="H86" s="21">
        <f t="shared" ca="1" si="3"/>
        <v>0</v>
      </c>
      <c r="I86" s="21">
        <f ca="1">IF($D86="","",SUMIF('TALLY BOX DUMP'!$1:$1,'ACH CALC'!I$2,'TALLY BOX DUMP'!85:85)+AA86)</f>
        <v>0</v>
      </c>
      <c r="J86" s="21">
        <f ca="1">IF($D86="","",SUMIF('TALLY BOX DUMP'!$1:$1,'ACH CALC'!J$2,'TALLY BOX DUMP'!85:85)+AB86)</f>
        <v>0</v>
      </c>
      <c r="K86" s="21">
        <f ca="1">IF($D86="","",SUMIF('TALLY BOX DUMP'!$1:$1,'ACH CALC'!K$2,'TALLY BOX DUMP'!85:85)+AC86)</f>
        <v>0</v>
      </c>
      <c r="L86" s="21">
        <f ca="1">IF($D86="","",SUMIF('TALLY BOX DUMP'!$1:$1,'ACH CALC'!L$2,'TALLY BOX DUMP'!85:85))</f>
        <v>0</v>
      </c>
      <c r="M86" s="21">
        <f ca="1">IF($D86="","",SUMIF('TALLY BOX DUMP'!$1:$1,'ACH CALC'!M$2,'TALLY BOX DUMP'!85:85)+AD86)</f>
        <v>0</v>
      </c>
      <c r="N86" s="21">
        <f ca="1">IF($D86="","",SUMIF('TALLY BOX DUMP'!$1:$1,'ACH CALC'!N$2,'TALLY BOX DUMP'!85:85))</f>
        <v>0</v>
      </c>
      <c r="O86" s="21">
        <f ca="1">IF($D86="","",SUMIF('TALLY BOX DUMP'!$1:$1,'ACH CALC'!O$2,'TALLY BOX DUMP'!85:85))</f>
        <v>0</v>
      </c>
      <c r="P86" s="21">
        <f ca="1">IF($D86="","",SUMIF('TALLY BOX DUMP'!$1:$1,'ACH CALC'!P$2,'TALLY BOX DUMP'!85:85))</f>
        <v>0</v>
      </c>
      <c r="Q86" s="21">
        <f t="shared" ca="1" si="4"/>
        <v>0</v>
      </c>
      <c r="R86" s="21">
        <f ca="1">IF($D86="","",SUMIF('TALLY BOX DUMP'!$1:$1,'ACH CALC'!R$2,'TALLY BOX DUMP'!85:85))</f>
        <v>0</v>
      </c>
      <c r="S86" s="21">
        <f ca="1">IF($D86="","",SUMIF('TALLY BOX DUMP'!$1:$1,'ACH CALC'!S$2,'TALLY BOX DUMP'!85:85))</f>
        <v>0</v>
      </c>
      <c r="T86" s="21">
        <f ca="1">IF($D86="","",SUMIF('TALLY BOX DUMP'!$1:$1,'ACH CALC'!T$2,'TALLY BOX DUMP'!85:85))</f>
        <v>0</v>
      </c>
      <c r="U86" s="21">
        <f ca="1">IF($D86="","",SUMIF('TALLY BOX DUMP'!$1:$1,'ACH CALC'!U$2,'TALLY BOX DUMP'!85:85))</f>
        <v>0</v>
      </c>
      <c r="V86" s="21">
        <f ca="1">IF($D86="","",SUMIF('TALLY BOX DUMP'!$1:$1,'ACH CALC'!V$2,'TALLY BOX DUMP'!85:85))</f>
        <v>0</v>
      </c>
      <c r="W86" s="21">
        <f ca="1">IF($D86="","",SUMIF('TALLY BOX DUMP'!$1:$1,'ACH CALC'!W$2,'TALLY BOX DUMP'!85:85))</f>
        <v>0</v>
      </c>
      <c r="X86" s="21">
        <f ca="1">IF($D86="","",SUMIF('TALLY BOX DUMP'!$1:$1,'ACH CALC'!X$2,'TALLY BOX DUMP'!85:85))</f>
        <v>0</v>
      </c>
      <c r="Y86" s="21">
        <f ca="1">IF($D86="","",SUMIF('TALLY BOX DUMP'!$1:$1,'ACH CALC'!Y$2,'TALLY BOX DUMP'!85:85))</f>
        <v>0</v>
      </c>
      <c r="Z86" s="21">
        <f ca="1">IF($D86="","",SUMIF('TALLY BOX DUMP'!$1:$1,'ACH CALC'!Z$2,'TALLY BOX DUMP'!85:85)+AE86)</f>
        <v>0</v>
      </c>
      <c r="AA86" s="21">
        <f ca="1">IF($D86="","",SUMIF('TALLY BOX DUMP'!$1:$1,'ACH CALC'!AA$2,'TALLY BOX DUMP'!85:85))</f>
        <v>0</v>
      </c>
      <c r="AB86" s="21">
        <f ca="1">IF($D86="","",SUMIF('TALLY BOX DUMP'!$1:$1,'ACH CALC'!AB$2,'TALLY BOX DUMP'!85:85))</f>
        <v>0</v>
      </c>
      <c r="AC86" s="21">
        <f ca="1">IF($D86="","",SUMIF('TALLY BOX DUMP'!$1:$1,'ACH CALC'!AC$2,'TALLY BOX DUMP'!85:85))</f>
        <v>0</v>
      </c>
      <c r="AD86" s="21">
        <f ca="1">IF($D86="","",SUMIF('TALLY BOX DUMP'!$1:$1,'ACH CALC'!AD$2,'TALLY BOX DUMP'!85:85))</f>
        <v>0</v>
      </c>
      <c r="AE86" s="21">
        <f ca="1">IF($D86="","",SUMIF('TALLY BOX DUMP'!$1:$1,'ACH CALC'!AE$2,'TALLY BOX DUMP'!85:85))</f>
        <v>0</v>
      </c>
      <c r="AF86" s="21">
        <f ca="1">IF($D86="","",SUMIF('TALLY BOX DUMP'!$1:$1,'ACH CALC'!AF$2,'TALLY BOX DUMP'!85:85))</f>
        <v>0</v>
      </c>
      <c r="AG86" s="21">
        <f ca="1">IF($D86="","",SUMIF('TALLY BOX DUMP'!$1:$1,'ACH CALC'!AG$2,'TALLY BOX DUMP'!85:85))</f>
        <v>0</v>
      </c>
      <c r="AH86" s="21">
        <f ca="1">IF($D86="","",SUMIF('TALLY BOX DUMP'!$1:$1,'ACH CALC'!AH$2,'TALLY BOX DUMP'!85:85))</f>
        <v>0</v>
      </c>
      <c r="AI86" s="21">
        <f ca="1">IF($D86="","",SUMIF('TALLY BOX DUMP'!$1:$1,'ACH CALC'!AI$2,'TALLY BOX DUMP'!85:85))</f>
        <v>0</v>
      </c>
      <c r="AJ86" s="21">
        <f ca="1">IF($D86="","",SUMIF('TALLY BOX DUMP'!$1:$1,'ACH CALC'!AJ$2,'TALLY BOX DUMP'!85:85))</f>
        <v>0</v>
      </c>
      <c r="AK86" s="21">
        <f ca="1">IF($D86="","",SUMIF('TALLY BOX DUMP'!$1:$1,'ACH CALC'!AK$2,'TALLY BOX DUMP'!85:85))</f>
        <v>0</v>
      </c>
      <c r="AL86" s="21">
        <f ca="1">IF($D86="","",ROUND(SUMIF('TALLY KG DUMP'!$1:$1,'ACH CALC'!AL$2,'TALLY KG DUMP'!85:85)/30,1))</f>
        <v>0</v>
      </c>
      <c r="AM86" s="21">
        <f ca="1">IF($D86="","",SUMIF('TALLY BOX DUMP'!$1:$1,'ACH CALC'!AM$2,'TALLY BOX DUMP'!85:85))</f>
        <v>0</v>
      </c>
      <c r="AN86" s="21">
        <f ca="1">IF($D86="","",SUMIF('TALLY BOX DUMP'!$1:$1,'ACH CALC'!AN$2,'TALLY BOX DUMP'!85:85))</f>
        <v>0</v>
      </c>
      <c r="AO86" s="21">
        <f ca="1">IF($D86="","",SUMIF('TALLY BOX DUMP'!$1:$1,'ACH CALC'!AO$2,'TALLY BOX DUMP'!85:85))</f>
        <v>0</v>
      </c>
      <c r="AP86" s="21">
        <f ca="1">IF($D86="","",SUMIF('TALLY BOX DUMP'!$1:$1,'ACH CALC'!AP$2,'TALLY BOX DUMP'!85:85))</f>
        <v>0</v>
      </c>
      <c r="AQ86" s="21">
        <f ca="1">IF($D86="","",ROUND(SUMIF('TALLY KG DUMP'!$1:$1,'ACH CALC'!AQ$2,'TALLY KG DUMP'!85:85)/30,1))</f>
        <v>0</v>
      </c>
      <c r="AR86" s="21">
        <f ca="1">IF($D86="","",SUMIF('TALLY BOX DUMP'!$1:$1,'ACH CALC'!AR$2,'TALLY BOX DUMP'!85:85))</f>
        <v>0</v>
      </c>
      <c r="AS86" s="21">
        <f ca="1">IF($D86="","",SUMIF('TALLY BOX DUMP'!$1:$1,'ACH CALC'!AS$2,'TALLY BOX DUMP'!85:85))</f>
        <v>0</v>
      </c>
      <c r="AT86" s="21">
        <f ca="1">IF($D86="","",SUMIF('TALLY BOX DUMP'!$1:$1,'ACH CALC'!AT$2,'TALLY BOX DUMP'!85:85))</f>
        <v>0</v>
      </c>
      <c r="AU86" s="21">
        <f ca="1">IF($D86="","",SUMIF('TALLY BOX DUMP'!$1:$1,'ACH CALC'!AU$2,'TALLY BOX DUMP'!85:85))</f>
        <v>0</v>
      </c>
      <c r="AV86" s="21">
        <f ca="1">IF($D86="","",SUMIF('TALLY BOX DUMP'!$1:$1,'ACH CALC'!AV$2,'TALLY BOX DUMP'!85:85))</f>
        <v>0</v>
      </c>
      <c r="AW86" s="21">
        <f ca="1">IF($D86="","",SUMIF('TALLY BOX DUMP'!$1:$1,'ACH CALC'!AW$2,'TALLY BOX DUMP'!85:85))</f>
        <v>0</v>
      </c>
      <c r="AX86" s="21">
        <f ca="1">IF($D86="","",SUMIF('TALLY BOX DUMP'!$1:$1,'ACH CALC'!AX$2,'TALLY BOX DUMP'!85:85))</f>
        <v>0</v>
      </c>
      <c r="AY86" s="21">
        <f ca="1">IF($D86="","",SUMIF('TALLY BOX DUMP'!$1:$1,'ACH CALC'!AY$2,'TALLY BOX DUMP'!85:85))</f>
        <v>0</v>
      </c>
      <c r="AZ86" s="21">
        <f ca="1">IF($D86="","",SUMIF('TALLY BOX DUMP'!$1:$1,'ACH CALC'!AZ$2,'TALLY BOX DUMP'!85:85))</f>
        <v>0</v>
      </c>
      <c r="BA86" s="69">
        <f>(SUMIF('TALLY KG DUMP'!$2:$2,"Qty",'TALLY KG DUMP'!85:85)/1000)-(SUMIF('TALLY KG DUMP'!$1:$1,"GL",'TALLY KG DUMP'!85:85)/1000)</f>
        <v>0</v>
      </c>
      <c r="BB86" s="21" t="b">
        <f t="shared" ca="1" si="5"/>
        <v>1</v>
      </c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</row>
    <row r="87" spans="2:75" x14ac:dyDescent="0.25">
      <c r="B87" s="21" t="str">
        <f ca="1"/>
        <v>84</v>
      </c>
      <c r="C87" s="21" t="str">
        <f ca="1"/>
        <v>SUN07171</v>
      </c>
      <c r="D87" s="21" t="str">
        <f ca="1"/>
        <v>NEYVELI-VENKATESWARA BAKERY &amp; SWEETS</v>
      </c>
      <c r="E87" s="21">
        <f ca="1">IF($D87="","",(SUMIF('TALLY KG DUMP'!$2:$2,"Qty",'TALLY KG DUMP'!86:86)/1000)-(SUMIF('TALLY KG DUMP'!$1:$1,"GL",'TALLY KG DUMP'!86:86)/1000))</f>
        <v>0</v>
      </c>
      <c r="F87" s="21">
        <f ca="1">IF($D87="","",(SUMIF('TALLY KG DUMP'!$1:$1,'ACH CALC'!F$2,'TALLY KG DUMP'!86:86)/1000))</f>
        <v>0</v>
      </c>
      <c r="G87" s="21">
        <f ca="1">IF($D87="","",SUMIF('TALLY BOX DUMP'!$1:$1,'ACH CALC'!G$2,'TALLY BOX DUMP'!86:86)+Y87)</f>
        <v>0</v>
      </c>
      <c r="H87" s="21">
        <f t="shared" ca="1" si="3"/>
        <v>0</v>
      </c>
      <c r="I87" s="21">
        <f ca="1">IF($D87="","",SUMIF('TALLY BOX DUMP'!$1:$1,'ACH CALC'!I$2,'TALLY BOX DUMP'!86:86)+AA87)</f>
        <v>0</v>
      </c>
      <c r="J87" s="21">
        <f ca="1">IF($D87="","",SUMIF('TALLY BOX DUMP'!$1:$1,'ACH CALC'!J$2,'TALLY BOX DUMP'!86:86)+AB87)</f>
        <v>0</v>
      </c>
      <c r="K87" s="21">
        <f ca="1">IF($D87="","",SUMIF('TALLY BOX DUMP'!$1:$1,'ACH CALC'!K$2,'TALLY BOX DUMP'!86:86)+AC87)</f>
        <v>0</v>
      </c>
      <c r="L87" s="21">
        <f ca="1">IF($D87="","",SUMIF('TALLY BOX DUMP'!$1:$1,'ACH CALC'!L$2,'TALLY BOX DUMP'!86:86))</f>
        <v>0</v>
      </c>
      <c r="M87" s="21">
        <f ca="1">IF($D87="","",SUMIF('TALLY BOX DUMP'!$1:$1,'ACH CALC'!M$2,'TALLY BOX DUMP'!86:86)+AD87)</f>
        <v>0</v>
      </c>
      <c r="N87" s="21">
        <f ca="1">IF($D87="","",SUMIF('TALLY BOX DUMP'!$1:$1,'ACH CALC'!N$2,'TALLY BOX DUMP'!86:86))</f>
        <v>0</v>
      </c>
      <c r="O87" s="21">
        <f ca="1">IF($D87="","",SUMIF('TALLY BOX DUMP'!$1:$1,'ACH CALC'!O$2,'TALLY BOX DUMP'!86:86))</f>
        <v>0</v>
      </c>
      <c r="P87" s="21">
        <f ca="1">IF($D87="","",SUMIF('TALLY BOX DUMP'!$1:$1,'ACH CALC'!P$2,'TALLY BOX DUMP'!86:86))</f>
        <v>0</v>
      </c>
      <c r="Q87" s="21">
        <f t="shared" ca="1" si="4"/>
        <v>0</v>
      </c>
      <c r="R87" s="21">
        <f ca="1">IF($D87="","",SUMIF('TALLY BOX DUMP'!$1:$1,'ACH CALC'!R$2,'TALLY BOX DUMP'!86:86))</f>
        <v>0</v>
      </c>
      <c r="S87" s="21">
        <f ca="1">IF($D87="","",SUMIF('TALLY BOX DUMP'!$1:$1,'ACH CALC'!S$2,'TALLY BOX DUMP'!86:86))</f>
        <v>0</v>
      </c>
      <c r="T87" s="21">
        <f ca="1">IF($D87="","",SUMIF('TALLY BOX DUMP'!$1:$1,'ACH CALC'!T$2,'TALLY BOX DUMP'!86:86))</f>
        <v>0</v>
      </c>
      <c r="U87" s="21">
        <f ca="1">IF($D87="","",SUMIF('TALLY BOX DUMP'!$1:$1,'ACH CALC'!U$2,'TALLY BOX DUMP'!86:86))</f>
        <v>0</v>
      </c>
      <c r="V87" s="21">
        <f ca="1">IF($D87="","",SUMIF('TALLY BOX DUMP'!$1:$1,'ACH CALC'!V$2,'TALLY BOX DUMP'!86:86))</f>
        <v>0</v>
      </c>
      <c r="W87" s="21">
        <f ca="1">IF($D87="","",SUMIF('TALLY BOX DUMP'!$1:$1,'ACH CALC'!W$2,'TALLY BOX DUMP'!86:86))</f>
        <v>0</v>
      </c>
      <c r="X87" s="21">
        <f ca="1">IF($D87="","",SUMIF('TALLY BOX DUMP'!$1:$1,'ACH CALC'!X$2,'TALLY BOX DUMP'!86:86))</f>
        <v>0</v>
      </c>
      <c r="Y87" s="21">
        <f ca="1">IF($D87="","",SUMIF('TALLY BOX DUMP'!$1:$1,'ACH CALC'!Y$2,'TALLY BOX DUMP'!86:86))</f>
        <v>0</v>
      </c>
      <c r="Z87" s="21">
        <f ca="1">IF($D87="","",SUMIF('TALLY BOX DUMP'!$1:$1,'ACH CALC'!Z$2,'TALLY BOX DUMP'!86:86)+AE87)</f>
        <v>0</v>
      </c>
      <c r="AA87" s="21">
        <f ca="1">IF($D87="","",SUMIF('TALLY BOX DUMP'!$1:$1,'ACH CALC'!AA$2,'TALLY BOX DUMP'!86:86))</f>
        <v>0</v>
      </c>
      <c r="AB87" s="21">
        <f ca="1">IF($D87="","",SUMIF('TALLY BOX DUMP'!$1:$1,'ACH CALC'!AB$2,'TALLY BOX DUMP'!86:86))</f>
        <v>0</v>
      </c>
      <c r="AC87" s="21">
        <f ca="1">IF($D87="","",SUMIF('TALLY BOX DUMP'!$1:$1,'ACH CALC'!AC$2,'TALLY BOX DUMP'!86:86))</f>
        <v>0</v>
      </c>
      <c r="AD87" s="21">
        <f ca="1">IF($D87="","",SUMIF('TALLY BOX DUMP'!$1:$1,'ACH CALC'!AD$2,'TALLY BOX DUMP'!86:86))</f>
        <v>0</v>
      </c>
      <c r="AE87" s="21">
        <f ca="1">IF($D87="","",SUMIF('TALLY BOX DUMP'!$1:$1,'ACH CALC'!AE$2,'TALLY BOX DUMP'!86:86))</f>
        <v>0</v>
      </c>
      <c r="AF87" s="21">
        <f ca="1">IF($D87="","",SUMIF('TALLY BOX DUMP'!$1:$1,'ACH CALC'!AF$2,'TALLY BOX DUMP'!86:86))</f>
        <v>0</v>
      </c>
      <c r="AG87" s="21">
        <f ca="1">IF($D87="","",SUMIF('TALLY BOX DUMP'!$1:$1,'ACH CALC'!AG$2,'TALLY BOX DUMP'!86:86))</f>
        <v>0</v>
      </c>
      <c r="AH87" s="21">
        <f ca="1">IF($D87="","",SUMIF('TALLY BOX DUMP'!$1:$1,'ACH CALC'!AH$2,'TALLY BOX DUMP'!86:86))</f>
        <v>0</v>
      </c>
      <c r="AI87" s="21">
        <f ca="1">IF($D87="","",SUMIF('TALLY BOX DUMP'!$1:$1,'ACH CALC'!AI$2,'TALLY BOX DUMP'!86:86))</f>
        <v>0</v>
      </c>
      <c r="AJ87" s="21">
        <f ca="1">IF($D87="","",SUMIF('TALLY BOX DUMP'!$1:$1,'ACH CALC'!AJ$2,'TALLY BOX DUMP'!86:86))</f>
        <v>0</v>
      </c>
      <c r="AK87" s="21">
        <f ca="1">IF($D87="","",SUMIF('TALLY BOX DUMP'!$1:$1,'ACH CALC'!AK$2,'TALLY BOX DUMP'!86:86))</f>
        <v>0</v>
      </c>
      <c r="AL87" s="21">
        <f ca="1">IF($D87="","",ROUND(SUMIF('TALLY KG DUMP'!$1:$1,'ACH CALC'!AL$2,'TALLY KG DUMP'!86:86)/30,1))</f>
        <v>0</v>
      </c>
      <c r="AM87" s="21">
        <f ca="1">IF($D87="","",SUMIF('TALLY BOX DUMP'!$1:$1,'ACH CALC'!AM$2,'TALLY BOX DUMP'!86:86))</f>
        <v>0</v>
      </c>
      <c r="AN87" s="21">
        <f ca="1">IF($D87="","",SUMIF('TALLY BOX DUMP'!$1:$1,'ACH CALC'!AN$2,'TALLY BOX DUMP'!86:86))</f>
        <v>0</v>
      </c>
      <c r="AO87" s="21">
        <f ca="1">IF($D87="","",SUMIF('TALLY BOX DUMP'!$1:$1,'ACH CALC'!AO$2,'TALLY BOX DUMP'!86:86))</f>
        <v>0</v>
      </c>
      <c r="AP87" s="21">
        <f ca="1">IF($D87="","",SUMIF('TALLY BOX DUMP'!$1:$1,'ACH CALC'!AP$2,'TALLY BOX DUMP'!86:86))</f>
        <v>0</v>
      </c>
      <c r="AQ87" s="21">
        <f ca="1">IF($D87="","",ROUND(SUMIF('TALLY KG DUMP'!$1:$1,'ACH CALC'!AQ$2,'TALLY KG DUMP'!86:86)/30,1))</f>
        <v>0</v>
      </c>
      <c r="AR87" s="21">
        <f ca="1">IF($D87="","",SUMIF('TALLY BOX DUMP'!$1:$1,'ACH CALC'!AR$2,'TALLY BOX DUMP'!86:86))</f>
        <v>0</v>
      </c>
      <c r="AS87" s="21">
        <f ca="1">IF($D87="","",SUMIF('TALLY BOX DUMP'!$1:$1,'ACH CALC'!AS$2,'TALLY BOX DUMP'!86:86))</f>
        <v>0</v>
      </c>
      <c r="AT87" s="21">
        <f ca="1">IF($D87="","",SUMIF('TALLY BOX DUMP'!$1:$1,'ACH CALC'!AT$2,'TALLY BOX DUMP'!86:86))</f>
        <v>0</v>
      </c>
      <c r="AU87" s="21">
        <f ca="1">IF($D87="","",SUMIF('TALLY BOX DUMP'!$1:$1,'ACH CALC'!AU$2,'TALLY BOX DUMP'!86:86))</f>
        <v>0</v>
      </c>
      <c r="AV87" s="21">
        <f ca="1">IF($D87="","",SUMIF('TALLY BOX DUMP'!$1:$1,'ACH CALC'!AV$2,'TALLY BOX DUMP'!86:86))</f>
        <v>0</v>
      </c>
      <c r="AW87" s="21">
        <f ca="1">IF($D87="","",SUMIF('TALLY BOX DUMP'!$1:$1,'ACH CALC'!AW$2,'TALLY BOX DUMP'!86:86))</f>
        <v>0</v>
      </c>
      <c r="AX87" s="21">
        <f ca="1">IF($D87="","",SUMIF('TALLY BOX DUMP'!$1:$1,'ACH CALC'!AX$2,'TALLY BOX DUMP'!86:86))</f>
        <v>0</v>
      </c>
      <c r="AY87" s="21">
        <f ca="1">IF($D87="","",SUMIF('TALLY BOX DUMP'!$1:$1,'ACH CALC'!AY$2,'TALLY BOX DUMP'!86:86))</f>
        <v>0</v>
      </c>
      <c r="AZ87" s="21">
        <f ca="1">IF($D87="","",SUMIF('TALLY BOX DUMP'!$1:$1,'ACH CALC'!AZ$2,'TALLY BOX DUMP'!86:86))</f>
        <v>0</v>
      </c>
      <c r="BA87" s="69">
        <f>(SUMIF('TALLY KG DUMP'!$2:$2,"Qty",'TALLY KG DUMP'!86:86)/1000)-(SUMIF('TALLY KG DUMP'!$1:$1,"GL",'TALLY KG DUMP'!86:86)/1000)</f>
        <v>0</v>
      </c>
      <c r="BB87" s="21" t="b">
        <f t="shared" ca="1" si="5"/>
        <v>1</v>
      </c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</row>
    <row r="88" spans="2:75" x14ac:dyDescent="0.25">
      <c r="B88" s="21" t="str">
        <f ca="1"/>
        <v>85</v>
      </c>
      <c r="C88" s="21" t="str">
        <f ca="1"/>
        <v>SUN03130</v>
      </c>
      <c r="D88" s="21" t="str">
        <f ca="1"/>
        <v>CHIDAMBARAM HOTEL SARADHARAM</v>
      </c>
      <c r="E88" s="21">
        <f ca="1">IF($D88="","",(SUMIF('TALLY KG DUMP'!$2:$2,"Qty",'TALLY KG DUMP'!87:87)/1000)-(SUMIF('TALLY KG DUMP'!$1:$1,"GL",'TALLY KG DUMP'!87:87)/1000))</f>
        <v>0</v>
      </c>
      <c r="F88" s="21">
        <f ca="1">IF($D88="","",(SUMIF('TALLY KG DUMP'!$1:$1,'ACH CALC'!F$2,'TALLY KG DUMP'!87:87)/1000))</f>
        <v>0</v>
      </c>
      <c r="G88" s="21">
        <f ca="1">IF($D88="","",SUMIF('TALLY BOX DUMP'!$1:$1,'ACH CALC'!G$2,'TALLY BOX DUMP'!87:87)+Y88)</f>
        <v>0</v>
      </c>
      <c r="H88" s="21">
        <f t="shared" ca="1" si="3"/>
        <v>0</v>
      </c>
      <c r="I88" s="21">
        <f ca="1">IF($D88="","",SUMIF('TALLY BOX DUMP'!$1:$1,'ACH CALC'!I$2,'TALLY BOX DUMP'!87:87)+AA88)</f>
        <v>0</v>
      </c>
      <c r="J88" s="21">
        <f ca="1">IF($D88="","",SUMIF('TALLY BOX DUMP'!$1:$1,'ACH CALC'!J$2,'TALLY BOX DUMP'!87:87)+AB88)</f>
        <v>0</v>
      </c>
      <c r="K88" s="21">
        <f ca="1">IF($D88="","",SUMIF('TALLY BOX DUMP'!$1:$1,'ACH CALC'!K$2,'TALLY BOX DUMP'!87:87)+AC88)</f>
        <v>0</v>
      </c>
      <c r="L88" s="21">
        <f ca="1">IF($D88="","",SUMIF('TALLY BOX DUMP'!$1:$1,'ACH CALC'!L$2,'TALLY BOX DUMP'!87:87))</f>
        <v>0</v>
      </c>
      <c r="M88" s="21">
        <f ca="1">IF($D88="","",SUMIF('TALLY BOX DUMP'!$1:$1,'ACH CALC'!M$2,'TALLY BOX DUMP'!87:87)+AD88)</f>
        <v>0</v>
      </c>
      <c r="N88" s="21">
        <f ca="1">IF($D88="","",SUMIF('TALLY BOX DUMP'!$1:$1,'ACH CALC'!N$2,'TALLY BOX DUMP'!87:87))</f>
        <v>0</v>
      </c>
      <c r="O88" s="21">
        <f ca="1">IF($D88="","",SUMIF('TALLY BOX DUMP'!$1:$1,'ACH CALC'!O$2,'TALLY BOX DUMP'!87:87))</f>
        <v>0</v>
      </c>
      <c r="P88" s="21">
        <f ca="1">IF($D88="","",SUMIF('TALLY BOX DUMP'!$1:$1,'ACH CALC'!P$2,'TALLY BOX DUMP'!87:87))</f>
        <v>0</v>
      </c>
      <c r="Q88" s="21">
        <f t="shared" ca="1" si="4"/>
        <v>0</v>
      </c>
      <c r="R88" s="21">
        <f ca="1">IF($D88="","",SUMIF('TALLY BOX DUMP'!$1:$1,'ACH CALC'!R$2,'TALLY BOX DUMP'!87:87))</f>
        <v>0</v>
      </c>
      <c r="S88" s="21">
        <f ca="1">IF($D88="","",SUMIF('TALLY BOX DUMP'!$1:$1,'ACH CALC'!S$2,'TALLY BOX DUMP'!87:87))</f>
        <v>0</v>
      </c>
      <c r="T88" s="21">
        <f ca="1">IF($D88="","",SUMIF('TALLY BOX DUMP'!$1:$1,'ACH CALC'!T$2,'TALLY BOX DUMP'!87:87))</f>
        <v>0</v>
      </c>
      <c r="U88" s="21">
        <f ca="1">IF($D88="","",SUMIF('TALLY BOX DUMP'!$1:$1,'ACH CALC'!U$2,'TALLY BOX DUMP'!87:87))</f>
        <v>0</v>
      </c>
      <c r="V88" s="21">
        <f ca="1">IF($D88="","",SUMIF('TALLY BOX DUMP'!$1:$1,'ACH CALC'!V$2,'TALLY BOX DUMP'!87:87))</f>
        <v>0</v>
      </c>
      <c r="W88" s="21">
        <f ca="1">IF($D88="","",SUMIF('TALLY BOX DUMP'!$1:$1,'ACH CALC'!W$2,'TALLY BOX DUMP'!87:87))</f>
        <v>0</v>
      </c>
      <c r="X88" s="21">
        <f ca="1">IF($D88="","",SUMIF('TALLY BOX DUMP'!$1:$1,'ACH CALC'!X$2,'TALLY BOX DUMP'!87:87))</f>
        <v>0</v>
      </c>
      <c r="Y88" s="21">
        <f ca="1">IF($D88="","",SUMIF('TALLY BOX DUMP'!$1:$1,'ACH CALC'!Y$2,'TALLY BOX DUMP'!87:87))</f>
        <v>0</v>
      </c>
      <c r="Z88" s="21">
        <f ca="1">IF($D88="","",SUMIF('TALLY BOX DUMP'!$1:$1,'ACH CALC'!Z$2,'TALLY BOX DUMP'!87:87)+AE88)</f>
        <v>0</v>
      </c>
      <c r="AA88" s="21">
        <f ca="1">IF($D88="","",SUMIF('TALLY BOX DUMP'!$1:$1,'ACH CALC'!AA$2,'TALLY BOX DUMP'!87:87))</f>
        <v>0</v>
      </c>
      <c r="AB88" s="21">
        <f ca="1">IF($D88="","",SUMIF('TALLY BOX DUMP'!$1:$1,'ACH CALC'!AB$2,'TALLY BOX DUMP'!87:87))</f>
        <v>0</v>
      </c>
      <c r="AC88" s="21">
        <f ca="1">IF($D88="","",SUMIF('TALLY BOX DUMP'!$1:$1,'ACH CALC'!AC$2,'TALLY BOX DUMP'!87:87))</f>
        <v>0</v>
      </c>
      <c r="AD88" s="21">
        <f ca="1">IF($D88="","",SUMIF('TALLY BOX DUMP'!$1:$1,'ACH CALC'!AD$2,'TALLY BOX DUMP'!87:87))</f>
        <v>0</v>
      </c>
      <c r="AE88" s="21">
        <f ca="1">IF($D88="","",SUMIF('TALLY BOX DUMP'!$1:$1,'ACH CALC'!AE$2,'TALLY BOX DUMP'!87:87))</f>
        <v>0</v>
      </c>
      <c r="AF88" s="21">
        <f ca="1">IF($D88="","",SUMIF('TALLY BOX DUMP'!$1:$1,'ACH CALC'!AF$2,'TALLY BOX DUMP'!87:87))</f>
        <v>0</v>
      </c>
      <c r="AG88" s="21">
        <f ca="1">IF($D88="","",SUMIF('TALLY BOX DUMP'!$1:$1,'ACH CALC'!AG$2,'TALLY BOX DUMP'!87:87))</f>
        <v>0</v>
      </c>
      <c r="AH88" s="21">
        <f ca="1">IF($D88="","",SUMIF('TALLY BOX DUMP'!$1:$1,'ACH CALC'!AH$2,'TALLY BOX DUMP'!87:87))</f>
        <v>0</v>
      </c>
      <c r="AI88" s="21">
        <f ca="1">IF($D88="","",SUMIF('TALLY BOX DUMP'!$1:$1,'ACH CALC'!AI$2,'TALLY BOX DUMP'!87:87))</f>
        <v>0</v>
      </c>
      <c r="AJ88" s="21">
        <f ca="1">IF($D88="","",SUMIF('TALLY BOX DUMP'!$1:$1,'ACH CALC'!AJ$2,'TALLY BOX DUMP'!87:87))</f>
        <v>0</v>
      </c>
      <c r="AK88" s="21">
        <f ca="1">IF($D88="","",SUMIF('TALLY BOX DUMP'!$1:$1,'ACH CALC'!AK$2,'TALLY BOX DUMP'!87:87))</f>
        <v>0</v>
      </c>
      <c r="AL88" s="21">
        <f ca="1">IF($D88="","",ROUND(SUMIF('TALLY KG DUMP'!$1:$1,'ACH CALC'!AL$2,'TALLY KG DUMP'!87:87)/30,1))</f>
        <v>0</v>
      </c>
      <c r="AM88" s="21">
        <f ca="1">IF($D88="","",SUMIF('TALLY BOX DUMP'!$1:$1,'ACH CALC'!AM$2,'TALLY BOX DUMP'!87:87))</f>
        <v>0</v>
      </c>
      <c r="AN88" s="21">
        <f ca="1">IF($D88="","",SUMIF('TALLY BOX DUMP'!$1:$1,'ACH CALC'!AN$2,'TALLY BOX DUMP'!87:87))</f>
        <v>0</v>
      </c>
      <c r="AO88" s="21">
        <f ca="1">IF($D88="","",SUMIF('TALLY BOX DUMP'!$1:$1,'ACH CALC'!AO$2,'TALLY BOX DUMP'!87:87))</f>
        <v>0</v>
      </c>
      <c r="AP88" s="21">
        <f ca="1">IF($D88="","",SUMIF('TALLY BOX DUMP'!$1:$1,'ACH CALC'!AP$2,'TALLY BOX DUMP'!87:87))</f>
        <v>0</v>
      </c>
      <c r="AQ88" s="21">
        <f ca="1">IF($D88="","",ROUND(SUMIF('TALLY KG DUMP'!$1:$1,'ACH CALC'!AQ$2,'TALLY KG DUMP'!87:87)/30,1))</f>
        <v>0</v>
      </c>
      <c r="AR88" s="21">
        <f ca="1">IF($D88="","",SUMIF('TALLY BOX DUMP'!$1:$1,'ACH CALC'!AR$2,'TALLY BOX DUMP'!87:87))</f>
        <v>0</v>
      </c>
      <c r="AS88" s="21">
        <f ca="1">IF($D88="","",SUMIF('TALLY BOX DUMP'!$1:$1,'ACH CALC'!AS$2,'TALLY BOX DUMP'!87:87))</f>
        <v>0</v>
      </c>
      <c r="AT88" s="21">
        <f ca="1">IF($D88="","",SUMIF('TALLY BOX DUMP'!$1:$1,'ACH CALC'!AT$2,'TALLY BOX DUMP'!87:87))</f>
        <v>0</v>
      </c>
      <c r="AU88" s="21">
        <f ca="1">IF($D88="","",SUMIF('TALLY BOX DUMP'!$1:$1,'ACH CALC'!AU$2,'TALLY BOX DUMP'!87:87))</f>
        <v>0</v>
      </c>
      <c r="AV88" s="21">
        <f ca="1">IF($D88="","",SUMIF('TALLY BOX DUMP'!$1:$1,'ACH CALC'!AV$2,'TALLY BOX DUMP'!87:87))</f>
        <v>0</v>
      </c>
      <c r="AW88" s="21">
        <f ca="1">IF($D88="","",SUMIF('TALLY BOX DUMP'!$1:$1,'ACH CALC'!AW$2,'TALLY BOX DUMP'!87:87))</f>
        <v>0</v>
      </c>
      <c r="AX88" s="21">
        <f ca="1">IF($D88="","",SUMIF('TALLY BOX DUMP'!$1:$1,'ACH CALC'!AX$2,'TALLY BOX DUMP'!87:87))</f>
        <v>0</v>
      </c>
      <c r="AY88" s="21">
        <f ca="1">IF($D88="","",SUMIF('TALLY BOX DUMP'!$1:$1,'ACH CALC'!AY$2,'TALLY BOX DUMP'!87:87))</f>
        <v>0</v>
      </c>
      <c r="AZ88" s="21">
        <f ca="1">IF($D88="","",SUMIF('TALLY BOX DUMP'!$1:$1,'ACH CALC'!AZ$2,'TALLY BOX DUMP'!87:87))</f>
        <v>0</v>
      </c>
      <c r="BA88" s="69">
        <f>(SUMIF('TALLY KG DUMP'!$2:$2,"Qty",'TALLY KG DUMP'!87:87)/1000)-(SUMIF('TALLY KG DUMP'!$1:$1,"GL",'TALLY KG DUMP'!87:87)/1000)</f>
        <v>0</v>
      </c>
      <c r="BB88" s="21" t="b">
        <f t="shared" ca="1" si="5"/>
        <v>1</v>
      </c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</row>
    <row r="89" spans="2:75" x14ac:dyDescent="0.25">
      <c r="B89" s="21" t="str">
        <f ca="1"/>
        <v>86</v>
      </c>
      <c r="C89" s="21" t="str">
        <f ca="1"/>
        <v>SUN01857</v>
      </c>
      <c r="D89" s="21" t="str">
        <f ca="1"/>
        <v>TCY AVENUE SUPERMARTS LIMITED</v>
      </c>
      <c r="E89" s="21">
        <f ca="1">IF($D89="","",(SUMIF('TALLY KG DUMP'!$2:$2,"Qty",'TALLY KG DUMP'!88:88)/1000)-(SUMIF('TALLY KG DUMP'!$1:$1,"GL",'TALLY KG DUMP'!88:88)/1000))</f>
        <v>6.6260000000000003</v>
      </c>
      <c r="F89" s="21">
        <f ca="1">IF($D89="","",(SUMIF('TALLY KG DUMP'!$1:$1,'ACH CALC'!F$2,'TALLY KG DUMP'!88:88)/1000))</f>
        <v>0</v>
      </c>
      <c r="G89" s="21">
        <f ca="1">IF($D89="","",SUMIF('TALLY BOX DUMP'!$1:$1,'ACH CALC'!G$2,'TALLY BOX DUMP'!88:88)+Y89)</f>
        <v>0</v>
      </c>
      <c r="H89" s="21">
        <f t="shared" ca="1" si="3"/>
        <v>21</v>
      </c>
      <c r="I89" s="21">
        <f ca="1">IF($D89="","",SUMIF('TALLY BOX DUMP'!$1:$1,'ACH CALC'!I$2,'TALLY BOX DUMP'!88:88)+AA89)</f>
        <v>15</v>
      </c>
      <c r="J89" s="21">
        <f ca="1">IF($D89="","",SUMIF('TALLY BOX DUMP'!$1:$1,'ACH CALC'!J$2,'TALLY BOX DUMP'!88:88)+AB89)</f>
        <v>0</v>
      </c>
      <c r="K89" s="21">
        <f ca="1">IF($D89="","",SUMIF('TALLY BOX DUMP'!$1:$1,'ACH CALC'!K$2,'TALLY BOX DUMP'!88:88)+AC89)</f>
        <v>6</v>
      </c>
      <c r="L89" s="21">
        <f ca="1">IF($D89="","",SUMIF('TALLY BOX DUMP'!$1:$1,'ACH CALC'!L$2,'TALLY BOX DUMP'!88:88))</f>
        <v>0</v>
      </c>
      <c r="M89" s="21">
        <f ca="1">IF($D89="","",SUMIF('TALLY BOX DUMP'!$1:$1,'ACH CALC'!M$2,'TALLY BOX DUMP'!88:88)+AD89)</f>
        <v>0</v>
      </c>
      <c r="N89" s="21">
        <f ca="1">IF($D89="","",SUMIF('TALLY BOX DUMP'!$1:$1,'ACH CALC'!N$2,'TALLY BOX DUMP'!88:88))</f>
        <v>0</v>
      </c>
      <c r="O89" s="21">
        <f ca="1">IF($D89="","",SUMIF('TALLY BOX DUMP'!$1:$1,'ACH CALC'!O$2,'TALLY BOX DUMP'!88:88))</f>
        <v>0</v>
      </c>
      <c r="P89" s="21">
        <f ca="1">IF($D89="","",SUMIF('TALLY BOX DUMP'!$1:$1,'ACH CALC'!P$2,'TALLY BOX DUMP'!88:88))</f>
        <v>0</v>
      </c>
      <c r="Q89" s="21">
        <f t="shared" ca="1" si="4"/>
        <v>0</v>
      </c>
      <c r="R89" s="21">
        <f ca="1">IF($D89="","",SUMIF('TALLY BOX DUMP'!$1:$1,'ACH CALC'!R$2,'TALLY BOX DUMP'!88:88))</f>
        <v>0</v>
      </c>
      <c r="S89" s="21">
        <f ca="1">IF($D89="","",SUMIF('TALLY BOX DUMP'!$1:$1,'ACH CALC'!S$2,'TALLY BOX DUMP'!88:88))</f>
        <v>0</v>
      </c>
      <c r="T89" s="21">
        <f ca="1">IF($D89="","",SUMIF('TALLY BOX DUMP'!$1:$1,'ACH CALC'!T$2,'TALLY BOX DUMP'!88:88))</f>
        <v>0</v>
      </c>
      <c r="U89" s="21">
        <f ca="1">IF($D89="","",SUMIF('TALLY BOX DUMP'!$1:$1,'ACH CALC'!U$2,'TALLY BOX DUMP'!88:88))</f>
        <v>0</v>
      </c>
      <c r="V89" s="21">
        <f ca="1">IF($D89="","",SUMIF('TALLY BOX DUMP'!$1:$1,'ACH CALC'!V$2,'TALLY BOX DUMP'!88:88))</f>
        <v>0</v>
      </c>
      <c r="W89" s="21">
        <f ca="1">IF($D89="","",SUMIF('TALLY BOX DUMP'!$1:$1,'ACH CALC'!W$2,'TALLY BOX DUMP'!88:88))</f>
        <v>0</v>
      </c>
      <c r="X89" s="21">
        <f ca="1">IF($D89="","",SUMIF('TALLY BOX DUMP'!$1:$1,'ACH CALC'!X$2,'TALLY BOX DUMP'!88:88))</f>
        <v>0</v>
      </c>
      <c r="Y89" s="21">
        <f ca="1">IF($D89="","",SUMIF('TALLY BOX DUMP'!$1:$1,'ACH CALC'!Y$2,'TALLY BOX DUMP'!88:88))</f>
        <v>0</v>
      </c>
      <c r="Z89" s="21">
        <f ca="1">IF($D89="","",SUMIF('TALLY BOX DUMP'!$1:$1,'ACH CALC'!Z$2,'TALLY BOX DUMP'!88:88)+AE89)</f>
        <v>0</v>
      </c>
      <c r="AA89" s="21">
        <f ca="1">IF($D89="","",SUMIF('TALLY BOX DUMP'!$1:$1,'ACH CALC'!AA$2,'TALLY BOX DUMP'!88:88))</f>
        <v>0</v>
      </c>
      <c r="AB89" s="21">
        <f ca="1">IF($D89="","",SUMIF('TALLY BOX DUMP'!$1:$1,'ACH CALC'!AB$2,'TALLY BOX DUMP'!88:88))</f>
        <v>0</v>
      </c>
      <c r="AC89" s="21">
        <f ca="1">IF($D89="","",SUMIF('TALLY BOX DUMP'!$1:$1,'ACH CALC'!AC$2,'TALLY BOX DUMP'!88:88))</f>
        <v>0</v>
      </c>
      <c r="AD89" s="21">
        <f ca="1">IF($D89="","",SUMIF('TALLY BOX DUMP'!$1:$1,'ACH CALC'!AD$2,'TALLY BOX DUMP'!88:88))</f>
        <v>0</v>
      </c>
      <c r="AE89" s="21">
        <f ca="1">IF($D89="","",SUMIF('TALLY BOX DUMP'!$1:$1,'ACH CALC'!AE$2,'TALLY BOX DUMP'!88:88))</f>
        <v>0</v>
      </c>
      <c r="AF89" s="21">
        <f ca="1">IF($D89="","",SUMIF('TALLY BOX DUMP'!$1:$1,'ACH CALC'!AF$2,'TALLY BOX DUMP'!88:88))</f>
        <v>0</v>
      </c>
      <c r="AG89" s="21">
        <f ca="1">IF($D89="","",SUMIF('TALLY BOX DUMP'!$1:$1,'ACH CALC'!AG$2,'TALLY BOX DUMP'!88:88))</f>
        <v>0</v>
      </c>
      <c r="AH89" s="21">
        <f ca="1">IF($D89="","",SUMIF('TALLY BOX DUMP'!$1:$1,'ACH CALC'!AH$2,'TALLY BOX DUMP'!88:88))</f>
        <v>0</v>
      </c>
      <c r="AI89" s="21">
        <f ca="1">IF($D89="","",SUMIF('TALLY BOX DUMP'!$1:$1,'ACH CALC'!AI$2,'TALLY BOX DUMP'!88:88))</f>
        <v>0</v>
      </c>
      <c r="AJ89" s="21">
        <f ca="1">IF($D89="","",SUMIF('TALLY BOX DUMP'!$1:$1,'ACH CALC'!AJ$2,'TALLY BOX DUMP'!88:88))</f>
        <v>0</v>
      </c>
      <c r="AK89" s="21">
        <f ca="1">IF($D89="","",SUMIF('TALLY BOX DUMP'!$1:$1,'ACH CALC'!AK$2,'TALLY BOX DUMP'!88:88))</f>
        <v>0</v>
      </c>
      <c r="AL89" s="21">
        <f ca="1">IF($D89="","",ROUND(SUMIF('TALLY KG DUMP'!$1:$1,'ACH CALC'!AL$2,'TALLY KG DUMP'!88:88)/30,1))</f>
        <v>0</v>
      </c>
      <c r="AM89" s="21">
        <f ca="1">IF($D89="","",SUMIF('TALLY BOX DUMP'!$1:$1,'ACH CALC'!AM$2,'TALLY BOX DUMP'!88:88))</f>
        <v>0</v>
      </c>
      <c r="AN89" s="21">
        <f ca="1">IF($D89="","",SUMIF('TALLY BOX DUMP'!$1:$1,'ACH CALC'!AN$2,'TALLY BOX DUMP'!88:88))</f>
        <v>0</v>
      </c>
      <c r="AO89" s="21">
        <f ca="1">IF($D89="","",SUMIF('TALLY BOX DUMP'!$1:$1,'ACH CALC'!AO$2,'TALLY BOX DUMP'!88:88))</f>
        <v>0</v>
      </c>
      <c r="AP89" s="21">
        <f ca="1">IF($D89="","",SUMIF('TALLY BOX DUMP'!$1:$1,'ACH CALC'!AP$2,'TALLY BOX DUMP'!88:88))</f>
        <v>0</v>
      </c>
      <c r="AQ89" s="21">
        <f ca="1">IF($D89="","",ROUND(SUMIF('TALLY KG DUMP'!$1:$1,'ACH CALC'!AQ$2,'TALLY KG DUMP'!88:88)/30,1))</f>
        <v>0</v>
      </c>
      <c r="AR89" s="21">
        <f ca="1">IF($D89="","",SUMIF('TALLY BOX DUMP'!$1:$1,'ACH CALC'!AR$2,'TALLY BOX DUMP'!88:88))</f>
        <v>0</v>
      </c>
      <c r="AS89" s="21">
        <f ca="1">IF($D89="","",SUMIF('TALLY BOX DUMP'!$1:$1,'ACH CALC'!AS$2,'TALLY BOX DUMP'!88:88))</f>
        <v>0</v>
      </c>
      <c r="AT89" s="21">
        <f ca="1">IF($D89="","",SUMIF('TALLY BOX DUMP'!$1:$1,'ACH CALC'!AT$2,'TALLY BOX DUMP'!88:88))</f>
        <v>0</v>
      </c>
      <c r="AU89" s="21">
        <f ca="1">IF($D89="","",SUMIF('TALLY BOX DUMP'!$1:$1,'ACH CALC'!AU$2,'TALLY BOX DUMP'!88:88))</f>
        <v>0</v>
      </c>
      <c r="AV89" s="21">
        <f ca="1">IF($D89="","",SUMIF('TALLY BOX DUMP'!$1:$1,'ACH CALC'!AV$2,'TALLY BOX DUMP'!88:88))</f>
        <v>0</v>
      </c>
      <c r="AW89" s="21">
        <f ca="1">IF($D89="","",SUMIF('TALLY BOX DUMP'!$1:$1,'ACH CALC'!AW$2,'TALLY BOX DUMP'!88:88))</f>
        <v>0</v>
      </c>
      <c r="AX89" s="21">
        <f ca="1">IF($D89="","",SUMIF('TALLY BOX DUMP'!$1:$1,'ACH CALC'!AX$2,'TALLY BOX DUMP'!88:88))</f>
        <v>0</v>
      </c>
      <c r="AY89" s="21">
        <f ca="1">IF($D89="","",SUMIF('TALLY BOX DUMP'!$1:$1,'ACH CALC'!AY$2,'TALLY BOX DUMP'!88:88))</f>
        <v>0</v>
      </c>
      <c r="AZ89" s="21">
        <f ca="1">IF($D89="","",SUMIF('TALLY BOX DUMP'!$1:$1,'ACH CALC'!AZ$2,'TALLY BOX DUMP'!88:88))</f>
        <v>0</v>
      </c>
      <c r="BA89" s="69">
        <f>(SUMIF('TALLY KG DUMP'!$2:$2,"Qty",'TALLY KG DUMP'!88:88)/1000)-(SUMIF('TALLY KG DUMP'!$1:$1,"GL",'TALLY KG DUMP'!88:88)/1000)</f>
        <v>6.6260000000000003</v>
      </c>
      <c r="BB89" s="21" t="b">
        <f t="shared" ca="1" si="5"/>
        <v>1</v>
      </c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</row>
    <row r="90" spans="2:75" x14ac:dyDescent="0.25">
      <c r="B90" s="21" t="str">
        <f ca="1"/>
        <v>87</v>
      </c>
      <c r="C90" s="21" t="str">
        <f ca="1"/>
        <v>SUN07664</v>
      </c>
      <c r="D90" s="21" t="str">
        <f ca="1"/>
        <v>TRICHY-MURALI AGENCIES</v>
      </c>
      <c r="E90" s="21">
        <f ca="1">IF($D90="","",(SUMIF('TALLY KG DUMP'!$2:$2,"Qty",'TALLY KG DUMP'!89:89)/1000)-(SUMIF('TALLY KG DUMP'!$1:$1,"GL",'TALLY KG DUMP'!89:89)/1000))</f>
        <v>0.48599999999999999</v>
      </c>
      <c r="F90" s="21">
        <f ca="1">IF($D90="","",(SUMIF('TALLY KG DUMP'!$1:$1,'ACH CALC'!F$2,'TALLY KG DUMP'!89:89)/1000))</f>
        <v>0</v>
      </c>
      <c r="G90" s="21">
        <f ca="1">IF($D90="","",SUMIF('TALLY BOX DUMP'!$1:$1,'ACH CALC'!G$2,'TALLY BOX DUMP'!89:89)+Y90)</f>
        <v>0</v>
      </c>
      <c r="H90" s="21">
        <f t="shared" ca="1" si="3"/>
        <v>25</v>
      </c>
      <c r="I90" s="21">
        <f ca="1">IF($D90="","",SUMIF('TALLY BOX DUMP'!$1:$1,'ACH CALC'!I$2,'TALLY BOX DUMP'!89:89)+AA90)</f>
        <v>25</v>
      </c>
      <c r="J90" s="21">
        <f ca="1">IF($D90="","",SUMIF('TALLY BOX DUMP'!$1:$1,'ACH CALC'!J$2,'TALLY BOX DUMP'!89:89)+AB90)</f>
        <v>0</v>
      </c>
      <c r="K90" s="21">
        <f ca="1">IF($D90="","",SUMIF('TALLY BOX DUMP'!$1:$1,'ACH CALC'!K$2,'TALLY BOX DUMP'!89:89)+AC90)</f>
        <v>0</v>
      </c>
      <c r="L90" s="21">
        <f ca="1">IF($D90="","",SUMIF('TALLY BOX DUMP'!$1:$1,'ACH CALC'!L$2,'TALLY BOX DUMP'!89:89))</f>
        <v>0</v>
      </c>
      <c r="M90" s="21">
        <f ca="1">IF($D90="","",SUMIF('TALLY BOX DUMP'!$1:$1,'ACH CALC'!M$2,'TALLY BOX DUMP'!89:89)+AD90)</f>
        <v>0</v>
      </c>
      <c r="N90" s="21">
        <f ca="1">IF($D90="","",SUMIF('TALLY BOX DUMP'!$1:$1,'ACH CALC'!N$2,'TALLY BOX DUMP'!89:89))</f>
        <v>0</v>
      </c>
      <c r="O90" s="21">
        <f ca="1">IF($D90="","",SUMIF('TALLY BOX DUMP'!$1:$1,'ACH CALC'!O$2,'TALLY BOX DUMP'!89:89))</f>
        <v>0</v>
      </c>
      <c r="P90" s="21">
        <f ca="1">IF($D90="","",SUMIF('TALLY BOX DUMP'!$1:$1,'ACH CALC'!P$2,'TALLY BOX DUMP'!89:89))</f>
        <v>0</v>
      </c>
      <c r="Q90" s="21">
        <f t="shared" ca="1" si="4"/>
        <v>0</v>
      </c>
      <c r="R90" s="21">
        <f ca="1">IF($D90="","",SUMIF('TALLY BOX DUMP'!$1:$1,'ACH CALC'!R$2,'TALLY BOX DUMP'!89:89))</f>
        <v>0</v>
      </c>
      <c r="S90" s="21">
        <f ca="1">IF($D90="","",SUMIF('TALLY BOX DUMP'!$1:$1,'ACH CALC'!S$2,'TALLY BOX DUMP'!89:89))</f>
        <v>0</v>
      </c>
      <c r="T90" s="21">
        <f ca="1">IF($D90="","",SUMIF('TALLY BOX DUMP'!$1:$1,'ACH CALC'!T$2,'TALLY BOX DUMP'!89:89))</f>
        <v>0</v>
      </c>
      <c r="U90" s="21">
        <f ca="1">IF($D90="","",SUMIF('TALLY BOX DUMP'!$1:$1,'ACH CALC'!U$2,'TALLY BOX DUMP'!89:89))</f>
        <v>0</v>
      </c>
      <c r="V90" s="21">
        <f ca="1">IF($D90="","",SUMIF('TALLY BOX DUMP'!$1:$1,'ACH CALC'!V$2,'TALLY BOX DUMP'!89:89))</f>
        <v>0</v>
      </c>
      <c r="W90" s="21">
        <f ca="1">IF($D90="","",SUMIF('TALLY BOX DUMP'!$1:$1,'ACH CALC'!W$2,'TALLY BOX DUMP'!89:89))</f>
        <v>0</v>
      </c>
      <c r="X90" s="21">
        <f ca="1">IF($D90="","",SUMIF('TALLY BOX DUMP'!$1:$1,'ACH CALC'!X$2,'TALLY BOX DUMP'!89:89))</f>
        <v>0</v>
      </c>
      <c r="Y90" s="21">
        <f ca="1">IF($D90="","",SUMIF('TALLY BOX DUMP'!$1:$1,'ACH CALC'!Y$2,'TALLY BOX DUMP'!89:89))</f>
        <v>0</v>
      </c>
      <c r="Z90" s="21">
        <f ca="1">IF($D90="","",SUMIF('TALLY BOX DUMP'!$1:$1,'ACH CALC'!Z$2,'TALLY BOX DUMP'!89:89)+AE90)</f>
        <v>0</v>
      </c>
      <c r="AA90" s="21">
        <f ca="1">IF($D90="","",SUMIF('TALLY BOX DUMP'!$1:$1,'ACH CALC'!AA$2,'TALLY BOX DUMP'!89:89))</f>
        <v>0</v>
      </c>
      <c r="AB90" s="21">
        <f ca="1">IF($D90="","",SUMIF('TALLY BOX DUMP'!$1:$1,'ACH CALC'!AB$2,'TALLY BOX DUMP'!89:89))</f>
        <v>0</v>
      </c>
      <c r="AC90" s="21">
        <f ca="1">IF($D90="","",SUMIF('TALLY BOX DUMP'!$1:$1,'ACH CALC'!AC$2,'TALLY BOX DUMP'!89:89))</f>
        <v>0</v>
      </c>
      <c r="AD90" s="21">
        <f ca="1">IF($D90="","",SUMIF('TALLY BOX DUMP'!$1:$1,'ACH CALC'!AD$2,'TALLY BOX DUMP'!89:89))</f>
        <v>0</v>
      </c>
      <c r="AE90" s="21">
        <f ca="1">IF($D90="","",SUMIF('TALLY BOX DUMP'!$1:$1,'ACH CALC'!AE$2,'TALLY BOX DUMP'!89:89))</f>
        <v>0</v>
      </c>
      <c r="AF90" s="21">
        <f ca="1">IF($D90="","",SUMIF('TALLY BOX DUMP'!$1:$1,'ACH CALC'!AF$2,'TALLY BOX DUMP'!89:89))</f>
        <v>0</v>
      </c>
      <c r="AG90" s="21">
        <f ca="1">IF($D90="","",SUMIF('TALLY BOX DUMP'!$1:$1,'ACH CALC'!AG$2,'TALLY BOX DUMP'!89:89))</f>
        <v>0</v>
      </c>
      <c r="AH90" s="21">
        <f ca="1">IF($D90="","",SUMIF('TALLY BOX DUMP'!$1:$1,'ACH CALC'!AH$2,'TALLY BOX DUMP'!89:89))</f>
        <v>0</v>
      </c>
      <c r="AI90" s="21">
        <f ca="1">IF($D90="","",SUMIF('TALLY BOX DUMP'!$1:$1,'ACH CALC'!AI$2,'TALLY BOX DUMP'!89:89))</f>
        <v>0</v>
      </c>
      <c r="AJ90" s="21">
        <f ca="1">IF($D90="","",SUMIF('TALLY BOX DUMP'!$1:$1,'ACH CALC'!AJ$2,'TALLY BOX DUMP'!89:89))</f>
        <v>0</v>
      </c>
      <c r="AK90" s="21">
        <f ca="1">IF($D90="","",SUMIF('TALLY BOX DUMP'!$1:$1,'ACH CALC'!AK$2,'TALLY BOX DUMP'!89:89))</f>
        <v>0</v>
      </c>
      <c r="AL90" s="21">
        <f ca="1">IF($D90="","",ROUND(SUMIF('TALLY KG DUMP'!$1:$1,'ACH CALC'!AL$2,'TALLY KG DUMP'!89:89)/30,1))</f>
        <v>0</v>
      </c>
      <c r="AM90" s="21">
        <f ca="1">IF($D90="","",SUMIF('TALLY BOX DUMP'!$1:$1,'ACH CALC'!AM$2,'TALLY BOX DUMP'!89:89))</f>
        <v>0</v>
      </c>
      <c r="AN90" s="21">
        <f ca="1">IF($D90="","",SUMIF('TALLY BOX DUMP'!$1:$1,'ACH CALC'!AN$2,'TALLY BOX DUMP'!89:89))</f>
        <v>0</v>
      </c>
      <c r="AO90" s="21">
        <f ca="1">IF($D90="","",SUMIF('TALLY BOX DUMP'!$1:$1,'ACH CALC'!AO$2,'TALLY BOX DUMP'!89:89))</f>
        <v>0</v>
      </c>
      <c r="AP90" s="21">
        <f ca="1">IF($D90="","",SUMIF('TALLY BOX DUMP'!$1:$1,'ACH CALC'!AP$2,'TALLY BOX DUMP'!89:89))</f>
        <v>0</v>
      </c>
      <c r="AQ90" s="21">
        <f ca="1">IF($D90="","",ROUND(SUMIF('TALLY KG DUMP'!$1:$1,'ACH CALC'!AQ$2,'TALLY KG DUMP'!89:89)/30,1))</f>
        <v>0</v>
      </c>
      <c r="AR90" s="21">
        <f ca="1">IF($D90="","",SUMIF('TALLY BOX DUMP'!$1:$1,'ACH CALC'!AR$2,'TALLY BOX DUMP'!89:89))</f>
        <v>0</v>
      </c>
      <c r="AS90" s="21">
        <f ca="1">IF($D90="","",SUMIF('TALLY BOX DUMP'!$1:$1,'ACH CALC'!AS$2,'TALLY BOX DUMP'!89:89))</f>
        <v>0</v>
      </c>
      <c r="AT90" s="21">
        <f ca="1">IF($D90="","",SUMIF('TALLY BOX DUMP'!$1:$1,'ACH CALC'!AT$2,'TALLY BOX DUMP'!89:89))</f>
        <v>0</v>
      </c>
      <c r="AU90" s="21">
        <f ca="1">IF($D90="","",SUMIF('TALLY BOX DUMP'!$1:$1,'ACH CALC'!AU$2,'TALLY BOX DUMP'!89:89))</f>
        <v>0</v>
      </c>
      <c r="AV90" s="21">
        <f ca="1">IF($D90="","",SUMIF('TALLY BOX DUMP'!$1:$1,'ACH CALC'!AV$2,'TALLY BOX DUMP'!89:89))</f>
        <v>0</v>
      </c>
      <c r="AW90" s="21">
        <f ca="1">IF($D90="","",SUMIF('TALLY BOX DUMP'!$1:$1,'ACH CALC'!AW$2,'TALLY BOX DUMP'!89:89))</f>
        <v>0</v>
      </c>
      <c r="AX90" s="21">
        <f ca="1">IF($D90="","",SUMIF('TALLY BOX DUMP'!$1:$1,'ACH CALC'!AX$2,'TALLY BOX DUMP'!89:89))</f>
        <v>0</v>
      </c>
      <c r="AY90" s="21">
        <f ca="1">IF($D90="","",SUMIF('TALLY BOX DUMP'!$1:$1,'ACH CALC'!AY$2,'TALLY BOX DUMP'!89:89))</f>
        <v>0</v>
      </c>
      <c r="AZ90" s="21">
        <f ca="1">IF($D90="","",SUMIF('TALLY BOX DUMP'!$1:$1,'ACH CALC'!AZ$2,'TALLY BOX DUMP'!89:89))</f>
        <v>0</v>
      </c>
      <c r="BA90" s="69">
        <f>(SUMIF('TALLY KG DUMP'!$2:$2,"Qty",'TALLY KG DUMP'!89:89)/1000)-(SUMIF('TALLY KG DUMP'!$1:$1,"GL",'TALLY KG DUMP'!89:89)/1000)</f>
        <v>0.48599999999999999</v>
      </c>
      <c r="BB90" s="21" t="b">
        <f t="shared" ca="1" si="5"/>
        <v>1</v>
      </c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</row>
    <row r="91" spans="2:75" x14ac:dyDescent="0.25">
      <c r="B91" s="21" t="str">
        <f ca="1"/>
        <v>88</v>
      </c>
      <c r="C91" s="21" t="str">
        <f ca="1"/>
        <v>SUN06946</v>
      </c>
      <c r="D91" s="21" t="str">
        <f ca="1"/>
        <v>MANAPPARAI-JAYARANI AGENCIES</v>
      </c>
      <c r="E91" s="21">
        <f ca="1">IF($D91="","",(SUMIF('TALLY KG DUMP'!$2:$2,"Qty",'TALLY KG DUMP'!90:90)/1000)-(SUMIF('TALLY KG DUMP'!$1:$1,"GL",'TALLY KG DUMP'!90:90)/1000))</f>
        <v>2.758</v>
      </c>
      <c r="F91" s="21">
        <f ca="1">IF($D91="","",(SUMIF('TALLY KG DUMP'!$1:$1,'ACH CALC'!F$2,'TALLY KG DUMP'!90:90)/1000))</f>
        <v>0</v>
      </c>
      <c r="G91" s="21">
        <f ca="1">IF($D91="","",SUMIF('TALLY BOX DUMP'!$1:$1,'ACH CALC'!G$2,'TALLY BOX DUMP'!90:90)+Y91)</f>
        <v>0</v>
      </c>
      <c r="H91" s="21">
        <f t="shared" ca="1" si="3"/>
        <v>0</v>
      </c>
      <c r="I91" s="21">
        <f ca="1">IF($D91="","",SUMIF('TALLY BOX DUMP'!$1:$1,'ACH CALC'!I$2,'TALLY BOX DUMP'!90:90)+AA91)</f>
        <v>0</v>
      </c>
      <c r="J91" s="21">
        <f ca="1">IF($D91="","",SUMIF('TALLY BOX DUMP'!$1:$1,'ACH CALC'!J$2,'TALLY BOX DUMP'!90:90)+AB91)</f>
        <v>0</v>
      </c>
      <c r="K91" s="21">
        <f ca="1">IF($D91="","",SUMIF('TALLY BOX DUMP'!$1:$1,'ACH CALC'!K$2,'TALLY BOX DUMP'!90:90)+AC91)</f>
        <v>0</v>
      </c>
      <c r="L91" s="21">
        <f ca="1">IF($D91="","",SUMIF('TALLY BOX DUMP'!$1:$1,'ACH CALC'!L$2,'TALLY BOX DUMP'!90:90))</f>
        <v>0</v>
      </c>
      <c r="M91" s="21">
        <f ca="1">IF($D91="","",SUMIF('TALLY BOX DUMP'!$1:$1,'ACH CALC'!M$2,'TALLY BOX DUMP'!90:90)+AD91)</f>
        <v>0</v>
      </c>
      <c r="N91" s="21">
        <f ca="1">IF($D91="","",SUMIF('TALLY BOX DUMP'!$1:$1,'ACH CALC'!N$2,'TALLY BOX DUMP'!90:90))</f>
        <v>0</v>
      </c>
      <c r="O91" s="21">
        <f ca="1">IF($D91="","",SUMIF('TALLY BOX DUMP'!$1:$1,'ACH CALC'!O$2,'TALLY BOX DUMP'!90:90))</f>
        <v>0</v>
      </c>
      <c r="P91" s="21">
        <f ca="1">IF($D91="","",SUMIF('TALLY BOX DUMP'!$1:$1,'ACH CALC'!P$2,'TALLY BOX DUMP'!90:90))</f>
        <v>0</v>
      </c>
      <c r="Q91" s="21">
        <f t="shared" ca="1" si="4"/>
        <v>0</v>
      </c>
      <c r="R91" s="21">
        <f ca="1">IF($D91="","",SUMIF('TALLY BOX DUMP'!$1:$1,'ACH CALC'!R$2,'TALLY BOX DUMP'!90:90))</f>
        <v>0</v>
      </c>
      <c r="S91" s="21">
        <f ca="1">IF($D91="","",SUMIF('TALLY BOX DUMP'!$1:$1,'ACH CALC'!S$2,'TALLY BOX DUMP'!90:90))</f>
        <v>0</v>
      </c>
      <c r="T91" s="21">
        <f ca="1">IF($D91="","",SUMIF('TALLY BOX DUMP'!$1:$1,'ACH CALC'!T$2,'TALLY BOX DUMP'!90:90))</f>
        <v>0</v>
      </c>
      <c r="U91" s="21">
        <f ca="1">IF($D91="","",SUMIF('TALLY BOX DUMP'!$1:$1,'ACH CALC'!U$2,'TALLY BOX DUMP'!90:90))</f>
        <v>0</v>
      </c>
      <c r="V91" s="21">
        <f ca="1">IF($D91="","",SUMIF('TALLY BOX DUMP'!$1:$1,'ACH CALC'!V$2,'TALLY BOX DUMP'!90:90))</f>
        <v>0</v>
      </c>
      <c r="W91" s="21">
        <f ca="1">IF($D91="","",SUMIF('TALLY BOX DUMP'!$1:$1,'ACH CALC'!W$2,'TALLY BOX DUMP'!90:90))</f>
        <v>0</v>
      </c>
      <c r="X91" s="21">
        <f ca="1">IF($D91="","",SUMIF('TALLY BOX DUMP'!$1:$1,'ACH CALC'!X$2,'TALLY BOX DUMP'!90:90))</f>
        <v>0</v>
      </c>
      <c r="Y91" s="21">
        <f ca="1">IF($D91="","",SUMIF('TALLY BOX DUMP'!$1:$1,'ACH CALC'!Y$2,'TALLY BOX DUMP'!90:90))</f>
        <v>0</v>
      </c>
      <c r="Z91" s="21">
        <f ca="1">IF($D91="","",SUMIF('TALLY BOX DUMP'!$1:$1,'ACH CALC'!Z$2,'TALLY BOX DUMP'!90:90)+AE91)</f>
        <v>0</v>
      </c>
      <c r="AA91" s="21">
        <f ca="1">IF($D91="","",SUMIF('TALLY BOX DUMP'!$1:$1,'ACH CALC'!AA$2,'TALLY BOX DUMP'!90:90))</f>
        <v>0</v>
      </c>
      <c r="AB91" s="21">
        <f ca="1">IF($D91="","",SUMIF('TALLY BOX DUMP'!$1:$1,'ACH CALC'!AB$2,'TALLY BOX DUMP'!90:90))</f>
        <v>0</v>
      </c>
      <c r="AC91" s="21">
        <f ca="1">IF($D91="","",SUMIF('TALLY BOX DUMP'!$1:$1,'ACH CALC'!AC$2,'TALLY BOX DUMP'!90:90))</f>
        <v>0</v>
      </c>
      <c r="AD91" s="21">
        <f ca="1">IF($D91="","",SUMIF('TALLY BOX DUMP'!$1:$1,'ACH CALC'!AD$2,'TALLY BOX DUMP'!90:90))</f>
        <v>0</v>
      </c>
      <c r="AE91" s="21">
        <f ca="1">IF($D91="","",SUMIF('TALLY BOX DUMP'!$1:$1,'ACH CALC'!AE$2,'TALLY BOX DUMP'!90:90))</f>
        <v>0</v>
      </c>
      <c r="AF91" s="21">
        <f ca="1">IF($D91="","",SUMIF('TALLY BOX DUMP'!$1:$1,'ACH CALC'!AF$2,'TALLY BOX DUMP'!90:90))</f>
        <v>0</v>
      </c>
      <c r="AG91" s="21">
        <f ca="1">IF($D91="","",SUMIF('TALLY BOX DUMP'!$1:$1,'ACH CALC'!AG$2,'TALLY BOX DUMP'!90:90))</f>
        <v>0</v>
      </c>
      <c r="AH91" s="21">
        <f ca="1">IF($D91="","",SUMIF('TALLY BOX DUMP'!$1:$1,'ACH CALC'!AH$2,'TALLY BOX DUMP'!90:90))</f>
        <v>0</v>
      </c>
      <c r="AI91" s="21">
        <f ca="1">IF($D91="","",SUMIF('TALLY BOX DUMP'!$1:$1,'ACH CALC'!AI$2,'TALLY BOX DUMP'!90:90))</f>
        <v>0</v>
      </c>
      <c r="AJ91" s="21">
        <f ca="1">IF($D91="","",SUMIF('TALLY BOX DUMP'!$1:$1,'ACH CALC'!AJ$2,'TALLY BOX DUMP'!90:90))</f>
        <v>0</v>
      </c>
      <c r="AK91" s="21">
        <f ca="1">IF($D91="","",SUMIF('TALLY BOX DUMP'!$1:$1,'ACH CALC'!AK$2,'TALLY BOX DUMP'!90:90))</f>
        <v>0</v>
      </c>
      <c r="AL91" s="21">
        <f ca="1">IF($D91="","",ROUND(SUMIF('TALLY KG DUMP'!$1:$1,'ACH CALC'!AL$2,'TALLY KG DUMP'!90:90)/30,1))</f>
        <v>0</v>
      </c>
      <c r="AM91" s="21">
        <f ca="1">IF($D91="","",SUMIF('TALLY BOX DUMP'!$1:$1,'ACH CALC'!AM$2,'TALLY BOX DUMP'!90:90))</f>
        <v>0</v>
      </c>
      <c r="AN91" s="21">
        <f ca="1">IF($D91="","",SUMIF('TALLY BOX DUMP'!$1:$1,'ACH CALC'!AN$2,'TALLY BOX DUMP'!90:90))</f>
        <v>0</v>
      </c>
      <c r="AO91" s="21">
        <f ca="1">IF($D91="","",SUMIF('TALLY BOX DUMP'!$1:$1,'ACH CALC'!AO$2,'TALLY BOX DUMP'!90:90))</f>
        <v>0</v>
      </c>
      <c r="AP91" s="21">
        <f ca="1">IF($D91="","",SUMIF('TALLY BOX DUMP'!$1:$1,'ACH CALC'!AP$2,'TALLY BOX DUMP'!90:90))</f>
        <v>0</v>
      </c>
      <c r="AQ91" s="21">
        <f ca="1">IF($D91="","",ROUND(SUMIF('TALLY KG DUMP'!$1:$1,'ACH CALC'!AQ$2,'TALLY KG DUMP'!90:90)/30,1))</f>
        <v>0</v>
      </c>
      <c r="AR91" s="21">
        <f ca="1">IF($D91="","",SUMIF('TALLY BOX DUMP'!$1:$1,'ACH CALC'!AR$2,'TALLY BOX DUMP'!90:90))</f>
        <v>0</v>
      </c>
      <c r="AS91" s="21">
        <f ca="1">IF($D91="","",SUMIF('TALLY BOX DUMP'!$1:$1,'ACH CALC'!AS$2,'TALLY BOX DUMP'!90:90))</f>
        <v>0</v>
      </c>
      <c r="AT91" s="21">
        <f ca="1">IF($D91="","",SUMIF('TALLY BOX DUMP'!$1:$1,'ACH CALC'!AT$2,'TALLY BOX DUMP'!90:90))</f>
        <v>0</v>
      </c>
      <c r="AU91" s="21">
        <f ca="1">IF($D91="","",SUMIF('TALLY BOX DUMP'!$1:$1,'ACH CALC'!AU$2,'TALLY BOX DUMP'!90:90))</f>
        <v>0</v>
      </c>
      <c r="AV91" s="21">
        <f ca="1">IF($D91="","",SUMIF('TALLY BOX DUMP'!$1:$1,'ACH CALC'!AV$2,'TALLY BOX DUMP'!90:90))</f>
        <v>0</v>
      </c>
      <c r="AW91" s="21">
        <f ca="1">IF($D91="","",SUMIF('TALLY BOX DUMP'!$1:$1,'ACH CALC'!AW$2,'TALLY BOX DUMP'!90:90))</f>
        <v>0</v>
      </c>
      <c r="AX91" s="21">
        <f ca="1">IF($D91="","",SUMIF('TALLY BOX DUMP'!$1:$1,'ACH CALC'!AX$2,'TALLY BOX DUMP'!90:90))</f>
        <v>0</v>
      </c>
      <c r="AY91" s="21">
        <f ca="1">IF($D91="","",SUMIF('TALLY BOX DUMP'!$1:$1,'ACH CALC'!AY$2,'TALLY BOX DUMP'!90:90))</f>
        <v>0</v>
      </c>
      <c r="AZ91" s="21">
        <f ca="1">IF($D91="","",SUMIF('TALLY BOX DUMP'!$1:$1,'ACH CALC'!AZ$2,'TALLY BOX DUMP'!90:90))</f>
        <v>0</v>
      </c>
      <c r="BA91" s="69">
        <f>(SUMIF('TALLY KG DUMP'!$2:$2,"Qty",'TALLY KG DUMP'!90:90)/1000)-(SUMIF('TALLY KG DUMP'!$1:$1,"GL",'TALLY KG DUMP'!90:90)/1000)</f>
        <v>2.758</v>
      </c>
      <c r="BB91" s="21" t="b">
        <f t="shared" ca="1" si="5"/>
        <v>1</v>
      </c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</row>
    <row r="92" spans="2:75" x14ac:dyDescent="0.25">
      <c r="B92" s="21" t="str">
        <f ca="1"/>
        <v>89</v>
      </c>
      <c r="C92" s="21" t="str">
        <f ca="1"/>
        <v>SUN03003</v>
      </c>
      <c r="D92" s="21" t="str">
        <f ca="1"/>
        <v>THANJAVUR PRIME OIL TRADERS</v>
      </c>
      <c r="E92" s="21">
        <f ca="1">IF($D92="","",(SUMIF('TALLY KG DUMP'!$2:$2,"Qty",'TALLY KG DUMP'!91:91)/1000)-(SUMIF('TALLY KG DUMP'!$1:$1,"GL",'TALLY KG DUMP'!91:91)/1000))</f>
        <v>2.3159999999999998</v>
      </c>
      <c r="F92" s="21">
        <f ca="1">IF($D92="","",(SUMIF('TALLY KG DUMP'!$1:$1,'ACH CALC'!F$2,'TALLY KG DUMP'!91:91)/1000))</f>
        <v>0</v>
      </c>
      <c r="G92" s="21">
        <f ca="1">IF($D92="","",SUMIF('TALLY BOX DUMP'!$1:$1,'ACH CALC'!G$2,'TALLY BOX DUMP'!91:91)+Y92)</f>
        <v>0</v>
      </c>
      <c r="H92" s="21">
        <f t="shared" ca="1" si="3"/>
        <v>0</v>
      </c>
      <c r="I92" s="21">
        <f ca="1">IF($D92="","",SUMIF('TALLY BOX DUMP'!$1:$1,'ACH CALC'!I$2,'TALLY BOX DUMP'!91:91)+AA92)</f>
        <v>0</v>
      </c>
      <c r="J92" s="21">
        <f ca="1">IF($D92="","",SUMIF('TALLY BOX DUMP'!$1:$1,'ACH CALC'!J$2,'TALLY BOX DUMP'!91:91)+AB92)</f>
        <v>0</v>
      </c>
      <c r="K92" s="21">
        <f ca="1">IF($D92="","",SUMIF('TALLY BOX DUMP'!$1:$1,'ACH CALC'!K$2,'TALLY BOX DUMP'!91:91)+AC92)</f>
        <v>0</v>
      </c>
      <c r="L92" s="21">
        <f ca="1">IF($D92="","",SUMIF('TALLY BOX DUMP'!$1:$1,'ACH CALC'!L$2,'TALLY BOX DUMP'!91:91))</f>
        <v>0</v>
      </c>
      <c r="M92" s="21">
        <f ca="1">IF($D92="","",SUMIF('TALLY BOX DUMP'!$1:$1,'ACH CALC'!M$2,'TALLY BOX DUMP'!91:91)+AD92)</f>
        <v>0</v>
      </c>
      <c r="N92" s="21">
        <f ca="1">IF($D92="","",SUMIF('TALLY BOX DUMP'!$1:$1,'ACH CALC'!N$2,'TALLY BOX DUMP'!91:91))</f>
        <v>0</v>
      </c>
      <c r="O92" s="21">
        <f ca="1">IF($D92="","",SUMIF('TALLY BOX DUMP'!$1:$1,'ACH CALC'!O$2,'TALLY BOX DUMP'!91:91))</f>
        <v>0</v>
      </c>
      <c r="P92" s="21">
        <f ca="1">IF($D92="","",SUMIF('TALLY BOX DUMP'!$1:$1,'ACH CALC'!P$2,'TALLY BOX DUMP'!91:91))</f>
        <v>0</v>
      </c>
      <c r="Q92" s="21">
        <f t="shared" ca="1" si="4"/>
        <v>0</v>
      </c>
      <c r="R92" s="21">
        <f ca="1">IF($D92="","",SUMIF('TALLY BOX DUMP'!$1:$1,'ACH CALC'!R$2,'TALLY BOX DUMP'!91:91))</f>
        <v>0</v>
      </c>
      <c r="S92" s="21">
        <f ca="1">IF($D92="","",SUMIF('TALLY BOX DUMP'!$1:$1,'ACH CALC'!S$2,'TALLY BOX DUMP'!91:91))</f>
        <v>0</v>
      </c>
      <c r="T92" s="21">
        <f ca="1">IF($D92="","",SUMIF('TALLY BOX DUMP'!$1:$1,'ACH CALC'!T$2,'TALLY BOX DUMP'!91:91))</f>
        <v>0</v>
      </c>
      <c r="U92" s="21">
        <f ca="1">IF($D92="","",SUMIF('TALLY BOX DUMP'!$1:$1,'ACH CALC'!U$2,'TALLY BOX DUMP'!91:91))</f>
        <v>0</v>
      </c>
      <c r="V92" s="21">
        <f ca="1">IF($D92="","",SUMIF('TALLY BOX DUMP'!$1:$1,'ACH CALC'!V$2,'TALLY BOX DUMP'!91:91))</f>
        <v>0</v>
      </c>
      <c r="W92" s="21">
        <f ca="1">IF($D92="","",SUMIF('TALLY BOX DUMP'!$1:$1,'ACH CALC'!W$2,'TALLY BOX DUMP'!91:91))</f>
        <v>0</v>
      </c>
      <c r="X92" s="21">
        <f ca="1">IF($D92="","",SUMIF('TALLY BOX DUMP'!$1:$1,'ACH CALC'!X$2,'TALLY BOX DUMP'!91:91))</f>
        <v>0</v>
      </c>
      <c r="Y92" s="21">
        <f ca="1">IF($D92="","",SUMIF('TALLY BOX DUMP'!$1:$1,'ACH CALC'!Y$2,'TALLY BOX DUMP'!91:91))</f>
        <v>0</v>
      </c>
      <c r="Z92" s="21">
        <f ca="1">IF($D92="","",SUMIF('TALLY BOX DUMP'!$1:$1,'ACH CALC'!Z$2,'TALLY BOX DUMP'!91:91)+AE92)</f>
        <v>0</v>
      </c>
      <c r="AA92" s="21">
        <f ca="1">IF($D92="","",SUMIF('TALLY BOX DUMP'!$1:$1,'ACH CALC'!AA$2,'TALLY BOX DUMP'!91:91))</f>
        <v>0</v>
      </c>
      <c r="AB92" s="21">
        <f ca="1">IF($D92="","",SUMIF('TALLY BOX DUMP'!$1:$1,'ACH CALC'!AB$2,'TALLY BOX DUMP'!91:91))</f>
        <v>0</v>
      </c>
      <c r="AC92" s="21">
        <f ca="1">IF($D92="","",SUMIF('TALLY BOX DUMP'!$1:$1,'ACH CALC'!AC$2,'TALLY BOX DUMP'!91:91))</f>
        <v>0</v>
      </c>
      <c r="AD92" s="21">
        <f ca="1">IF($D92="","",SUMIF('TALLY BOX DUMP'!$1:$1,'ACH CALC'!AD$2,'TALLY BOX DUMP'!91:91))</f>
        <v>0</v>
      </c>
      <c r="AE92" s="21">
        <f ca="1">IF($D92="","",SUMIF('TALLY BOX DUMP'!$1:$1,'ACH CALC'!AE$2,'TALLY BOX DUMP'!91:91))</f>
        <v>0</v>
      </c>
      <c r="AF92" s="21">
        <f ca="1">IF($D92="","",SUMIF('TALLY BOX DUMP'!$1:$1,'ACH CALC'!AF$2,'TALLY BOX DUMP'!91:91))</f>
        <v>0</v>
      </c>
      <c r="AG92" s="21">
        <f ca="1">IF($D92="","",SUMIF('TALLY BOX DUMP'!$1:$1,'ACH CALC'!AG$2,'TALLY BOX DUMP'!91:91))</f>
        <v>0</v>
      </c>
      <c r="AH92" s="21">
        <f ca="1">IF($D92="","",SUMIF('TALLY BOX DUMP'!$1:$1,'ACH CALC'!AH$2,'TALLY BOX DUMP'!91:91))</f>
        <v>0</v>
      </c>
      <c r="AI92" s="21">
        <f ca="1">IF($D92="","",SUMIF('TALLY BOX DUMP'!$1:$1,'ACH CALC'!AI$2,'TALLY BOX DUMP'!91:91))</f>
        <v>0</v>
      </c>
      <c r="AJ92" s="21">
        <f ca="1">IF($D92="","",SUMIF('TALLY BOX DUMP'!$1:$1,'ACH CALC'!AJ$2,'TALLY BOX DUMP'!91:91))</f>
        <v>0</v>
      </c>
      <c r="AK92" s="21">
        <f ca="1">IF($D92="","",SUMIF('TALLY BOX DUMP'!$1:$1,'ACH CALC'!AK$2,'TALLY BOX DUMP'!91:91))</f>
        <v>0</v>
      </c>
      <c r="AL92" s="21">
        <f ca="1">IF($D92="","",ROUND(SUMIF('TALLY KG DUMP'!$1:$1,'ACH CALC'!AL$2,'TALLY KG DUMP'!91:91)/30,1))</f>
        <v>0</v>
      </c>
      <c r="AM92" s="21">
        <f ca="1">IF($D92="","",SUMIF('TALLY BOX DUMP'!$1:$1,'ACH CALC'!AM$2,'TALLY BOX DUMP'!91:91))</f>
        <v>0</v>
      </c>
      <c r="AN92" s="21">
        <f ca="1">IF($D92="","",SUMIF('TALLY BOX DUMP'!$1:$1,'ACH CALC'!AN$2,'TALLY BOX DUMP'!91:91))</f>
        <v>0</v>
      </c>
      <c r="AO92" s="21">
        <f ca="1">IF($D92="","",SUMIF('TALLY BOX DUMP'!$1:$1,'ACH CALC'!AO$2,'TALLY BOX DUMP'!91:91))</f>
        <v>0</v>
      </c>
      <c r="AP92" s="21">
        <f ca="1">IF($D92="","",SUMIF('TALLY BOX DUMP'!$1:$1,'ACH CALC'!AP$2,'TALLY BOX DUMP'!91:91))</f>
        <v>0</v>
      </c>
      <c r="AQ92" s="21">
        <f ca="1">IF($D92="","",ROUND(SUMIF('TALLY KG DUMP'!$1:$1,'ACH CALC'!AQ$2,'TALLY KG DUMP'!91:91)/30,1))</f>
        <v>0</v>
      </c>
      <c r="AR92" s="21">
        <f ca="1">IF($D92="","",SUMIF('TALLY BOX DUMP'!$1:$1,'ACH CALC'!AR$2,'TALLY BOX DUMP'!91:91))</f>
        <v>0</v>
      </c>
      <c r="AS92" s="21">
        <f ca="1">IF($D92="","",SUMIF('TALLY BOX DUMP'!$1:$1,'ACH CALC'!AS$2,'TALLY BOX DUMP'!91:91))</f>
        <v>0</v>
      </c>
      <c r="AT92" s="21">
        <f ca="1">IF($D92="","",SUMIF('TALLY BOX DUMP'!$1:$1,'ACH CALC'!AT$2,'TALLY BOX DUMP'!91:91))</f>
        <v>0</v>
      </c>
      <c r="AU92" s="21">
        <f ca="1">IF($D92="","",SUMIF('TALLY BOX DUMP'!$1:$1,'ACH CALC'!AU$2,'TALLY BOX DUMP'!91:91))</f>
        <v>0</v>
      </c>
      <c r="AV92" s="21">
        <f ca="1">IF($D92="","",SUMIF('TALLY BOX DUMP'!$1:$1,'ACH CALC'!AV$2,'TALLY BOX DUMP'!91:91))</f>
        <v>0</v>
      </c>
      <c r="AW92" s="21">
        <f ca="1">IF($D92="","",SUMIF('TALLY BOX DUMP'!$1:$1,'ACH CALC'!AW$2,'TALLY BOX DUMP'!91:91))</f>
        <v>0</v>
      </c>
      <c r="AX92" s="21">
        <f ca="1">IF($D92="","",SUMIF('TALLY BOX DUMP'!$1:$1,'ACH CALC'!AX$2,'TALLY BOX DUMP'!91:91))</f>
        <v>0</v>
      </c>
      <c r="AY92" s="21">
        <f ca="1">IF($D92="","",SUMIF('TALLY BOX DUMP'!$1:$1,'ACH CALC'!AY$2,'TALLY BOX DUMP'!91:91))</f>
        <v>0</v>
      </c>
      <c r="AZ92" s="21">
        <f ca="1">IF($D92="","",SUMIF('TALLY BOX DUMP'!$1:$1,'ACH CALC'!AZ$2,'TALLY BOX DUMP'!91:91))</f>
        <v>0</v>
      </c>
      <c r="BA92" s="69">
        <f>(SUMIF('TALLY KG DUMP'!$2:$2,"Qty",'TALLY KG DUMP'!91:91)/1000)-(SUMIF('TALLY KG DUMP'!$1:$1,"GL",'TALLY KG DUMP'!91:91)/1000)</f>
        <v>2.3159999999999998</v>
      </c>
      <c r="BB92" s="21" t="b">
        <f t="shared" ca="1" si="5"/>
        <v>1</v>
      </c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</row>
    <row r="93" spans="2:75" x14ac:dyDescent="0.25">
      <c r="B93" s="21" t="str">
        <f ca="1"/>
        <v>90</v>
      </c>
      <c r="C93" s="21" t="str">
        <f ca="1"/>
        <v>SUN01091</v>
      </c>
      <c r="D93" s="21" t="str">
        <f ca="1"/>
        <v>TANJORE A.KANDASAMY NADAR MALIGAI</v>
      </c>
      <c r="E93" s="21">
        <f ca="1">IF($D93="","",(SUMIF('TALLY KG DUMP'!$2:$2,"Qty",'TALLY KG DUMP'!92:92)/1000)-(SUMIF('TALLY KG DUMP'!$1:$1,"GL",'TALLY KG DUMP'!92:92)/1000))</f>
        <v>5.2080000000000002</v>
      </c>
      <c r="F93" s="21">
        <f ca="1">IF($D93="","",(SUMIF('TALLY KG DUMP'!$1:$1,'ACH CALC'!F$2,'TALLY KG DUMP'!92:92)/1000))</f>
        <v>0</v>
      </c>
      <c r="G93" s="21">
        <f ca="1">IF($D93="","",SUMIF('TALLY BOX DUMP'!$1:$1,'ACH CALC'!G$2,'TALLY BOX DUMP'!92:92)+Y93)</f>
        <v>0</v>
      </c>
      <c r="H93" s="21">
        <f t="shared" ca="1" si="3"/>
        <v>86</v>
      </c>
      <c r="I93" s="21">
        <f ca="1">IF($D93="","",SUMIF('TALLY BOX DUMP'!$1:$1,'ACH CALC'!I$2,'TALLY BOX DUMP'!92:92)+AA93)</f>
        <v>0</v>
      </c>
      <c r="J93" s="21">
        <f ca="1">IF($D93="","",SUMIF('TALLY BOX DUMP'!$1:$1,'ACH CALC'!J$2,'TALLY BOX DUMP'!92:92)+AB93)</f>
        <v>0</v>
      </c>
      <c r="K93" s="21">
        <f ca="1">IF($D93="","",SUMIF('TALLY BOX DUMP'!$1:$1,'ACH CALC'!K$2,'TALLY BOX DUMP'!92:92)+AC93)</f>
        <v>86</v>
      </c>
      <c r="L93" s="21">
        <f ca="1">IF($D93="","",SUMIF('TALLY BOX DUMP'!$1:$1,'ACH CALC'!L$2,'TALLY BOX DUMP'!92:92))</f>
        <v>0</v>
      </c>
      <c r="M93" s="21">
        <f ca="1">IF($D93="","",SUMIF('TALLY BOX DUMP'!$1:$1,'ACH CALC'!M$2,'TALLY BOX DUMP'!92:92)+AD93)</f>
        <v>0</v>
      </c>
      <c r="N93" s="21">
        <f ca="1">IF($D93="","",SUMIF('TALLY BOX DUMP'!$1:$1,'ACH CALC'!N$2,'TALLY BOX DUMP'!92:92))</f>
        <v>0</v>
      </c>
      <c r="O93" s="21">
        <f ca="1">IF($D93="","",SUMIF('TALLY BOX DUMP'!$1:$1,'ACH CALC'!O$2,'TALLY BOX DUMP'!92:92))</f>
        <v>0</v>
      </c>
      <c r="P93" s="21">
        <f ca="1">IF($D93="","",SUMIF('TALLY BOX DUMP'!$1:$1,'ACH CALC'!P$2,'TALLY BOX DUMP'!92:92))</f>
        <v>0</v>
      </c>
      <c r="Q93" s="21">
        <f t="shared" ca="1" si="4"/>
        <v>0</v>
      </c>
      <c r="R93" s="21">
        <f ca="1">IF($D93="","",SUMIF('TALLY BOX DUMP'!$1:$1,'ACH CALC'!R$2,'TALLY BOX DUMP'!92:92))</f>
        <v>0</v>
      </c>
      <c r="S93" s="21">
        <f ca="1">IF($D93="","",SUMIF('TALLY BOX DUMP'!$1:$1,'ACH CALC'!S$2,'TALLY BOX DUMP'!92:92))</f>
        <v>0</v>
      </c>
      <c r="T93" s="21">
        <f ca="1">IF($D93="","",SUMIF('TALLY BOX DUMP'!$1:$1,'ACH CALC'!T$2,'TALLY BOX DUMP'!92:92))</f>
        <v>0</v>
      </c>
      <c r="U93" s="21">
        <f ca="1">IF($D93="","",SUMIF('TALLY BOX DUMP'!$1:$1,'ACH CALC'!U$2,'TALLY BOX DUMP'!92:92))</f>
        <v>0</v>
      </c>
      <c r="V93" s="21">
        <f ca="1">IF($D93="","",SUMIF('TALLY BOX DUMP'!$1:$1,'ACH CALC'!V$2,'TALLY BOX DUMP'!92:92))</f>
        <v>0</v>
      </c>
      <c r="W93" s="21">
        <f ca="1">IF($D93="","",SUMIF('TALLY BOX DUMP'!$1:$1,'ACH CALC'!W$2,'TALLY BOX DUMP'!92:92))</f>
        <v>0</v>
      </c>
      <c r="X93" s="21">
        <f ca="1">IF($D93="","",SUMIF('TALLY BOX DUMP'!$1:$1,'ACH CALC'!X$2,'TALLY BOX DUMP'!92:92))</f>
        <v>0</v>
      </c>
      <c r="Y93" s="21">
        <f ca="1">IF($D93="","",SUMIF('TALLY BOX DUMP'!$1:$1,'ACH CALC'!Y$2,'TALLY BOX DUMP'!92:92))</f>
        <v>0</v>
      </c>
      <c r="Z93" s="21">
        <f ca="1">IF($D93="","",SUMIF('TALLY BOX DUMP'!$1:$1,'ACH CALC'!Z$2,'TALLY BOX DUMP'!92:92)+AE93)</f>
        <v>0</v>
      </c>
      <c r="AA93" s="21">
        <f ca="1">IF($D93="","",SUMIF('TALLY BOX DUMP'!$1:$1,'ACH CALC'!AA$2,'TALLY BOX DUMP'!92:92))</f>
        <v>0</v>
      </c>
      <c r="AB93" s="21">
        <f ca="1">IF($D93="","",SUMIF('TALLY BOX DUMP'!$1:$1,'ACH CALC'!AB$2,'TALLY BOX DUMP'!92:92))</f>
        <v>0</v>
      </c>
      <c r="AC93" s="21">
        <f ca="1">IF($D93="","",SUMIF('TALLY BOX DUMP'!$1:$1,'ACH CALC'!AC$2,'TALLY BOX DUMP'!92:92))</f>
        <v>0</v>
      </c>
      <c r="AD93" s="21">
        <f ca="1">IF($D93="","",SUMIF('TALLY BOX DUMP'!$1:$1,'ACH CALC'!AD$2,'TALLY BOX DUMP'!92:92))</f>
        <v>0</v>
      </c>
      <c r="AE93" s="21">
        <f ca="1">IF($D93="","",SUMIF('TALLY BOX DUMP'!$1:$1,'ACH CALC'!AE$2,'TALLY BOX DUMP'!92:92))</f>
        <v>0</v>
      </c>
      <c r="AF93" s="21">
        <f ca="1">IF($D93="","",SUMIF('TALLY BOX DUMP'!$1:$1,'ACH CALC'!AF$2,'TALLY BOX DUMP'!92:92))</f>
        <v>0</v>
      </c>
      <c r="AG93" s="21">
        <f ca="1">IF($D93="","",SUMIF('TALLY BOX DUMP'!$1:$1,'ACH CALC'!AG$2,'TALLY BOX DUMP'!92:92))</f>
        <v>0</v>
      </c>
      <c r="AH93" s="21">
        <f ca="1">IF($D93="","",SUMIF('TALLY BOX DUMP'!$1:$1,'ACH CALC'!AH$2,'TALLY BOX DUMP'!92:92))</f>
        <v>0</v>
      </c>
      <c r="AI93" s="21">
        <f ca="1">IF($D93="","",SUMIF('TALLY BOX DUMP'!$1:$1,'ACH CALC'!AI$2,'TALLY BOX DUMP'!92:92))</f>
        <v>0</v>
      </c>
      <c r="AJ93" s="21">
        <f ca="1">IF($D93="","",SUMIF('TALLY BOX DUMP'!$1:$1,'ACH CALC'!AJ$2,'TALLY BOX DUMP'!92:92))</f>
        <v>0</v>
      </c>
      <c r="AK93" s="21">
        <f ca="1">IF($D93="","",SUMIF('TALLY BOX DUMP'!$1:$1,'ACH CALC'!AK$2,'TALLY BOX DUMP'!92:92))</f>
        <v>0</v>
      </c>
      <c r="AL93" s="21">
        <f ca="1">IF($D93="","",ROUND(SUMIF('TALLY KG DUMP'!$1:$1,'ACH CALC'!AL$2,'TALLY KG DUMP'!92:92)/30,1))</f>
        <v>0</v>
      </c>
      <c r="AM93" s="21">
        <f ca="1">IF($D93="","",SUMIF('TALLY BOX DUMP'!$1:$1,'ACH CALC'!AM$2,'TALLY BOX DUMP'!92:92))</f>
        <v>0</v>
      </c>
      <c r="AN93" s="21">
        <f ca="1">IF($D93="","",SUMIF('TALLY BOX DUMP'!$1:$1,'ACH CALC'!AN$2,'TALLY BOX DUMP'!92:92))</f>
        <v>0</v>
      </c>
      <c r="AO93" s="21">
        <f ca="1">IF($D93="","",SUMIF('TALLY BOX DUMP'!$1:$1,'ACH CALC'!AO$2,'TALLY BOX DUMP'!92:92))</f>
        <v>0</v>
      </c>
      <c r="AP93" s="21">
        <f ca="1">IF($D93="","",SUMIF('TALLY BOX DUMP'!$1:$1,'ACH CALC'!AP$2,'TALLY BOX DUMP'!92:92))</f>
        <v>0</v>
      </c>
      <c r="AQ93" s="21">
        <f ca="1">IF($D93="","",ROUND(SUMIF('TALLY KG DUMP'!$1:$1,'ACH CALC'!AQ$2,'TALLY KG DUMP'!92:92)/30,1))</f>
        <v>0</v>
      </c>
      <c r="AR93" s="21">
        <f ca="1">IF($D93="","",SUMIF('TALLY BOX DUMP'!$1:$1,'ACH CALC'!AR$2,'TALLY BOX DUMP'!92:92))</f>
        <v>0</v>
      </c>
      <c r="AS93" s="21">
        <f ca="1">IF($D93="","",SUMIF('TALLY BOX DUMP'!$1:$1,'ACH CALC'!AS$2,'TALLY BOX DUMP'!92:92))</f>
        <v>0</v>
      </c>
      <c r="AT93" s="21">
        <f ca="1">IF($D93="","",SUMIF('TALLY BOX DUMP'!$1:$1,'ACH CALC'!AT$2,'TALLY BOX DUMP'!92:92))</f>
        <v>0</v>
      </c>
      <c r="AU93" s="21">
        <f ca="1">IF($D93="","",SUMIF('TALLY BOX DUMP'!$1:$1,'ACH CALC'!AU$2,'TALLY BOX DUMP'!92:92))</f>
        <v>0</v>
      </c>
      <c r="AV93" s="21">
        <f ca="1">IF($D93="","",SUMIF('TALLY BOX DUMP'!$1:$1,'ACH CALC'!AV$2,'TALLY BOX DUMP'!92:92))</f>
        <v>0</v>
      </c>
      <c r="AW93" s="21">
        <f ca="1">IF($D93="","",SUMIF('TALLY BOX DUMP'!$1:$1,'ACH CALC'!AW$2,'TALLY BOX DUMP'!92:92))</f>
        <v>0</v>
      </c>
      <c r="AX93" s="21">
        <f ca="1">IF($D93="","",SUMIF('TALLY BOX DUMP'!$1:$1,'ACH CALC'!AX$2,'TALLY BOX DUMP'!92:92))</f>
        <v>0</v>
      </c>
      <c r="AY93" s="21">
        <f ca="1">IF($D93="","",SUMIF('TALLY BOX DUMP'!$1:$1,'ACH CALC'!AY$2,'TALLY BOX DUMP'!92:92))</f>
        <v>0</v>
      </c>
      <c r="AZ93" s="21">
        <f ca="1">IF($D93="","",SUMIF('TALLY BOX DUMP'!$1:$1,'ACH CALC'!AZ$2,'TALLY BOX DUMP'!92:92))</f>
        <v>0</v>
      </c>
      <c r="BA93" s="69">
        <f>(SUMIF('TALLY KG DUMP'!$2:$2,"Qty",'TALLY KG DUMP'!92:92)/1000)-(SUMIF('TALLY KG DUMP'!$1:$1,"GL",'TALLY KG DUMP'!92:92)/1000)</f>
        <v>5.2080000000000002</v>
      </c>
      <c r="BB93" s="21" t="b">
        <f t="shared" ca="1" si="5"/>
        <v>1</v>
      </c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</row>
    <row r="94" spans="2:75" x14ac:dyDescent="0.25">
      <c r="B94" s="21" t="str">
        <f ca="1"/>
        <v>91</v>
      </c>
      <c r="C94" s="21" t="str">
        <f ca="1"/>
        <v>SUN07325</v>
      </c>
      <c r="D94" s="21" t="str">
        <f ca="1"/>
        <v>KL-PATHANAMTHITTA-AMALA GROUP AGENCIES</v>
      </c>
      <c r="E94" s="21">
        <f ca="1">IF($D94="","",(SUMIF('TALLY KG DUMP'!$2:$2,"Qty",'TALLY KG DUMP'!93:93)/1000)-(SUMIF('TALLY KG DUMP'!$1:$1,"GL",'TALLY KG DUMP'!93:93)/1000))</f>
        <v>7.2679999999999998</v>
      </c>
      <c r="F94" s="21">
        <f ca="1">IF($D94="","",(SUMIF('TALLY KG DUMP'!$1:$1,'ACH CALC'!F$2,'TALLY KG DUMP'!93:93)/1000))</f>
        <v>0</v>
      </c>
      <c r="G94" s="21">
        <f ca="1">IF($D94="","",SUMIF('TALLY BOX DUMP'!$1:$1,'ACH CALC'!G$2,'TALLY BOX DUMP'!93:93)+Y94)</f>
        <v>0</v>
      </c>
      <c r="H94" s="21">
        <f t="shared" ca="1" si="3"/>
        <v>25</v>
      </c>
      <c r="I94" s="21">
        <f ca="1">IF($D94="","",SUMIF('TALLY BOX DUMP'!$1:$1,'ACH CALC'!I$2,'TALLY BOX DUMP'!93:93)+AA94)</f>
        <v>25</v>
      </c>
      <c r="J94" s="21">
        <f ca="1">IF($D94="","",SUMIF('TALLY BOX DUMP'!$1:$1,'ACH CALC'!J$2,'TALLY BOX DUMP'!93:93)+AB94)</f>
        <v>0</v>
      </c>
      <c r="K94" s="21">
        <f ca="1">IF($D94="","",SUMIF('TALLY BOX DUMP'!$1:$1,'ACH CALC'!K$2,'TALLY BOX DUMP'!93:93)+AC94)</f>
        <v>0</v>
      </c>
      <c r="L94" s="21">
        <f ca="1">IF($D94="","",SUMIF('TALLY BOX DUMP'!$1:$1,'ACH CALC'!L$2,'TALLY BOX DUMP'!93:93))</f>
        <v>0</v>
      </c>
      <c r="M94" s="21">
        <f ca="1">IF($D94="","",SUMIF('TALLY BOX DUMP'!$1:$1,'ACH CALC'!M$2,'TALLY BOX DUMP'!93:93)+AD94)</f>
        <v>0</v>
      </c>
      <c r="N94" s="21">
        <f ca="1">IF($D94="","",SUMIF('TALLY BOX DUMP'!$1:$1,'ACH CALC'!N$2,'TALLY BOX DUMP'!93:93))</f>
        <v>0</v>
      </c>
      <c r="O94" s="21">
        <f ca="1">IF($D94="","",SUMIF('TALLY BOX DUMP'!$1:$1,'ACH CALC'!O$2,'TALLY BOX DUMP'!93:93))</f>
        <v>0</v>
      </c>
      <c r="P94" s="21">
        <f ca="1">IF($D94="","",SUMIF('TALLY BOX DUMP'!$1:$1,'ACH CALC'!P$2,'TALLY BOX DUMP'!93:93))</f>
        <v>0</v>
      </c>
      <c r="Q94" s="21">
        <f t="shared" ca="1" si="4"/>
        <v>0</v>
      </c>
      <c r="R94" s="21">
        <f ca="1">IF($D94="","",SUMIF('TALLY BOX DUMP'!$1:$1,'ACH CALC'!R$2,'TALLY BOX DUMP'!93:93))</f>
        <v>0</v>
      </c>
      <c r="S94" s="21">
        <f ca="1">IF($D94="","",SUMIF('TALLY BOX DUMP'!$1:$1,'ACH CALC'!S$2,'TALLY BOX DUMP'!93:93))</f>
        <v>0</v>
      </c>
      <c r="T94" s="21">
        <f ca="1">IF($D94="","",SUMIF('TALLY BOX DUMP'!$1:$1,'ACH CALC'!T$2,'TALLY BOX DUMP'!93:93))</f>
        <v>0</v>
      </c>
      <c r="U94" s="21">
        <f ca="1">IF($D94="","",SUMIF('TALLY BOX DUMP'!$1:$1,'ACH CALC'!U$2,'TALLY BOX DUMP'!93:93))</f>
        <v>0</v>
      </c>
      <c r="V94" s="21">
        <f ca="1">IF($D94="","",SUMIF('TALLY BOX DUMP'!$1:$1,'ACH CALC'!V$2,'TALLY BOX DUMP'!93:93))</f>
        <v>0</v>
      </c>
      <c r="W94" s="21">
        <f ca="1">IF($D94="","",SUMIF('TALLY BOX DUMP'!$1:$1,'ACH CALC'!W$2,'TALLY BOX DUMP'!93:93))</f>
        <v>0</v>
      </c>
      <c r="X94" s="21">
        <f ca="1">IF($D94="","",SUMIF('TALLY BOX DUMP'!$1:$1,'ACH CALC'!X$2,'TALLY BOX DUMP'!93:93))</f>
        <v>0</v>
      </c>
      <c r="Y94" s="21">
        <f ca="1">IF($D94="","",SUMIF('TALLY BOX DUMP'!$1:$1,'ACH CALC'!Y$2,'TALLY BOX DUMP'!93:93))</f>
        <v>0</v>
      </c>
      <c r="Z94" s="21">
        <f ca="1">IF($D94="","",SUMIF('TALLY BOX DUMP'!$1:$1,'ACH CALC'!Z$2,'TALLY BOX DUMP'!93:93)+AE94)</f>
        <v>0</v>
      </c>
      <c r="AA94" s="21">
        <f ca="1">IF($D94="","",SUMIF('TALLY BOX DUMP'!$1:$1,'ACH CALC'!AA$2,'TALLY BOX DUMP'!93:93))</f>
        <v>0</v>
      </c>
      <c r="AB94" s="21">
        <f ca="1">IF($D94="","",SUMIF('TALLY BOX DUMP'!$1:$1,'ACH CALC'!AB$2,'TALLY BOX DUMP'!93:93))</f>
        <v>0</v>
      </c>
      <c r="AC94" s="21">
        <f ca="1">IF($D94="","",SUMIF('TALLY BOX DUMP'!$1:$1,'ACH CALC'!AC$2,'TALLY BOX DUMP'!93:93))</f>
        <v>0</v>
      </c>
      <c r="AD94" s="21">
        <f ca="1">IF($D94="","",SUMIF('TALLY BOX DUMP'!$1:$1,'ACH CALC'!AD$2,'TALLY BOX DUMP'!93:93))</f>
        <v>0</v>
      </c>
      <c r="AE94" s="21">
        <f ca="1">IF($D94="","",SUMIF('TALLY BOX DUMP'!$1:$1,'ACH CALC'!AE$2,'TALLY BOX DUMP'!93:93))</f>
        <v>0</v>
      </c>
      <c r="AF94" s="21">
        <f ca="1">IF($D94="","",SUMIF('TALLY BOX DUMP'!$1:$1,'ACH CALC'!AF$2,'TALLY BOX DUMP'!93:93))</f>
        <v>0</v>
      </c>
      <c r="AG94" s="21">
        <f ca="1">IF($D94="","",SUMIF('TALLY BOX DUMP'!$1:$1,'ACH CALC'!AG$2,'TALLY BOX DUMP'!93:93))</f>
        <v>0</v>
      </c>
      <c r="AH94" s="21">
        <f ca="1">IF($D94="","",SUMIF('TALLY BOX DUMP'!$1:$1,'ACH CALC'!AH$2,'TALLY BOX DUMP'!93:93))</f>
        <v>0</v>
      </c>
      <c r="AI94" s="21">
        <f ca="1">IF($D94="","",SUMIF('TALLY BOX DUMP'!$1:$1,'ACH CALC'!AI$2,'TALLY BOX DUMP'!93:93))</f>
        <v>0</v>
      </c>
      <c r="AJ94" s="21">
        <f ca="1">IF($D94="","",SUMIF('TALLY BOX DUMP'!$1:$1,'ACH CALC'!AJ$2,'TALLY BOX DUMP'!93:93))</f>
        <v>0</v>
      </c>
      <c r="AK94" s="21">
        <f ca="1">IF($D94="","",SUMIF('TALLY BOX DUMP'!$1:$1,'ACH CALC'!AK$2,'TALLY BOX DUMP'!93:93))</f>
        <v>0</v>
      </c>
      <c r="AL94" s="21">
        <f ca="1">IF($D94="","",ROUND(SUMIF('TALLY KG DUMP'!$1:$1,'ACH CALC'!AL$2,'TALLY KG DUMP'!93:93)/30,1))</f>
        <v>0</v>
      </c>
      <c r="AM94" s="21">
        <f ca="1">IF($D94="","",SUMIF('TALLY BOX DUMP'!$1:$1,'ACH CALC'!AM$2,'TALLY BOX DUMP'!93:93))</f>
        <v>0</v>
      </c>
      <c r="AN94" s="21">
        <f ca="1">IF($D94="","",SUMIF('TALLY BOX DUMP'!$1:$1,'ACH CALC'!AN$2,'TALLY BOX DUMP'!93:93))</f>
        <v>0</v>
      </c>
      <c r="AO94" s="21">
        <f ca="1">IF($D94="","",SUMIF('TALLY BOX DUMP'!$1:$1,'ACH CALC'!AO$2,'TALLY BOX DUMP'!93:93))</f>
        <v>0</v>
      </c>
      <c r="AP94" s="21">
        <f ca="1">IF($D94="","",SUMIF('TALLY BOX DUMP'!$1:$1,'ACH CALC'!AP$2,'TALLY BOX DUMP'!93:93))</f>
        <v>0</v>
      </c>
      <c r="AQ94" s="21">
        <f ca="1">IF($D94="","",ROUND(SUMIF('TALLY KG DUMP'!$1:$1,'ACH CALC'!AQ$2,'TALLY KG DUMP'!93:93)/30,1))</f>
        <v>0</v>
      </c>
      <c r="AR94" s="21">
        <f ca="1">IF($D94="","",SUMIF('TALLY BOX DUMP'!$1:$1,'ACH CALC'!AR$2,'TALLY BOX DUMP'!93:93))</f>
        <v>0</v>
      </c>
      <c r="AS94" s="21">
        <f ca="1">IF($D94="","",SUMIF('TALLY BOX DUMP'!$1:$1,'ACH CALC'!AS$2,'TALLY BOX DUMP'!93:93))</f>
        <v>0</v>
      </c>
      <c r="AT94" s="21">
        <f ca="1">IF($D94="","",SUMIF('TALLY BOX DUMP'!$1:$1,'ACH CALC'!AT$2,'TALLY BOX DUMP'!93:93))</f>
        <v>0</v>
      </c>
      <c r="AU94" s="21">
        <f ca="1">IF($D94="","",SUMIF('TALLY BOX DUMP'!$1:$1,'ACH CALC'!AU$2,'TALLY BOX DUMP'!93:93))</f>
        <v>0</v>
      </c>
      <c r="AV94" s="21">
        <f ca="1">IF($D94="","",SUMIF('TALLY BOX DUMP'!$1:$1,'ACH CALC'!AV$2,'TALLY BOX DUMP'!93:93))</f>
        <v>0</v>
      </c>
      <c r="AW94" s="21">
        <f ca="1">IF($D94="","",SUMIF('TALLY BOX DUMP'!$1:$1,'ACH CALC'!AW$2,'TALLY BOX DUMP'!93:93))</f>
        <v>0</v>
      </c>
      <c r="AX94" s="21">
        <f ca="1">IF($D94="","",SUMIF('TALLY BOX DUMP'!$1:$1,'ACH CALC'!AX$2,'TALLY BOX DUMP'!93:93))</f>
        <v>0</v>
      </c>
      <c r="AY94" s="21">
        <f ca="1">IF($D94="","",SUMIF('TALLY BOX DUMP'!$1:$1,'ACH CALC'!AY$2,'TALLY BOX DUMP'!93:93))</f>
        <v>0</v>
      </c>
      <c r="AZ94" s="21">
        <f ca="1">IF($D94="","",SUMIF('TALLY BOX DUMP'!$1:$1,'ACH CALC'!AZ$2,'TALLY BOX DUMP'!93:93))</f>
        <v>0</v>
      </c>
      <c r="BA94" s="69">
        <f>(SUMIF('TALLY KG DUMP'!$2:$2,"Qty",'TALLY KG DUMP'!93:93)/1000)-(SUMIF('TALLY KG DUMP'!$1:$1,"GL",'TALLY KG DUMP'!93:93)/1000)</f>
        <v>7.2679999999999998</v>
      </c>
      <c r="BB94" s="21" t="b">
        <f t="shared" ca="1" si="5"/>
        <v>1</v>
      </c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</row>
    <row r="95" spans="2:75" x14ac:dyDescent="0.25">
      <c r="B95" s="21" t="str">
        <f ca="1"/>
        <v>92</v>
      </c>
      <c r="C95" s="21" t="str">
        <f ca="1"/>
        <v>SUN07419</v>
      </c>
      <c r="D95" s="21" t="str">
        <f ca="1"/>
        <v>KL CHENGANAR SRADHA TRADING</v>
      </c>
      <c r="E95" s="21">
        <f ca="1">IF($D95="","",(SUMIF('TALLY KG DUMP'!$2:$2,"Qty",'TALLY KG DUMP'!94:94)/1000)-(SUMIF('TALLY KG DUMP'!$1:$1,"GL",'TALLY KG DUMP'!94:94)/1000))</f>
        <v>6.0060000000000002</v>
      </c>
      <c r="F95" s="21">
        <f ca="1">IF($D95="","",(SUMIF('TALLY KG DUMP'!$1:$1,'ACH CALC'!F$2,'TALLY KG DUMP'!94:94)/1000))</f>
        <v>0</v>
      </c>
      <c r="G95" s="21">
        <f ca="1">IF($D95="","",SUMIF('TALLY BOX DUMP'!$1:$1,'ACH CALC'!G$2,'TALLY BOX DUMP'!94:94)+Y95)</f>
        <v>0</v>
      </c>
      <c r="H95" s="21">
        <f t="shared" ca="1" si="3"/>
        <v>0</v>
      </c>
      <c r="I95" s="21">
        <f ca="1">IF($D95="","",SUMIF('TALLY BOX DUMP'!$1:$1,'ACH CALC'!I$2,'TALLY BOX DUMP'!94:94)+AA95)</f>
        <v>0</v>
      </c>
      <c r="J95" s="21">
        <f ca="1">IF($D95="","",SUMIF('TALLY BOX DUMP'!$1:$1,'ACH CALC'!J$2,'TALLY BOX DUMP'!94:94)+AB95)</f>
        <v>0</v>
      </c>
      <c r="K95" s="21">
        <f ca="1">IF($D95="","",SUMIF('TALLY BOX DUMP'!$1:$1,'ACH CALC'!K$2,'TALLY BOX DUMP'!94:94)+AC95)</f>
        <v>0</v>
      </c>
      <c r="L95" s="21">
        <f ca="1">IF($D95="","",SUMIF('TALLY BOX DUMP'!$1:$1,'ACH CALC'!L$2,'TALLY BOX DUMP'!94:94))</f>
        <v>0</v>
      </c>
      <c r="M95" s="21">
        <f ca="1">IF($D95="","",SUMIF('TALLY BOX DUMP'!$1:$1,'ACH CALC'!M$2,'TALLY BOX DUMP'!94:94)+AD95)</f>
        <v>0</v>
      </c>
      <c r="N95" s="21">
        <f ca="1">IF($D95="","",SUMIF('TALLY BOX DUMP'!$1:$1,'ACH CALC'!N$2,'TALLY BOX DUMP'!94:94))</f>
        <v>0</v>
      </c>
      <c r="O95" s="21">
        <f ca="1">IF($D95="","",SUMIF('TALLY BOX DUMP'!$1:$1,'ACH CALC'!O$2,'TALLY BOX DUMP'!94:94))</f>
        <v>0</v>
      </c>
      <c r="P95" s="21">
        <f ca="1">IF($D95="","",SUMIF('TALLY BOX DUMP'!$1:$1,'ACH CALC'!P$2,'TALLY BOX DUMP'!94:94))</f>
        <v>0</v>
      </c>
      <c r="Q95" s="21">
        <f t="shared" ca="1" si="4"/>
        <v>0</v>
      </c>
      <c r="R95" s="21">
        <f ca="1">IF($D95="","",SUMIF('TALLY BOX DUMP'!$1:$1,'ACH CALC'!R$2,'TALLY BOX DUMP'!94:94))</f>
        <v>0</v>
      </c>
      <c r="S95" s="21">
        <f ca="1">IF($D95="","",SUMIF('TALLY BOX DUMP'!$1:$1,'ACH CALC'!S$2,'TALLY BOX DUMP'!94:94))</f>
        <v>0</v>
      </c>
      <c r="T95" s="21">
        <f ca="1">IF($D95="","",SUMIF('TALLY BOX DUMP'!$1:$1,'ACH CALC'!T$2,'TALLY BOX DUMP'!94:94))</f>
        <v>0</v>
      </c>
      <c r="U95" s="21">
        <f ca="1">IF($D95="","",SUMIF('TALLY BOX DUMP'!$1:$1,'ACH CALC'!U$2,'TALLY BOX DUMP'!94:94))</f>
        <v>0</v>
      </c>
      <c r="V95" s="21">
        <f ca="1">IF($D95="","",SUMIF('TALLY BOX DUMP'!$1:$1,'ACH CALC'!V$2,'TALLY BOX DUMP'!94:94))</f>
        <v>0</v>
      </c>
      <c r="W95" s="21">
        <f ca="1">IF($D95="","",SUMIF('TALLY BOX DUMP'!$1:$1,'ACH CALC'!W$2,'TALLY BOX DUMP'!94:94))</f>
        <v>0</v>
      </c>
      <c r="X95" s="21">
        <f ca="1">IF($D95="","",SUMIF('TALLY BOX DUMP'!$1:$1,'ACH CALC'!X$2,'TALLY BOX DUMP'!94:94))</f>
        <v>0</v>
      </c>
      <c r="Y95" s="21">
        <f ca="1">IF($D95="","",SUMIF('TALLY BOX DUMP'!$1:$1,'ACH CALC'!Y$2,'TALLY BOX DUMP'!94:94))</f>
        <v>0</v>
      </c>
      <c r="Z95" s="21">
        <f ca="1">IF($D95="","",SUMIF('TALLY BOX DUMP'!$1:$1,'ACH CALC'!Z$2,'TALLY BOX DUMP'!94:94)+AE95)</f>
        <v>0</v>
      </c>
      <c r="AA95" s="21">
        <f ca="1">IF($D95="","",SUMIF('TALLY BOX DUMP'!$1:$1,'ACH CALC'!AA$2,'TALLY BOX DUMP'!94:94))</f>
        <v>0</v>
      </c>
      <c r="AB95" s="21">
        <f ca="1">IF($D95="","",SUMIF('TALLY BOX DUMP'!$1:$1,'ACH CALC'!AB$2,'TALLY BOX DUMP'!94:94))</f>
        <v>0</v>
      </c>
      <c r="AC95" s="21">
        <f ca="1">IF($D95="","",SUMIF('TALLY BOX DUMP'!$1:$1,'ACH CALC'!AC$2,'TALLY BOX DUMP'!94:94))</f>
        <v>0</v>
      </c>
      <c r="AD95" s="21">
        <f ca="1">IF($D95="","",SUMIF('TALLY BOX DUMP'!$1:$1,'ACH CALC'!AD$2,'TALLY BOX DUMP'!94:94))</f>
        <v>0</v>
      </c>
      <c r="AE95" s="21">
        <f ca="1">IF($D95="","",SUMIF('TALLY BOX DUMP'!$1:$1,'ACH CALC'!AE$2,'TALLY BOX DUMP'!94:94))</f>
        <v>0</v>
      </c>
      <c r="AF95" s="21">
        <f ca="1">IF($D95="","",SUMIF('TALLY BOX DUMP'!$1:$1,'ACH CALC'!AF$2,'TALLY BOX DUMP'!94:94))</f>
        <v>0</v>
      </c>
      <c r="AG95" s="21">
        <f ca="1">IF($D95="","",SUMIF('TALLY BOX DUMP'!$1:$1,'ACH CALC'!AG$2,'TALLY BOX DUMP'!94:94))</f>
        <v>0</v>
      </c>
      <c r="AH95" s="21">
        <f ca="1">IF($D95="","",SUMIF('TALLY BOX DUMP'!$1:$1,'ACH CALC'!AH$2,'TALLY BOX DUMP'!94:94))</f>
        <v>0</v>
      </c>
      <c r="AI95" s="21">
        <f ca="1">IF($D95="","",SUMIF('TALLY BOX DUMP'!$1:$1,'ACH CALC'!AI$2,'TALLY BOX DUMP'!94:94))</f>
        <v>0</v>
      </c>
      <c r="AJ95" s="21">
        <f ca="1">IF($D95="","",SUMIF('TALLY BOX DUMP'!$1:$1,'ACH CALC'!AJ$2,'TALLY BOX DUMP'!94:94))</f>
        <v>0</v>
      </c>
      <c r="AK95" s="21">
        <f ca="1">IF($D95="","",SUMIF('TALLY BOX DUMP'!$1:$1,'ACH CALC'!AK$2,'TALLY BOX DUMP'!94:94))</f>
        <v>0</v>
      </c>
      <c r="AL95" s="21">
        <f ca="1">IF($D95="","",ROUND(SUMIF('TALLY KG DUMP'!$1:$1,'ACH CALC'!AL$2,'TALLY KG DUMP'!94:94)/30,1))</f>
        <v>0</v>
      </c>
      <c r="AM95" s="21">
        <f ca="1">IF($D95="","",SUMIF('TALLY BOX DUMP'!$1:$1,'ACH CALC'!AM$2,'TALLY BOX DUMP'!94:94))</f>
        <v>0</v>
      </c>
      <c r="AN95" s="21">
        <f ca="1">IF($D95="","",SUMIF('TALLY BOX DUMP'!$1:$1,'ACH CALC'!AN$2,'TALLY BOX DUMP'!94:94))</f>
        <v>0</v>
      </c>
      <c r="AO95" s="21">
        <f ca="1">IF($D95="","",SUMIF('TALLY BOX DUMP'!$1:$1,'ACH CALC'!AO$2,'TALLY BOX DUMP'!94:94))</f>
        <v>0</v>
      </c>
      <c r="AP95" s="21">
        <f ca="1">IF($D95="","",SUMIF('TALLY BOX DUMP'!$1:$1,'ACH CALC'!AP$2,'TALLY BOX DUMP'!94:94))</f>
        <v>0</v>
      </c>
      <c r="AQ95" s="21">
        <f ca="1">IF($D95="","",ROUND(SUMIF('TALLY KG DUMP'!$1:$1,'ACH CALC'!AQ$2,'TALLY KG DUMP'!94:94)/30,1))</f>
        <v>0</v>
      </c>
      <c r="AR95" s="21">
        <f ca="1">IF($D95="","",SUMIF('TALLY BOX DUMP'!$1:$1,'ACH CALC'!AR$2,'TALLY BOX DUMP'!94:94))</f>
        <v>0</v>
      </c>
      <c r="AS95" s="21">
        <f ca="1">IF($D95="","",SUMIF('TALLY BOX DUMP'!$1:$1,'ACH CALC'!AS$2,'TALLY BOX DUMP'!94:94))</f>
        <v>0</v>
      </c>
      <c r="AT95" s="21">
        <f ca="1">IF($D95="","",SUMIF('TALLY BOX DUMP'!$1:$1,'ACH CALC'!AT$2,'TALLY BOX DUMP'!94:94))</f>
        <v>0</v>
      </c>
      <c r="AU95" s="21">
        <f ca="1">IF($D95="","",SUMIF('TALLY BOX DUMP'!$1:$1,'ACH CALC'!AU$2,'TALLY BOX DUMP'!94:94))</f>
        <v>0</v>
      </c>
      <c r="AV95" s="21">
        <f ca="1">IF($D95="","",SUMIF('TALLY BOX DUMP'!$1:$1,'ACH CALC'!AV$2,'TALLY BOX DUMP'!94:94))</f>
        <v>0</v>
      </c>
      <c r="AW95" s="21">
        <f ca="1">IF($D95="","",SUMIF('TALLY BOX DUMP'!$1:$1,'ACH CALC'!AW$2,'TALLY BOX DUMP'!94:94))</f>
        <v>0</v>
      </c>
      <c r="AX95" s="21">
        <f ca="1">IF($D95="","",SUMIF('TALLY BOX DUMP'!$1:$1,'ACH CALC'!AX$2,'TALLY BOX DUMP'!94:94))</f>
        <v>0</v>
      </c>
      <c r="AY95" s="21">
        <f ca="1">IF($D95="","",SUMIF('TALLY BOX DUMP'!$1:$1,'ACH CALC'!AY$2,'TALLY BOX DUMP'!94:94))</f>
        <v>0</v>
      </c>
      <c r="AZ95" s="21">
        <f ca="1">IF($D95="","",SUMIF('TALLY BOX DUMP'!$1:$1,'ACH CALC'!AZ$2,'TALLY BOX DUMP'!94:94))</f>
        <v>0</v>
      </c>
      <c r="BA95" s="69">
        <f>(SUMIF('TALLY KG DUMP'!$2:$2,"Qty",'TALLY KG DUMP'!94:94)/1000)-(SUMIF('TALLY KG DUMP'!$1:$1,"GL",'TALLY KG DUMP'!94:94)/1000)</f>
        <v>6.0060000000000002</v>
      </c>
      <c r="BB95" s="21" t="b">
        <f t="shared" ca="1" si="5"/>
        <v>1</v>
      </c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</row>
    <row r="96" spans="2:75" x14ac:dyDescent="0.25">
      <c r="B96" s="21" t="str">
        <f ca="1"/>
        <v>93</v>
      </c>
      <c r="C96" s="21" t="str">
        <f ca="1"/>
        <v>SUN03444</v>
      </c>
      <c r="D96" s="21" t="str">
        <f ca="1"/>
        <v>KL KOLLAM STANES TRADING COMPANY</v>
      </c>
      <c r="E96" s="21">
        <f ca="1">IF($D96="","",(SUMIF('TALLY KG DUMP'!$2:$2,"Qty",'TALLY KG DUMP'!95:95)/1000)-(SUMIF('TALLY KG DUMP'!$1:$1,"GL",'TALLY KG DUMP'!95:95)/1000))</f>
        <v>2.0019999999999998</v>
      </c>
      <c r="F96" s="21">
        <f ca="1">IF($D96="","",(SUMIF('TALLY KG DUMP'!$1:$1,'ACH CALC'!F$2,'TALLY KG DUMP'!95:95)/1000))</f>
        <v>0</v>
      </c>
      <c r="G96" s="21">
        <f ca="1">IF($D96="","",SUMIF('TALLY BOX DUMP'!$1:$1,'ACH CALC'!G$2,'TALLY BOX DUMP'!95:95)+Y96)</f>
        <v>0</v>
      </c>
      <c r="H96" s="21">
        <f t="shared" ca="1" si="3"/>
        <v>0</v>
      </c>
      <c r="I96" s="21">
        <f ca="1">IF($D96="","",SUMIF('TALLY BOX DUMP'!$1:$1,'ACH CALC'!I$2,'TALLY BOX DUMP'!95:95)+AA96)</f>
        <v>0</v>
      </c>
      <c r="J96" s="21">
        <f ca="1">IF($D96="","",SUMIF('TALLY BOX DUMP'!$1:$1,'ACH CALC'!J$2,'TALLY BOX DUMP'!95:95)+AB96)</f>
        <v>0</v>
      </c>
      <c r="K96" s="21">
        <f ca="1">IF($D96="","",SUMIF('TALLY BOX DUMP'!$1:$1,'ACH CALC'!K$2,'TALLY BOX DUMP'!95:95)+AC96)</f>
        <v>0</v>
      </c>
      <c r="L96" s="21">
        <f ca="1">IF($D96="","",SUMIF('TALLY BOX DUMP'!$1:$1,'ACH CALC'!L$2,'TALLY BOX DUMP'!95:95))</f>
        <v>0</v>
      </c>
      <c r="M96" s="21">
        <f ca="1">IF($D96="","",SUMIF('TALLY BOX DUMP'!$1:$1,'ACH CALC'!M$2,'TALLY BOX DUMP'!95:95)+AD96)</f>
        <v>0</v>
      </c>
      <c r="N96" s="21">
        <f ca="1">IF($D96="","",SUMIF('TALLY BOX DUMP'!$1:$1,'ACH CALC'!N$2,'TALLY BOX DUMP'!95:95))</f>
        <v>0</v>
      </c>
      <c r="O96" s="21">
        <f ca="1">IF($D96="","",SUMIF('TALLY BOX DUMP'!$1:$1,'ACH CALC'!O$2,'TALLY BOX DUMP'!95:95))</f>
        <v>0</v>
      </c>
      <c r="P96" s="21">
        <f ca="1">IF($D96="","",SUMIF('TALLY BOX DUMP'!$1:$1,'ACH CALC'!P$2,'TALLY BOX DUMP'!95:95))</f>
        <v>0</v>
      </c>
      <c r="Q96" s="21">
        <f t="shared" ca="1" si="4"/>
        <v>0</v>
      </c>
      <c r="R96" s="21">
        <f ca="1">IF($D96="","",SUMIF('TALLY BOX DUMP'!$1:$1,'ACH CALC'!R$2,'TALLY BOX DUMP'!95:95))</f>
        <v>0</v>
      </c>
      <c r="S96" s="21">
        <f ca="1">IF($D96="","",SUMIF('TALLY BOX DUMP'!$1:$1,'ACH CALC'!S$2,'TALLY BOX DUMP'!95:95))</f>
        <v>0</v>
      </c>
      <c r="T96" s="21">
        <f ca="1">IF($D96="","",SUMIF('TALLY BOX DUMP'!$1:$1,'ACH CALC'!T$2,'TALLY BOX DUMP'!95:95))</f>
        <v>0</v>
      </c>
      <c r="U96" s="21">
        <f ca="1">IF($D96="","",SUMIF('TALLY BOX DUMP'!$1:$1,'ACH CALC'!U$2,'TALLY BOX DUMP'!95:95))</f>
        <v>0</v>
      </c>
      <c r="V96" s="21">
        <f ca="1">IF($D96="","",SUMIF('TALLY BOX DUMP'!$1:$1,'ACH CALC'!V$2,'TALLY BOX DUMP'!95:95))</f>
        <v>0</v>
      </c>
      <c r="W96" s="21">
        <f ca="1">IF($D96="","",SUMIF('TALLY BOX DUMP'!$1:$1,'ACH CALC'!W$2,'TALLY BOX DUMP'!95:95))</f>
        <v>0</v>
      </c>
      <c r="X96" s="21">
        <f ca="1">IF($D96="","",SUMIF('TALLY BOX DUMP'!$1:$1,'ACH CALC'!X$2,'TALLY BOX DUMP'!95:95))</f>
        <v>0</v>
      </c>
      <c r="Y96" s="21">
        <f ca="1">IF($D96="","",SUMIF('TALLY BOX DUMP'!$1:$1,'ACH CALC'!Y$2,'TALLY BOX DUMP'!95:95))</f>
        <v>0</v>
      </c>
      <c r="Z96" s="21">
        <f ca="1">IF($D96="","",SUMIF('TALLY BOX DUMP'!$1:$1,'ACH CALC'!Z$2,'TALLY BOX DUMP'!95:95)+AE96)</f>
        <v>0</v>
      </c>
      <c r="AA96" s="21">
        <f ca="1">IF($D96="","",SUMIF('TALLY BOX DUMP'!$1:$1,'ACH CALC'!AA$2,'TALLY BOX DUMP'!95:95))</f>
        <v>0</v>
      </c>
      <c r="AB96" s="21">
        <f ca="1">IF($D96="","",SUMIF('TALLY BOX DUMP'!$1:$1,'ACH CALC'!AB$2,'TALLY BOX DUMP'!95:95))</f>
        <v>0</v>
      </c>
      <c r="AC96" s="21">
        <f ca="1">IF($D96="","",SUMIF('TALLY BOX DUMP'!$1:$1,'ACH CALC'!AC$2,'TALLY BOX DUMP'!95:95))</f>
        <v>0</v>
      </c>
      <c r="AD96" s="21">
        <f ca="1">IF($D96="","",SUMIF('TALLY BOX DUMP'!$1:$1,'ACH CALC'!AD$2,'TALLY BOX DUMP'!95:95))</f>
        <v>0</v>
      </c>
      <c r="AE96" s="21">
        <f ca="1">IF($D96="","",SUMIF('TALLY BOX DUMP'!$1:$1,'ACH CALC'!AE$2,'TALLY BOX DUMP'!95:95))</f>
        <v>0</v>
      </c>
      <c r="AF96" s="21">
        <f ca="1">IF($D96="","",SUMIF('TALLY BOX DUMP'!$1:$1,'ACH CALC'!AF$2,'TALLY BOX DUMP'!95:95))</f>
        <v>0</v>
      </c>
      <c r="AG96" s="21">
        <f ca="1">IF($D96="","",SUMIF('TALLY BOX DUMP'!$1:$1,'ACH CALC'!AG$2,'TALLY BOX DUMP'!95:95))</f>
        <v>0</v>
      </c>
      <c r="AH96" s="21">
        <f ca="1">IF($D96="","",SUMIF('TALLY BOX DUMP'!$1:$1,'ACH CALC'!AH$2,'TALLY BOX DUMP'!95:95))</f>
        <v>0</v>
      </c>
      <c r="AI96" s="21">
        <f ca="1">IF($D96="","",SUMIF('TALLY BOX DUMP'!$1:$1,'ACH CALC'!AI$2,'TALLY BOX DUMP'!95:95))</f>
        <v>0</v>
      </c>
      <c r="AJ96" s="21">
        <f ca="1">IF($D96="","",SUMIF('TALLY BOX DUMP'!$1:$1,'ACH CALC'!AJ$2,'TALLY BOX DUMP'!95:95))</f>
        <v>0</v>
      </c>
      <c r="AK96" s="21">
        <f ca="1">IF($D96="","",SUMIF('TALLY BOX DUMP'!$1:$1,'ACH CALC'!AK$2,'TALLY BOX DUMP'!95:95))</f>
        <v>0</v>
      </c>
      <c r="AL96" s="21">
        <f ca="1">IF($D96="","",ROUND(SUMIF('TALLY KG DUMP'!$1:$1,'ACH CALC'!AL$2,'TALLY KG DUMP'!95:95)/30,1))</f>
        <v>0</v>
      </c>
      <c r="AM96" s="21">
        <f ca="1">IF($D96="","",SUMIF('TALLY BOX DUMP'!$1:$1,'ACH CALC'!AM$2,'TALLY BOX DUMP'!95:95))</f>
        <v>0</v>
      </c>
      <c r="AN96" s="21">
        <f ca="1">IF($D96="","",SUMIF('TALLY BOX DUMP'!$1:$1,'ACH CALC'!AN$2,'TALLY BOX DUMP'!95:95))</f>
        <v>0</v>
      </c>
      <c r="AO96" s="21">
        <f ca="1">IF($D96="","",SUMIF('TALLY BOX DUMP'!$1:$1,'ACH CALC'!AO$2,'TALLY BOX DUMP'!95:95))</f>
        <v>0</v>
      </c>
      <c r="AP96" s="21">
        <f ca="1">IF($D96="","",SUMIF('TALLY BOX DUMP'!$1:$1,'ACH CALC'!AP$2,'TALLY BOX DUMP'!95:95))</f>
        <v>0</v>
      </c>
      <c r="AQ96" s="21">
        <f ca="1">IF($D96="","",ROUND(SUMIF('TALLY KG DUMP'!$1:$1,'ACH CALC'!AQ$2,'TALLY KG DUMP'!95:95)/30,1))</f>
        <v>0</v>
      </c>
      <c r="AR96" s="21">
        <f ca="1">IF($D96="","",SUMIF('TALLY BOX DUMP'!$1:$1,'ACH CALC'!AR$2,'TALLY BOX DUMP'!95:95))</f>
        <v>0</v>
      </c>
      <c r="AS96" s="21">
        <f ca="1">IF($D96="","",SUMIF('TALLY BOX DUMP'!$1:$1,'ACH CALC'!AS$2,'TALLY BOX DUMP'!95:95))</f>
        <v>0</v>
      </c>
      <c r="AT96" s="21">
        <f ca="1">IF($D96="","",SUMIF('TALLY BOX DUMP'!$1:$1,'ACH CALC'!AT$2,'TALLY BOX DUMP'!95:95))</f>
        <v>0</v>
      </c>
      <c r="AU96" s="21">
        <f ca="1">IF($D96="","",SUMIF('TALLY BOX DUMP'!$1:$1,'ACH CALC'!AU$2,'TALLY BOX DUMP'!95:95))</f>
        <v>0</v>
      </c>
      <c r="AV96" s="21">
        <f ca="1">IF($D96="","",SUMIF('TALLY BOX DUMP'!$1:$1,'ACH CALC'!AV$2,'TALLY BOX DUMP'!95:95))</f>
        <v>0</v>
      </c>
      <c r="AW96" s="21">
        <f ca="1">IF($D96="","",SUMIF('TALLY BOX DUMP'!$1:$1,'ACH CALC'!AW$2,'TALLY BOX DUMP'!95:95))</f>
        <v>0</v>
      </c>
      <c r="AX96" s="21">
        <f ca="1">IF($D96="","",SUMIF('TALLY BOX DUMP'!$1:$1,'ACH CALC'!AX$2,'TALLY BOX DUMP'!95:95))</f>
        <v>0</v>
      </c>
      <c r="AY96" s="21">
        <f ca="1">IF($D96="","",SUMIF('TALLY BOX DUMP'!$1:$1,'ACH CALC'!AY$2,'TALLY BOX DUMP'!95:95))</f>
        <v>0</v>
      </c>
      <c r="AZ96" s="21">
        <f ca="1">IF($D96="","",SUMIF('TALLY BOX DUMP'!$1:$1,'ACH CALC'!AZ$2,'TALLY BOX DUMP'!95:95))</f>
        <v>0</v>
      </c>
      <c r="BA96" s="69">
        <f>(SUMIF('TALLY KG DUMP'!$2:$2,"Qty",'TALLY KG DUMP'!95:95)/1000)-(SUMIF('TALLY KG DUMP'!$1:$1,"GL",'TALLY KG DUMP'!95:95)/1000)</f>
        <v>2.0019999999999998</v>
      </c>
      <c r="BB96" s="21" t="b">
        <f t="shared" ca="1" si="5"/>
        <v>1</v>
      </c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</row>
    <row r="97" spans="2:75" x14ac:dyDescent="0.25">
      <c r="B97" s="21" t="str">
        <f ca="1"/>
        <v>94</v>
      </c>
      <c r="C97" s="21" t="str">
        <f ca="1"/>
        <v>SUN07240</v>
      </c>
      <c r="D97" s="21" t="str">
        <f ca="1"/>
        <v>KL-KOLLAM-S.A.K ASSOCIATE</v>
      </c>
      <c r="E97" s="21">
        <f ca="1">IF($D97="","",(SUMIF('TALLY KG DUMP'!$2:$2,"Qty",'TALLY KG DUMP'!96:96)/1000)-(SUMIF('TALLY KG DUMP'!$1:$1,"GL",'TALLY KG DUMP'!96:96)/1000))</f>
        <v>4.55</v>
      </c>
      <c r="F97" s="21">
        <f ca="1">IF($D97="","",(SUMIF('TALLY KG DUMP'!$1:$1,'ACH CALC'!F$2,'TALLY KG DUMP'!96:96)/1000))</f>
        <v>0</v>
      </c>
      <c r="G97" s="21">
        <f ca="1">IF($D97="","",SUMIF('TALLY BOX DUMP'!$1:$1,'ACH CALC'!G$2,'TALLY BOX DUMP'!96:96)+Y97)</f>
        <v>0</v>
      </c>
      <c r="H97" s="21">
        <f t="shared" ca="1" si="3"/>
        <v>0</v>
      </c>
      <c r="I97" s="21">
        <f ca="1">IF($D97="","",SUMIF('TALLY BOX DUMP'!$1:$1,'ACH CALC'!I$2,'TALLY BOX DUMP'!96:96)+AA97)</f>
        <v>0</v>
      </c>
      <c r="J97" s="21">
        <f ca="1">IF($D97="","",SUMIF('TALLY BOX DUMP'!$1:$1,'ACH CALC'!J$2,'TALLY BOX DUMP'!96:96)+AB97)</f>
        <v>0</v>
      </c>
      <c r="K97" s="21">
        <f ca="1">IF($D97="","",SUMIF('TALLY BOX DUMP'!$1:$1,'ACH CALC'!K$2,'TALLY BOX DUMP'!96:96)+AC97)</f>
        <v>0</v>
      </c>
      <c r="L97" s="21">
        <f ca="1">IF($D97="","",SUMIF('TALLY BOX DUMP'!$1:$1,'ACH CALC'!L$2,'TALLY BOX DUMP'!96:96))</f>
        <v>0</v>
      </c>
      <c r="M97" s="21">
        <f ca="1">IF($D97="","",SUMIF('TALLY BOX DUMP'!$1:$1,'ACH CALC'!M$2,'TALLY BOX DUMP'!96:96)+AD97)</f>
        <v>0</v>
      </c>
      <c r="N97" s="21">
        <f ca="1">IF($D97="","",SUMIF('TALLY BOX DUMP'!$1:$1,'ACH CALC'!N$2,'TALLY BOX DUMP'!96:96))</f>
        <v>0</v>
      </c>
      <c r="O97" s="21">
        <f ca="1">IF($D97="","",SUMIF('TALLY BOX DUMP'!$1:$1,'ACH CALC'!O$2,'TALLY BOX DUMP'!96:96))</f>
        <v>0</v>
      </c>
      <c r="P97" s="21">
        <f ca="1">IF($D97="","",SUMIF('TALLY BOX DUMP'!$1:$1,'ACH CALC'!P$2,'TALLY BOX DUMP'!96:96))</f>
        <v>0</v>
      </c>
      <c r="Q97" s="21">
        <f t="shared" ca="1" si="4"/>
        <v>0</v>
      </c>
      <c r="R97" s="21">
        <f ca="1">IF($D97="","",SUMIF('TALLY BOX DUMP'!$1:$1,'ACH CALC'!R$2,'TALLY BOX DUMP'!96:96))</f>
        <v>0</v>
      </c>
      <c r="S97" s="21">
        <f ca="1">IF($D97="","",SUMIF('TALLY BOX DUMP'!$1:$1,'ACH CALC'!S$2,'TALLY BOX DUMP'!96:96))</f>
        <v>0</v>
      </c>
      <c r="T97" s="21">
        <f ca="1">IF($D97="","",SUMIF('TALLY BOX DUMP'!$1:$1,'ACH CALC'!T$2,'TALLY BOX DUMP'!96:96))</f>
        <v>0</v>
      </c>
      <c r="U97" s="21">
        <f ca="1">IF($D97="","",SUMIF('TALLY BOX DUMP'!$1:$1,'ACH CALC'!U$2,'TALLY BOX DUMP'!96:96))</f>
        <v>0</v>
      </c>
      <c r="V97" s="21">
        <f ca="1">IF($D97="","",SUMIF('TALLY BOX DUMP'!$1:$1,'ACH CALC'!V$2,'TALLY BOX DUMP'!96:96))</f>
        <v>0</v>
      </c>
      <c r="W97" s="21">
        <f ca="1">IF($D97="","",SUMIF('TALLY BOX DUMP'!$1:$1,'ACH CALC'!W$2,'TALLY BOX DUMP'!96:96))</f>
        <v>0</v>
      </c>
      <c r="X97" s="21">
        <f ca="1">IF($D97="","",SUMIF('TALLY BOX DUMP'!$1:$1,'ACH CALC'!X$2,'TALLY BOX DUMP'!96:96))</f>
        <v>0</v>
      </c>
      <c r="Y97" s="21">
        <f ca="1">IF($D97="","",SUMIF('TALLY BOX DUMP'!$1:$1,'ACH CALC'!Y$2,'TALLY BOX DUMP'!96:96))</f>
        <v>0</v>
      </c>
      <c r="Z97" s="21">
        <f ca="1">IF($D97="","",SUMIF('TALLY BOX DUMP'!$1:$1,'ACH CALC'!Z$2,'TALLY BOX DUMP'!96:96)+AE97)</f>
        <v>0</v>
      </c>
      <c r="AA97" s="21">
        <f ca="1">IF($D97="","",SUMIF('TALLY BOX DUMP'!$1:$1,'ACH CALC'!AA$2,'TALLY BOX DUMP'!96:96))</f>
        <v>0</v>
      </c>
      <c r="AB97" s="21">
        <f ca="1">IF($D97="","",SUMIF('TALLY BOX DUMP'!$1:$1,'ACH CALC'!AB$2,'TALLY BOX DUMP'!96:96))</f>
        <v>0</v>
      </c>
      <c r="AC97" s="21">
        <f ca="1">IF($D97="","",SUMIF('TALLY BOX DUMP'!$1:$1,'ACH CALC'!AC$2,'TALLY BOX DUMP'!96:96))</f>
        <v>0</v>
      </c>
      <c r="AD97" s="21">
        <f ca="1">IF($D97="","",SUMIF('TALLY BOX DUMP'!$1:$1,'ACH CALC'!AD$2,'TALLY BOX DUMP'!96:96))</f>
        <v>0</v>
      </c>
      <c r="AE97" s="21">
        <f ca="1">IF($D97="","",SUMIF('TALLY BOX DUMP'!$1:$1,'ACH CALC'!AE$2,'TALLY BOX DUMP'!96:96))</f>
        <v>0</v>
      </c>
      <c r="AF97" s="21">
        <f ca="1">IF($D97="","",SUMIF('TALLY BOX DUMP'!$1:$1,'ACH CALC'!AF$2,'TALLY BOX DUMP'!96:96))</f>
        <v>0</v>
      </c>
      <c r="AG97" s="21">
        <f ca="1">IF($D97="","",SUMIF('TALLY BOX DUMP'!$1:$1,'ACH CALC'!AG$2,'TALLY BOX DUMP'!96:96))</f>
        <v>0</v>
      </c>
      <c r="AH97" s="21">
        <f ca="1">IF($D97="","",SUMIF('TALLY BOX DUMP'!$1:$1,'ACH CALC'!AH$2,'TALLY BOX DUMP'!96:96))</f>
        <v>0</v>
      </c>
      <c r="AI97" s="21">
        <f ca="1">IF($D97="","",SUMIF('TALLY BOX DUMP'!$1:$1,'ACH CALC'!AI$2,'TALLY BOX DUMP'!96:96))</f>
        <v>0</v>
      </c>
      <c r="AJ97" s="21">
        <f ca="1">IF($D97="","",SUMIF('TALLY BOX DUMP'!$1:$1,'ACH CALC'!AJ$2,'TALLY BOX DUMP'!96:96))</f>
        <v>0</v>
      </c>
      <c r="AK97" s="21">
        <f ca="1">IF($D97="","",SUMIF('TALLY BOX DUMP'!$1:$1,'ACH CALC'!AK$2,'TALLY BOX DUMP'!96:96))</f>
        <v>0</v>
      </c>
      <c r="AL97" s="21">
        <f ca="1">IF($D97="","",ROUND(SUMIF('TALLY KG DUMP'!$1:$1,'ACH CALC'!AL$2,'TALLY KG DUMP'!96:96)/30,1))</f>
        <v>0</v>
      </c>
      <c r="AM97" s="21">
        <f ca="1">IF($D97="","",SUMIF('TALLY BOX DUMP'!$1:$1,'ACH CALC'!AM$2,'TALLY BOX DUMP'!96:96))</f>
        <v>0</v>
      </c>
      <c r="AN97" s="21">
        <f ca="1">IF($D97="","",SUMIF('TALLY BOX DUMP'!$1:$1,'ACH CALC'!AN$2,'TALLY BOX DUMP'!96:96))</f>
        <v>0</v>
      </c>
      <c r="AO97" s="21">
        <f ca="1">IF($D97="","",SUMIF('TALLY BOX DUMP'!$1:$1,'ACH CALC'!AO$2,'TALLY BOX DUMP'!96:96))</f>
        <v>0</v>
      </c>
      <c r="AP97" s="21">
        <f ca="1">IF($D97="","",SUMIF('TALLY BOX DUMP'!$1:$1,'ACH CALC'!AP$2,'TALLY BOX DUMP'!96:96))</f>
        <v>0</v>
      </c>
      <c r="AQ97" s="21">
        <f ca="1">IF($D97="","",ROUND(SUMIF('TALLY KG DUMP'!$1:$1,'ACH CALC'!AQ$2,'TALLY KG DUMP'!96:96)/30,1))</f>
        <v>0</v>
      </c>
      <c r="AR97" s="21">
        <f ca="1">IF($D97="","",SUMIF('TALLY BOX DUMP'!$1:$1,'ACH CALC'!AR$2,'TALLY BOX DUMP'!96:96))</f>
        <v>0</v>
      </c>
      <c r="AS97" s="21">
        <f ca="1">IF($D97="","",SUMIF('TALLY BOX DUMP'!$1:$1,'ACH CALC'!AS$2,'TALLY BOX DUMP'!96:96))</f>
        <v>0</v>
      </c>
      <c r="AT97" s="21">
        <f ca="1">IF($D97="","",SUMIF('TALLY BOX DUMP'!$1:$1,'ACH CALC'!AT$2,'TALLY BOX DUMP'!96:96))</f>
        <v>0</v>
      </c>
      <c r="AU97" s="21">
        <f ca="1">IF($D97="","",SUMIF('TALLY BOX DUMP'!$1:$1,'ACH CALC'!AU$2,'TALLY BOX DUMP'!96:96))</f>
        <v>0</v>
      </c>
      <c r="AV97" s="21">
        <f ca="1">IF($D97="","",SUMIF('TALLY BOX DUMP'!$1:$1,'ACH CALC'!AV$2,'TALLY BOX DUMP'!96:96))</f>
        <v>0</v>
      </c>
      <c r="AW97" s="21">
        <f ca="1">IF($D97="","",SUMIF('TALLY BOX DUMP'!$1:$1,'ACH CALC'!AW$2,'TALLY BOX DUMP'!96:96))</f>
        <v>0</v>
      </c>
      <c r="AX97" s="21">
        <f ca="1">IF($D97="","",SUMIF('TALLY BOX DUMP'!$1:$1,'ACH CALC'!AX$2,'TALLY BOX DUMP'!96:96))</f>
        <v>0</v>
      </c>
      <c r="AY97" s="21">
        <f ca="1">IF($D97="","",SUMIF('TALLY BOX DUMP'!$1:$1,'ACH CALC'!AY$2,'TALLY BOX DUMP'!96:96))</f>
        <v>0</v>
      </c>
      <c r="AZ97" s="21">
        <f ca="1">IF($D97="","",SUMIF('TALLY BOX DUMP'!$1:$1,'ACH CALC'!AZ$2,'TALLY BOX DUMP'!96:96))</f>
        <v>0</v>
      </c>
      <c r="BA97" s="69">
        <f>(SUMIF('TALLY KG DUMP'!$2:$2,"Qty",'TALLY KG DUMP'!96:96)/1000)-(SUMIF('TALLY KG DUMP'!$1:$1,"GL",'TALLY KG DUMP'!96:96)/1000)</f>
        <v>4.55</v>
      </c>
      <c r="BB97" s="21" t="b">
        <f t="shared" ca="1" si="5"/>
        <v>1</v>
      </c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</row>
    <row r="98" spans="2:75" x14ac:dyDescent="0.25">
      <c r="B98" s="21" t="str">
        <f ca="1"/>
        <v>95</v>
      </c>
      <c r="C98" s="21" t="str">
        <f ca="1"/>
        <v>SUN04470</v>
      </c>
      <c r="D98" s="21" t="str">
        <f ca="1"/>
        <v>TIRUNELVELI KAUMARAM FOOD PRODUCTS</v>
      </c>
      <c r="E98" s="21">
        <f ca="1">IF($D98="","",(SUMIF('TALLY KG DUMP'!$2:$2,"Qty",'TALLY KG DUMP'!97:97)/1000)-(SUMIF('TALLY KG DUMP'!$1:$1,"GL",'TALLY KG DUMP'!97:97)/1000))</f>
        <v>5.2949999999999999</v>
      </c>
      <c r="F98" s="21">
        <f ca="1">IF($D98="","",(SUMIF('TALLY KG DUMP'!$1:$1,'ACH CALC'!F$2,'TALLY KG DUMP'!97:97)/1000))</f>
        <v>0</v>
      </c>
      <c r="G98" s="21">
        <f ca="1">IF($D98="","",SUMIF('TALLY BOX DUMP'!$1:$1,'ACH CALC'!G$2,'TALLY BOX DUMP'!97:97)+Y98)</f>
        <v>0</v>
      </c>
      <c r="H98" s="21">
        <f t="shared" ca="1" si="3"/>
        <v>72</v>
      </c>
      <c r="I98" s="21">
        <f ca="1">IF($D98="","",SUMIF('TALLY BOX DUMP'!$1:$1,'ACH CALC'!I$2,'TALLY BOX DUMP'!97:97)+AA98)</f>
        <v>50</v>
      </c>
      <c r="J98" s="21">
        <f ca="1">IF($D98="","",SUMIF('TALLY BOX DUMP'!$1:$1,'ACH CALC'!J$2,'TALLY BOX DUMP'!97:97)+AB98)</f>
        <v>0</v>
      </c>
      <c r="K98" s="21">
        <f ca="1">IF($D98="","",SUMIF('TALLY BOX DUMP'!$1:$1,'ACH CALC'!K$2,'TALLY BOX DUMP'!97:97)+AC98)</f>
        <v>22</v>
      </c>
      <c r="L98" s="21">
        <f ca="1">IF($D98="","",SUMIF('TALLY BOX DUMP'!$1:$1,'ACH CALC'!L$2,'TALLY BOX DUMP'!97:97))</f>
        <v>0</v>
      </c>
      <c r="M98" s="21">
        <f ca="1">IF($D98="","",SUMIF('TALLY BOX DUMP'!$1:$1,'ACH CALC'!M$2,'TALLY BOX DUMP'!97:97)+AD98)</f>
        <v>0</v>
      </c>
      <c r="N98" s="21">
        <f ca="1">IF($D98="","",SUMIF('TALLY BOX DUMP'!$1:$1,'ACH CALC'!N$2,'TALLY BOX DUMP'!97:97))</f>
        <v>0</v>
      </c>
      <c r="O98" s="21">
        <f ca="1">IF($D98="","",SUMIF('TALLY BOX DUMP'!$1:$1,'ACH CALC'!O$2,'TALLY BOX DUMP'!97:97))</f>
        <v>0</v>
      </c>
      <c r="P98" s="21">
        <f ca="1">IF($D98="","",SUMIF('TALLY BOX DUMP'!$1:$1,'ACH CALC'!P$2,'TALLY BOX DUMP'!97:97))</f>
        <v>0</v>
      </c>
      <c r="Q98" s="21">
        <f t="shared" ca="1" si="4"/>
        <v>0</v>
      </c>
      <c r="R98" s="21">
        <f ca="1">IF($D98="","",SUMIF('TALLY BOX DUMP'!$1:$1,'ACH CALC'!R$2,'TALLY BOX DUMP'!97:97))</f>
        <v>0</v>
      </c>
      <c r="S98" s="21">
        <f ca="1">IF($D98="","",SUMIF('TALLY BOX DUMP'!$1:$1,'ACH CALC'!S$2,'TALLY BOX DUMP'!97:97))</f>
        <v>0</v>
      </c>
      <c r="T98" s="21">
        <f ca="1">IF($D98="","",SUMIF('TALLY BOX DUMP'!$1:$1,'ACH CALC'!T$2,'TALLY BOX DUMP'!97:97))</f>
        <v>0</v>
      </c>
      <c r="U98" s="21">
        <f ca="1">IF($D98="","",SUMIF('TALLY BOX DUMP'!$1:$1,'ACH CALC'!U$2,'TALLY BOX DUMP'!97:97))</f>
        <v>0</v>
      </c>
      <c r="V98" s="21">
        <f ca="1">IF($D98="","",SUMIF('TALLY BOX DUMP'!$1:$1,'ACH CALC'!V$2,'TALLY BOX DUMP'!97:97))</f>
        <v>0</v>
      </c>
      <c r="W98" s="21">
        <f ca="1">IF($D98="","",SUMIF('TALLY BOX DUMP'!$1:$1,'ACH CALC'!W$2,'TALLY BOX DUMP'!97:97))</f>
        <v>0</v>
      </c>
      <c r="X98" s="21">
        <f ca="1">IF($D98="","",SUMIF('TALLY BOX DUMP'!$1:$1,'ACH CALC'!X$2,'TALLY BOX DUMP'!97:97))</f>
        <v>0</v>
      </c>
      <c r="Y98" s="21">
        <f ca="1">IF($D98="","",SUMIF('TALLY BOX DUMP'!$1:$1,'ACH CALC'!Y$2,'TALLY BOX DUMP'!97:97))</f>
        <v>0</v>
      </c>
      <c r="Z98" s="21">
        <f ca="1">IF($D98="","",SUMIF('TALLY BOX DUMP'!$1:$1,'ACH CALC'!Z$2,'TALLY BOX DUMP'!97:97)+AE98)</f>
        <v>0</v>
      </c>
      <c r="AA98" s="21">
        <f ca="1">IF($D98="","",SUMIF('TALLY BOX DUMP'!$1:$1,'ACH CALC'!AA$2,'TALLY BOX DUMP'!97:97))</f>
        <v>0</v>
      </c>
      <c r="AB98" s="21">
        <f ca="1">IF($D98="","",SUMIF('TALLY BOX DUMP'!$1:$1,'ACH CALC'!AB$2,'TALLY BOX DUMP'!97:97))</f>
        <v>0</v>
      </c>
      <c r="AC98" s="21">
        <f ca="1">IF($D98="","",SUMIF('TALLY BOX DUMP'!$1:$1,'ACH CALC'!AC$2,'TALLY BOX DUMP'!97:97))</f>
        <v>0</v>
      </c>
      <c r="AD98" s="21">
        <f ca="1">IF($D98="","",SUMIF('TALLY BOX DUMP'!$1:$1,'ACH CALC'!AD$2,'TALLY BOX DUMP'!97:97))</f>
        <v>0</v>
      </c>
      <c r="AE98" s="21">
        <f ca="1">IF($D98="","",SUMIF('TALLY BOX DUMP'!$1:$1,'ACH CALC'!AE$2,'TALLY BOX DUMP'!97:97))</f>
        <v>0</v>
      </c>
      <c r="AF98" s="21">
        <f ca="1">IF($D98="","",SUMIF('TALLY BOX DUMP'!$1:$1,'ACH CALC'!AF$2,'TALLY BOX DUMP'!97:97))</f>
        <v>0</v>
      </c>
      <c r="AG98" s="21">
        <f ca="1">IF($D98="","",SUMIF('TALLY BOX DUMP'!$1:$1,'ACH CALC'!AG$2,'TALLY BOX DUMP'!97:97))</f>
        <v>0</v>
      </c>
      <c r="AH98" s="21">
        <f ca="1">IF($D98="","",SUMIF('TALLY BOX DUMP'!$1:$1,'ACH CALC'!AH$2,'TALLY BOX DUMP'!97:97))</f>
        <v>0</v>
      </c>
      <c r="AI98" s="21">
        <f ca="1">IF($D98="","",SUMIF('TALLY BOX DUMP'!$1:$1,'ACH CALC'!AI$2,'TALLY BOX DUMP'!97:97))</f>
        <v>0</v>
      </c>
      <c r="AJ98" s="21">
        <f ca="1">IF($D98="","",SUMIF('TALLY BOX DUMP'!$1:$1,'ACH CALC'!AJ$2,'TALLY BOX DUMP'!97:97))</f>
        <v>0</v>
      </c>
      <c r="AK98" s="21">
        <f ca="1">IF($D98="","",SUMIF('TALLY BOX DUMP'!$1:$1,'ACH CALC'!AK$2,'TALLY BOX DUMP'!97:97))</f>
        <v>0</v>
      </c>
      <c r="AL98" s="21">
        <f ca="1">IF($D98="","",ROUND(SUMIF('TALLY KG DUMP'!$1:$1,'ACH CALC'!AL$2,'TALLY KG DUMP'!97:97)/30,1))</f>
        <v>0</v>
      </c>
      <c r="AM98" s="21">
        <f ca="1">IF($D98="","",SUMIF('TALLY BOX DUMP'!$1:$1,'ACH CALC'!AM$2,'TALLY BOX DUMP'!97:97))</f>
        <v>2</v>
      </c>
      <c r="AN98" s="21">
        <f ca="1">IF($D98="","",SUMIF('TALLY BOX DUMP'!$1:$1,'ACH CALC'!AN$2,'TALLY BOX DUMP'!97:97))</f>
        <v>0</v>
      </c>
      <c r="AO98" s="21">
        <f ca="1">IF($D98="","",SUMIF('TALLY BOX DUMP'!$1:$1,'ACH CALC'!AO$2,'TALLY BOX DUMP'!97:97))</f>
        <v>0</v>
      </c>
      <c r="AP98" s="21">
        <f ca="1">IF($D98="","",SUMIF('TALLY BOX DUMP'!$1:$1,'ACH CALC'!AP$2,'TALLY BOX DUMP'!97:97))</f>
        <v>0</v>
      </c>
      <c r="AQ98" s="21">
        <f ca="1">IF($D98="","",ROUND(SUMIF('TALLY KG DUMP'!$1:$1,'ACH CALC'!AQ$2,'TALLY KG DUMP'!97:97)/30,1))</f>
        <v>0</v>
      </c>
      <c r="AR98" s="21">
        <f ca="1">IF($D98="","",SUMIF('TALLY BOX DUMP'!$1:$1,'ACH CALC'!AR$2,'TALLY BOX DUMP'!97:97))</f>
        <v>0</v>
      </c>
      <c r="AS98" s="21">
        <f ca="1">IF($D98="","",SUMIF('TALLY BOX DUMP'!$1:$1,'ACH CALC'!AS$2,'TALLY BOX DUMP'!97:97))</f>
        <v>0</v>
      </c>
      <c r="AT98" s="21">
        <f ca="1">IF($D98="","",SUMIF('TALLY BOX DUMP'!$1:$1,'ACH CALC'!AT$2,'TALLY BOX DUMP'!97:97))</f>
        <v>0</v>
      </c>
      <c r="AU98" s="21">
        <f ca="1">IF($D98="","",SUMIF('TALLY BOX DUMP'!$1:$1,'ACH CALC'!AU$2,'TALLY BOX DUMP'!97:97))</f>
        <v>0</v>
      </c>
      <c r="AV98" s="21">
        <f ca="1">IF($D98="","",SUMIF('TALLY BOX DUMP'!$1:$1,'ACH CALC'!AV$2,'TALLY BOX DUMP'!97:97))</f>
        <v>0</v>
      </c>
      <c r="AW98" s="21">
        <f ca="1">IF($D98="","",SUMIF('TALLY BOX DUMP'!$1:$1,'ACH CALC'!AW$2,'TALLY BOX DUMP'!97:97))</f>
        <v>0</v>
      </c>
      <c r="AX98" s="21">
        <f ca="1">IF($D98="","",SUMIF('TALLY BOX DUMP'!$1:$1,'ACH CALC'!AX$2,'TALLY BOX DUMP'!97:97))</f>
        <v>0</v>
      </c>
      <c r="AY98" s="21">
        <f ca="1">IF($D98="","",SUMIF('TALLY BOX DUMP'!$1:$1,'ACH CALC'!AY$2,'TALLY BOX DUMP'!97:97))</f>
        <v>0</v>
      </c>
      <c r="AZ98" s="21">
        <f ca="1">IF($D98="","",SUMIF('TALLY BOX DUMP'!$1:$1,'ACH CALC'!AZ$2,'TALLY BOX DUMP'!97:97))</f>
        <v>0</v>
      </c>
      <c r="BA98" s="69">
        <f>(SUMIF('TALLY KG DUMP'!$2:$2,"Qty",'TALLY KG DUMP'!97:97)/1000)-(SUMIF('TALLY KG DUMP'!$1:$1,"GL",'TALLY KG DUMP'!97:97)/1000)</f>
        <v>5.2949999999999999</v>
      </c>
      <c r="BB98" s="21" t="b">
        <f t="shared" ca="1" si="5"/>
        <v>1</v>
      </c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</row>
    <row r="99" spans="2:75" x14ac:dyDescent="0.25">
      <c r="B99" s="21" t="str">
        <f ca="1"/>
        <v>96</v>
      </c>
      <c r="C99" s="21" t="str">
        <f ca="1"/>
        <v>SUN04298</v>
      </c>
      <c r="D99" s="21" t="str">
        <f ca="1"/>
        <v>ATTUVAMPATTI STERLING HOLIDAY RESORTS LIMITED</v>
      </c>
      <c r="E99" s="21">
        <f ca="1">IF($D99="","",(SUMIF('TALLY KG DUMP'!$2:$2,"Qty",'TALLY KG DUMP'!98:98)/1000)-(SUMIF('TALLY KG DUMP'!$1:$1,"GL",'TALLY KG DUMP'!98:98)/1000))</f>
        <v>0.72799999999999998</v>
      </c>
      <c r="F99" s="21">
        <f ca="1">IF($D99="","",(SUMIF('TALLY KG DUMP'!$1:$1,'ACH CALC'!F$2,'TALLY KG DUMP'!98:98)/1000))</f>
        <v>0</v>
      </c>
      <c r="G99" s="21">
        <f ca="1">IF($D99="","",SUMIF('TALLY BOX DUMP'!$1:$1,'ACH CALC'!G$2,'TALLY BOX DUMP'!98:98)+Y99)</f>
        <v>0</v>
      </c>
      <c r="H99" s="21">
        <f t="shared" ca="1" si="3"/>
        <v>0</v>
      </c>
      <c r="I99" s="21">
        <f ca="1">IF($D99="","",SUMIF('TALLY BOX DUMP'!$1:$1,'ACH CALC'!I$2,'TALLY BOX DUMP'!98:98)+AA99)</f>
        <v>0</v>
      </c>
      <c r="J99" s="21">
        <f ca="1">IF($D99="","",SUMIF('TALLY BOX DUMP'!$1:$1,'ACH CALC'!J$2,'TALLY BOX DUMP'!98:98)+AB99)</f>
        <v>0</v>
      </c>
      <c r="K99" s="21">
        <f ca="1">IF($D99="","",SUMIF('TALLY BOX DUMP'!$1:$1,'ACH CALC'!K$2,'TALLY BOX DUMP'!98:98)+AC99)</f>
        <v>0</v>
      </c>
      <c r="L99" s="21">
        <f ca="1">IF($D99="","",SUMIF('TALLY BOX DUMP'!$1:$1,'ACH CALC'!L$2,'TALLY BOX DUMP'!98:98))</f>
        <v>0</v>
      </c>
      <c r="M99" s="21">
        <f ca="1">IF($D99="","",SUMIF('TALLY BOX DUMP'!$1:$1,'ACH CALC'!M$2,'TALLY BOX DUMP'!98:98)+AD99)</f>
        <v>0</v>
      </c>
      <c r="N99" s="21">
        <f ca="1">IF($D99="","",SUMIF('TALLY BOX DUMP'!$1:$1,'ACH CALC'!N$2,'TALLY BOX DUMP'!98:98))</f>
        <v>0</v>
      </c>
      <c r="O99" s="21">
        <f ca="1">IF($D99="","",SUMIF('TALLY BOX DUMP'!$1:$1,'ACH CALC'!O$2,'TALLY BOX DUMP'!98:98))</f>
        <v>0</v>
      </c>
      <c r="P99" s="21">
        <f ca="1">IF($D99="","",SUMIF('TALLY BOX DUMP'!$1:$1,'ACH CALC'!P$2,'TALLY BOX DUMP'!98:98))</f>
        <v>0</v>
      </c>
      <c r="Q99" s="21">
        <f t="shared" ca="1" si="4"/>
        <v>0</v>
      </c>
      <c r="R99" s="21">
        <f ca="1">IF($D99="","",SUMIF('TALLY BOX DUMP'!$1:$1,'ACH CALC'!R$2,'TALLY BOX DUMP'!98:98))</f>
        <v>0</v>
      </c>
      <c r="S99" s="21">
        <f ca="1">IF($D99="","",SUMIF('TALLY BOX DUMP'!$1:$1,'ACH CALC'!S$2,'TALLY BOX DUMP'!98:98))</f>
        <v>0</v>
      </c>
      <c r="T99" s="21">
        <f ca="1">IF($D99="","",SUMIF('TALLY BOX DUMP'!$1:$1,'ACH CALC'!T$2,'TALLY BOX DUMP'!98:98))</f>
        <v>0</v>
      </c>
      <c r="U99" s="21">
        <f ca="1">IF($D99="","",SUMIF('TALLY BOX DUMP'!$1:$1,'ACH CALC'!U$2,'TALLY BOX DUMP'!98:98))</f>
        <v>0</v>
      </c>
      <c r="V99" s="21">
        <f ca="1">IF($D99="","",SUMIF('TALLY BOX DUMP'!$1:$1,'ACH CALC'!V$2,'TALLY BOX DUMP'!98:98))</f>
        <v>0</v>
      </c>
      <c r="W99" s="21">
        <f ca="1">IF($D99="","",SUMIF('TALLY BOX DUMP'!$1:$1,'ACH CALC'!W$2,'TALLY BOX DUMP'!98:98))</f>
        <v>0</v>
      </c>
      <c r="X99" s="21">
        <f ca="1">IF($D99="","",SUMIF('TALLY BOX DUMP'!$1:$1,'ACH CALC'!X$2,'TALLY BOX DUMP'!98:98))</f>
        <v>0</v>
      </c>
      <c r="Y99" s="21">
        <f ca="1">IF($D99="","",SUMIF('TALLY BOX DUMP'!$1:$1,'ACH CALC'!Y$2,'TALLY BOX DUMP'!98:98))</f>
        <v>0</v>
      </c>
      <c r="Z99" s="21">
        <f ca="1">IF($D99="","",SUMIF('TALLY BOX DUMP'!$1:$1,'ACH CALC'!Z$2,'TALLY BOX DUMP'!98:98)+AE99)</f>
        <v>0</v>
      </c>
      <c r="AA99" s="21">
        <f ca="1">IF($D99="","",SUMIF('TALLY BOX DUMP'!$1:$1,'ACH CALC'!AA$2,'TALLY BOX DUMP'!98:98))</f>
        <v>0</v>
      </c>
      <c r="AB99" s="21">
        <f ca="1">IF($D99="","",SUMIF('TALLY BOX DUMP'!$1:$1,'ACH CALC'!AB$2,'TALLY BOX DUMP'!98:98))</f>
        <v>0</v>
      </c>
      <c r="AC99" s="21">
        <f ca="1">IF($D99="","",SUMIF('TALLY BOX DUMP'!$1:$1,'ACH CALC'!AC$2,'TALLY BOX DUMP'!98:98))</f>
        <v>0</v>
      </c>
      <c r="AD99" s="21">
        <f ca="1">IF($D99="","",SUMIF('TALLY BOX DUMP'!$1:$1,'ACH CALC'!AD$2,'TALLY BOX DUMP'!98:98))</f>
        <v>0</v>
      </c>
      <c r="AE99" s="21">
        <f ca="1">IF($D99="","",SUMIF('TALLY BOX DUMP'!$1:$1,'ACH CALC'!AE$2,'TALLY BOX DUMP'!98:98))</f>
        <v>0</v>
      </c>
      <c r="AF99" s="21">
        <f ca="1">IF($D99="","",SUMIF('TALLY BOX DUMP'!$1:$1,'ACH CALC'!AF$2,'TALLY BOX DUMP'!98:98))</f>
        <v>0</v>
      </c>
      <c r="AG99" s="21">
        <f ca="1">IF($D99="","",SUMIF('TALLY BOX DUMP'!$1:$1,'ACH CALC'!AG$2,'TALLY BOX DUMP'!98:98))</f>
        <v>0</v>
      </c>
      <c r="AH99" s="21">
        <f ca="1">IF($D99="","",SUMIF('TALLY BOX DUMP'!$1:$1,'ACH CALC'!AH$2,'TALLY BOX DUMP'!98:98))</f>
        <v>0</v>
      </c>
      <c r="AI99" s="21">
        <f ca="1">IF($D99="","",SUMIF('TALLY BOX DUMP'!$1:$1,'ACH CALC'!AI$2,'TALLY BOX DUMP'!98:98))</f>
        <v>0</v>
      </c>
      <c r="AJ99" s="21">
        <f ca="1">IF($D99="","",SUMIF('TALLY BOX DUMP'!$1:$1,'ACH CALC'!AJ$2,'TALLY BOX DUMP'!98:98))</f>
        <v>0</v>
      </c>
      <c r="AK99" s="21">
        <f ca="1">IF($D99="","",SUMIF('TALLY BOX DUMP'!$1:$1,'ACH CALC'!AK$2,'TALLY BOX DUMP'!98:98))</f>
        <v>0</v>
      </c>
      <c r="AL99" s="21">
        <f ca="1">IF($D99="","",ROUND(SUMIF('TALLY KG DUMP'!$1:$1,'ACH CALC'!AL$2,'TALLY KG DUMP'!98:98)/30,1))</f>
        <v>0</v>
      </c>
      <c r="AM99" s="21">
        <f ca="1">IF($D99="","",SUMIF('TALLY BOX DUMP'!$1:$1,'ACH CALC'!AM$2,'TALLY BOX DUMP'!98:98))</f>
        <v>0</v>
      </c>
      <c r="AN99" s="21">
        <f ca="1">IF($D99="","",SUMIF('TALLY BOX DUMP'!$1:$1,'ACH CALC'!AN$2,'TALLY BOX DUMP'!98:98))</f>
        <v>0</v>
      </c>
      <c r="AO99" s="21">
        <f ca="1">IF($D99="","",SUMIF('TALLY BOX DUMP'!$1:$1,'ACH CALC'!AO$2,'TALLY BOX DUMP'!98:98))</f>
        <v>0</v>
      </c>
      <c r="AP99" s="21">
        <f ca="1">IF($D99="","",SUMIF('TALLY BOX DUMP'!$1:$1,'ACH CALC'!AP$2,'TALLY BOX DUMP'!98:98))</f>
        <v>0</v>
      </c>
      <c r="AQ99" s="21">
        <f ca="1">IF($D99="","",ROUND(SUMIF('TALLY KG DUMP'!$1:$1,'ACH CALC'!AQ$2,'TALLY KG DUMP'!98:98)/30,1))</f>
        <v>0</v>
      </c>
      <c r="AR99" s="21">
        <f ca="1">IF($D99="","",SUMIF('TALLY BOX DUMP'!$1:$1,'ACH CALC'!AR$2,'TALLY BOX DUMP'!98:98))</f>
        <v>0</v>
      </c>
      <c r="AS99" s="21">
        <f ca="1">IF($D99="","",SUMIF('TALLY BOX DUMP'!$1:$1,'ACH CALC'!AS$2,'TALLY BOX DUMP'!98:98))</f>
        <v>0</v>
      </c>
      <c r="AT99" s="21">
        <f ca="1">IF($D99="","",SUMIF('TALLY BOX DUMP'!$1:$1,'ACH CALC'!AT$2,'TALLY BOX DUMP'!98:98))</f>
        <v>0</v>
      </c>
      <c r="AU99" s="21">
        <f ca="1">IF($D99="","",SUMIF('TALLY BOX DUMP'!$1:$1,'ACH CALC'!AU$2,'TALLY BOX DUMP'!98:98))</f>
        <v>0</v>
      </c>
      <c r="AV99" s="21">
        <f ca="1">IF($D99="","",SUMIF('TALLY BOX DUMP'!$1:$1,'ACH CALC'!AV$2,'TALLY BOX DUMP'!98:98))</f>
        <v>0</v>
      </c>
      <c r="AW99" s="21">
        <f ca="1">IF($D99="","",SUMIF('TALLY BOX DUMP'!$1:$1,'ACH CALC'!AW$2,'TALLY BOX DUMP'!98:98))</f>
        <v>0</v>
      </c>
      <c r="AX99" s="21">
        <f ca="1">IF($D99="","",SUMIF('TALLY BOX DUMP'!$1:$1,'ACH CALC'!AX$2,'TALLY BOX DUMP'!98:98))</f>
        <v>0</v>
      </c>
      <c r="AY99" s="21">
        <f ca="1">IF($D99="","",SUMIF('TALLY BOX DUMP'!$1:$1,'ACH CALC'!AY$2,'TALLY BOX DUMP'!98:98))</f>
        <v>0</v>
      </c>
      <c r="AZ99" s="21">
        <f ca="1">IF($D99="","",SUMIF('TALLY BOX DUMP'!$1:$1,'ACH CALC'!AZ$2,'TALLY BOX DUMP'!98:98))</f>
        <v>0</v>
      </c>
      <c r="BA99" s="69">
        <f>(SUMIF('TALLY KG DUMP'!$2:$2,"Qty",'TALLY KG DUMP'!98:98)/1000)-(SUMIF('TALLY KG DUMP'!$1:$1,"GL",'TALLY KG DUMP'!98:98)/1000)</f>
        <v>0.72799999999999998</v>
      </c>
      <c r="BB99" s="21" t="b">
        <f t="shared" ca="1" si="5"/>
        <v>1</v>
      </c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</row>
    <row r="100" spans="2:75" x14ac:dyDescent="0.25">
      <c r="B100" s="21" t="str">
        <f ca="1"/>
        <v>97</v>
      </c>
      <c r="C100" s="21" t="str">
        <f ca="1"/>
        <v>SUN03935</v>
      </c>
      <c r="D100" s="21" t="str">
        <f ca="1"/>
        <v>KL KUNNAMKULAM MURINGATHERY TRADING COMPANY</v>
      </c>
      <c r="E100" s="21">
        <f ca="1">IF($D100="","",(SUMIF('TALLY KG DUMP'!$2:$2,"Qty",'TALLY KG DUMP'!99:99)/1000)-(SUMIF('TALLY KG DUMP'!$1:$1,"GL",'TALLY KG DUMP'!99:99)/1000))</f>
        <v>0</v>
      </c>
      <c r="F100" s="21">
        <f ca="1">IF($D100="","",(SUMIF('TALLY KG DUMP'!$1:$1,'ACH CALC'!F$2,'TALLY KG DUMP'!99:99)/1000))</f>
        <v>0</v>
      </c>
      <c r="G100" s="21">
        <f ca="1">IF($D100="","",SUMIF('TALLY BOX DUMP'!$1:$1,'ACH CALC'!G$2,'TALLY BOX DUMP'!99:99)+Y100)</f>
        <v>0</v>
      </c>
      <c r="H100" s="21">
        <f t="shared" ca="1" si="3"/>
        <v>0</v>
      </c>
      <c r="I100" s="21">
        <f ca="1">IF($D100="","",SUMIF('TALLY BOX DUMP'!$1:$1,'ACH CALC'!I$2,'TALLY BOX DUMP'!99:99)+AA100)</f>
        <v>0</v>
      </c>
      <c r="J100" s="21">
        <f ca="1">IF($D100="","",SUMIF('TALLY BOX DUMP'!$1:$1,'ACH CALC'!J$2,'TALLY BOX DUMP'!99:99)+AB100)</f>
        <v>0</v>
      </c>
      <c r="K100" s="21">
        <f ca="1">IF($D100="","",SUMIF('TALLY BOX DUMP'!$1:$1,'ACH CALC'!K$2,'TALLY BOX DUMP'!99:99)+AC100)</f>
        <v>0</v>
      </c>
      <c r="L100" s="21">
        <f ca="1">IF($D100="","",SUMIF('TALLY BOX DUMP'!$1:$1,'ACH CALC'!L$2,'TALLY BOX DUMP'!99:99))</f>
        <v>0</v>
      </c>
      <c r="M100" s="21">
        <f ca="1">IF($D100="","",SUMIF('TALLY BOX DUMP'!$1:$1,'ACH CALC'!M$2,'TALLY BOX DUMP'!99:99)+AD100)</f>
        <v>0</v>
      </c>
      <c r="N100" s="21">
        <f ca="1">IF($D100="","",SUMIF('TALLY BOX DUMP'!$1:$1,'ACH CALC'!N$2,'TALLY BOX DUMP'!99:99))</f>
        <v>0</v>
      </c>
      <c r="O100" s="21">
        <f ca="1">IF($D100="","",SUMIF('TALLY BOX DUMP'!$1:$1,'ACH CALC'!O$2,'TALLY BOX DUMP'!99:99))</f>
        <v>0</v>
      </c>
      <c r="P100" s="21">
        <f ca="1">IF($D100="","",SUMIF('TALLY BOX DUMP'!$1:$1,'ACH CALC'!P$2,'TALLY BOX DUMP'!99:99))</f>
        <v>0</v>
      </c>
      <c r="Q100" s="21">
        <f t="shared" ca="1" si="4"/>
        <v>0</v>
      </c>
      <c r="R100" s="21">
        <f ca="1">IF($D100="","",SUMIF('TALLY BOX DUMP'!$1:$1,'ACH CALC'!R$2,'TALLY BOX DUMP'!99:99))</f>
        <v>0</v>
      </c>
      <c r="S100" s="21">
        <f ca="1">IF($D100="","",SUMIF('TALLY BOX DUMP'!$1:$1,'ACH CALC'!S$2,'TALLY BOX DUMP'!99:99))</f>
        <v>0</v>
      </c>
      <c r="T100" s="21">
        <f ca="1">IF($D100="","",SUMIF('TALLY BOX DUMP'!$1:$1,'ACH CALC'!T$2,'TALLY BOX DUMP'!99:99))</f>
        <v>0</v>
      </c>
      <c r="U100" s="21">
        <f ca="1">IF($D100="","",SUMIF('TALLY BOX DUMP'!$1:$1,'ACH CALC'!U$2,'TALLY BOX DUMP'!99:99))</f>
        <v>0</v>
      </c>
      <c r="V100" s="21">
        <f ca="1">IF($D100="","",SUMIF('TALLY BOX DUMP'!$1:$1,'ACH CALC'!V$2,'TALLY BOX DUMP'!99:99))</f>
        <v>0</v>
      </c>
      <c r="W100" s="21">
        <f ca="1">IF($D100="","",SUMIF('TALLY BOX DUMP'!$1:$1,'ACH CALC'!W$2,'TALLY BOX DUMP'!99:99))</f>
        <v>0</v>
      </c>
      <c r="X100" s="21">
        <f ca="1">IF($D100="","",SUMIF('TALLY BOX DUMP'!$1:$1,'ACH CALC'!X$2,'TALLY BOX DUMP'!99:99))</f>
        <v>0</v>
      </c>
      <c r="Y100" s="21">
        <f ca="1">IF($D100="","",SUMIF('TALLY BOX DUMP'!$1:$1,'ACH CALC'!Y$2,'TALLY BOX DUMP'!99:99))</f>
        <v>0</v>
      </c>
      <c r="Z100" s="21">
        <f ca="1">IF($D100="","",SUMIF('TALLY BOX DUMP'!$1:$1,'ACH CALC'!Z$2,'TALLY BOX DUMP'!99:99)+AE100)</f>
        <v>0</v>
      </c>
      <c r="AA100" s="21">
        <f ca="1">IF($D100="","",SUMIF('TALLY BOX DUMP'!$1:$1,'ACH CALC'!AA$2,'TALLY BOX DUMP'!99:99))</f>
        <v>0</v>
      </c>
      <c r="AB100" s="21">
        <f ca="1">IF($D100="","",SUMIF('TALLY BOX DUMP'!$1:$1,'ACH CALC'!AB$2,'TALLY BOX DUMP'!99:99))</f>
        <v>0</v>
      </c>
      <c r="AC100" s="21">
        <f ca="1">IF($D100="","",SUMIF('TALLY BOX DUMP'!$1:$1,'ACH CALC'!AC$2,'TALLY BOX DUMP'!99:99))</f>
        <v>0</v>
      </c>
      <c r="AD100" s="21">
        <f ca="1">IF($D100="","",SUMIF('TALLY BOX DUMP'!$1:$1,'ACH CALC'!AD$2,'TALLY BOX DUMP'!99:99))</f>
        <v>0</v>
      </c>
      <c r="AE100" s="21">
        <f ca="1">IF($D100="","",SUMIF('TALLY BOX DUMP'!$1:$1,'ACH CALC'!AE$2,'TALLY BOX DUMP'!99:99))</f>
        <v>0</v>
      </c>
      <c r="AF100" s="21">
        <f ca="1">IF($D100="","",SUMIF('TALLY BOX DUMP'!$1:$1,'ACH CALC'!AF$2,'TALLY BOX DUMP'!99:99))</f>
        <v>0</v>
      </c>
      <c r="AG100" s="21">
        <f ca="1">IF($D100="","",SUMIF('TALLY BOX DUMP'!$1:$1,'ACH CALC'!AG$2,'TALLY BOX DUMP'!99:99))</f>
        <v>0</v>
      </c>
      <c r="AH100" s="21">
        <f ca="1">IF($D100="","",SUMIF('TALLY BOX DUMP'!$1:$1,'ACH CALC'!AH$2,'TALLY BOX DUMP'!99:99))</f>
        <v>0</v>
      </c>
      <c r="AI100" s="21">
        <f ca="1">IF($D100="","",SUMIF('TALLY BOX DUMP'!$1:$1,'ACH CALC'!AI$2,'TALLY BOX DUMP'!99:99))</f>
        <v>0</v>
      </c>
      <c r="AJ100" s="21">
        <f ca="1">IF($D100="","",SUMIF('TALLY BOX DUMP'!$1:$1,'ACH CALC'!AJ$2,'TALLY BOX DUMP'!99:99))</f>
        <v>0</v>
      </c>
      <c r="AK100" s="21">
        <f ca="1">IF($D100="","",SUMIF('TALLY BOX DUMP'!$1:$1,'ACH CALC'!AK$2,'TALLY BOX DUMP'!99:99))</f>
        <v>0</v>
      </c>
      <c r="AL100" s="21">
        <f ca="1">IF($D100="","",ROUND(SUMIF('TALLY KG DUMP'!$1:$1,'ACH CALC'!AL$2,'TALLY KG DUMP'!99:99)/30,1))</f>
        <v>0</v>
      </c>
      <c r="AM100" s="21">
        <f ca="1">IF($D100="","",SUMIF('TALLY BOX DUMP'!$1:$1,'ACH CALC'!AM$2,'TALLY BOX DUMP'!99:99))</f>
        <v>0</v>
      </c>
      <c r="AN100" s="21">
        <f ca="1">IF($D100="","",SUMIF('TALLY BOX DUMP'!$1:$1,'ACH CALC'!AN$2,'TALLY BOX DUMP'!99:99))</f>
        <v>0</v>
      </c>
      <c r="AO100" s="21">
        <f ca="1">IF($D100="","",SUMIF('TALLY BOX DUMP'!$1:$1,'ACH CALC'!AO$2,'TALLY BOX DUMP'!99:99))</f>
        <v>0</v>
      </c>
      <c r="AP100" s="21">
        <f ca="1">IF($D100="","",SUMIF('TALLY BOX DUMP'!$1:$1,'ACH CALC'!AP$2,'TALLY BOX DUMP'!99:99))</f>
        <v>0</v>
      </c>
      <c r="AQ100" s="21">
        <f ca="1">IF($D100="","",ROUND(SUMIF('TALLY KG DUMP'!$1:$1,'ACH CALC'!AQ$2,'TALLY KG DUMP'!99:99)/30,1))</f>
        <v>0</v>
      </c>
      <c r="AR100" s="21">
        <f ca="1">IF($D100="","",SUMIF('TALLY BOX DUMP'!$1:$1,'ACH CALC'!AR$2,'TALLY BOX DUMP'!99:99))</f>
        <v>0</v>
      </c>
      <c r="AS100" s="21">
        <f ca="1">IF($D100="","",SUMIF('TALLY BOX DUMP'!$1:$1,'ACH CALC'!AS$2,'TALLY BOX DUMP'!99:99))</f>
        <v>0</v>
      </c>
      <c r="AT100" s="21">
        <f ca="1">IF($D100="","",SUMIF('TALLY BOX DUMP'!$1:$1,'ACH CALC'!AT$2,'TALLY BOX DUMP'!99:99))</f>
        <v>0</v>
      </c>
      <c r="AU100" s="21">
        <f ca="1">IF($D100="","",SUMIF('TALLY BOX DUMP'!$1:$1,'ACH CALC'!AU$2,'TALLY BOX DUMP'!99:99))</f>
        <v>0</v>
      </c>
      <c r="AV100" s="21">
        <f ca="1">IF($D100="","",SUMIF('TALLY BOX DUMP'!$1:$1,'ACH CALC'!AV$2,'TALLY BOX DUMP'!99:99))</f>
        <v>0</v>
      </c>
      <c r="AW100" s="21">
        <f ca="1">IF($D100="","",SUMIF('TALLY BOX DUMP'!$1:$1,'ACH CALC'!AW$2,'TALLY BOX DUMP'!99:99))</f>
        <v>0</v>
      </c>
      <c r="AX100" s="21">
        <f ca="1">IF($D100="","",SUMIF('TALLY BOX DUMP'!$1:$1,'ACH CALC'!AX$2,'TALLY BOX DUMP'!99:99))</f>
        <v>0</v>
      </c>
      <c r="AY100" s="21">
        <f ca="1">IF($D100="","",SUMIF('TALLY BOX DUMP'!$1:$1,'ACH CALC'!AY$2,'TALLY BOX DUMP'!99:99))</f>
        <v>0</v>
      </c>
      <c r="AZ100" s="21">
        <f ca="1">IF($D100="","",SUMIF('TALLY BOX DUMP'!$1:$1,'ACH CALC'!AZ$2,'TALLY BOX DUMP'!99:99))</f>
        <v>0</v>
      </c>
      <c r="BA100" s="69">
        <f>(SUMIF('TALLY KG DUMP'!$2:$2,"Qty",'TALLY KG DUMP'!99:99)/1000)-(SUMIF('TALLY KG DUMP'!$1:$1,"GL",'TALLY KG DUMP'!99:99)/1000)</f>
        <v>0</v>
      </c>
      <c r="BB100" s="21" t="b">
        <f t="shared" ca="1" si="5"/>
        <v>1</v>
      </c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</row>
    <row r="101" spans="2:75" x14ac:dyDescent="0.25">
      <c r="B101" s="21" t="str">
        <f ca="1"/>
        <v>98</v>
      </c>
      <c r="C101" s="21" t="str">
        <f ca="1"/>
        <v>SUN01952</v>
      </c>
      <c r="D101" s="21" t="str">
        <f ca="1"/>
        <v>KALLAKURICHI SRI AGENCIES</v>
      </c>
      <c r="E101" s="21">
        <f ca="1">IF($D101="","",(SUMIF('TALLY KG DUMP'!$2:$2,"Qty",'TALLY KG DUMP'!100:100)/1000)-(SUMIF('TALLY KG DUMP'!$1:$1,"GL",'TALLY KG DUMP'!100:100)/1000))</f>
        <v>6.0339999999999998</v>
      </c>
      <c r="F101" s="21">
        <f ca="1">IF($D101="","",(SUMIF('TALLY KG DUMP'!$1:$1,'ACH CALC'!F$2,'TALLY KG DUMP'!100:100)/1000))</f>
        <v>0</v>
      </c>
      <c r="G101" s="21">
        <f ca="1">IF($D101="","",SUMIF('TALLY BOX DUMP'!$1:$1,'ACH CALC'!G$2,'TALLY BOX DUMP'!100:100)+Y101)</f>
        <v>0</v>
      </c>
      <c r="H101" s="21">
        <f t="shared" ca="1" si="3"/>
        <v>0</v>
      </c>
      <c r="I101" s="21">
        <f ca="1">IF($D101="","",SUMIF('TALLY BOX DUMP'!$1:$1,'ACH CALC'!I$2,'TALLY BOX DUMP'!100:100)+AA101)</f>
        <v>0</v>
      </c>
      <c r="J101" s="21">
        <f ca="1">IF($D101="","",SUMIF('TALLY BOX DUMP'!$1:$1,'ACH CALC'!J$2,'TALLY BOX DUMP'!100:100)+AB101)</f>
        <v>0</v>
      </c>
      <c r="K101" s="21">
        <f ca="1">IF($D101="","",SUMIF('TALLY BOX DUMP'!$1:$1,'ACH CALC'!K$2,'TALLY BOX DUMP'!100:100)+AC101)</f>
        <v>0</v>
      </c>
      <c r="L101" s="21">
        <f ca="1">IF($D101="","",SUMIF('TALLY BOX DUMP'!$1:$1,'ACH CALC'!L$2,'TALLY BOX DUMP'!100:100))</f>
        <v>0</v>
      </c>
      <c r="M101" s="21">
        <f ca="1">IF($D101="","",SUMIF('TALLY BOX DUMP'!$1:$1,'ACH CALC'!M$2,'TALLY BOX DUMP'!100:100)+AD101)</f>
        <v>0</v>
      </c>
      <c r="N101" s="21">
        <f ca="1">IF($D101="","",SUMIF('TALLY BOX DUMP'!$1:$1,'ACH CALC'!N$2,'TALLY BOX DUMP'!100:100))</f>
        <v>0</v>
      </c>
      <c r="O101" s="21">
        <f ca="1">IF($D101="","",SUMIF('TALLY BOX DUMP'!$1:$1,'ACH CALC'!O$2,'TALLY BOX DUMP'!100:100))</f>
        <v>0</v>
      </c>
      <c r="P101" s="21">
        <f ca="1">IF($D101="","",SUMIF('TALLY BOX DUMP'!$1:$1,'ACH CALC'!P$2,'TALLY BOX DUMP'!100:100))</f>
        <v>0</v>
      </c>
      <c r="Q101" s="21">
        <f t="shared" ca="1" si="4"/>
        <v>0</v>
      </c>
      <c r="R101" s="21">
        <f ca="1">IF($D101="","",SUMIF('TALLY BOX DUMP'!$1:$1,'ACH CALC'!R$2,'TALLY BOX DUMP'!100:100))</f>
        <v>0</v>
      </c>
      <c r="S101" s="21">
        <f ca="1">IF($D101="","",SUMIF('TALLY BOX DUMP'!$1:$1,'ACH CALC'!S$2,'TALLY BOX DUMP'!100:100))</f>
        <v>0</v>
      </c>
      <c r="T101" s="21">
        <f ca="1">IF($D101="","",SUMIF('TALLY BOX DUMP'!$1:$1,'ACH CALC'!T$2,'TALLY BOX DUMP'!100:100))</f>
        <v>0</v>
      </c>
      <c r="U101" s="21">
        <f ca="1">IF($D101="","",SUMIF('TALLY BOX DUMP'!$1:$1,'ACH CALC'!U$2,'TALLY BOX DUMP'!100:100))</f>
        <v>0</v>
      </c>
      <c r="V101" s="21">
        <f ca="1">IF($D101="","",SUMIF('TALLY BOX DUMP'!$1:$1,'ACH CALC'!V$2,'TALLY BOX DUMP'!100:100))</f>
        <v>0</v>
      </c>
      <c r="W101" s="21">
        <f ca="1">IF($D101="","",SUMIF('TALLY BOX DUMP'!$1:$1,'ACH CALC'!W$2,'TALLY BOX DUMP'!100:100))</f>
        <v>0</v>
      </c>
      <c r="X101" s="21">
        <f ca="1">IF($D101="","",SUMIF('TALLY BOX DUMP'!$1:$1,'ACH CALC'!X$2,'TALLY BOX DUMP'!100:100))</f>
        <v>0</v>
      </c>
      <c r="Y101" s="21">
        <f ca="1">IF($D101="","",SUMIF('TALLY BOX DUMP'!$1:$1,'ACH CALC'!Y$2,'TALLY BOX DUMP'!100:100))</f>
        <v>0</v>
      </c>
      <c r="Z101" s="21">
        <f ca="1">IF($D101="","",SUMIF('TALLY BOX DUMP'!$1:$1,'ACH CALC'!Z$2,'TALLY BOX DUMP'!100:100)+AE101)</f>
        <v>0</v>
      </c>
      <c r="AA101" s="21">
        <f ca="1">IF($D101="","",SUMIF('TALLY BOX DUMP'!$1:$1,'ACH CALC'!AA$2,'TALLY BOX DUMP'!100:100))</f>
        <v>0</v>
      </c>
      <c r="AB101" s="21">
        <f ca="1">IF($D101="","",SUMIF('TALLY BOX DUMP'!$1:$1,'ACH CALC'!AB$2,'TALLY BOX DUMP'!100:100))</f>
        <v>0</v>
      </c>
      <c r="AC101" s="21">
        <f ca="1">IF($D101="","",SUMIF('TALLY BOX DUMP'!$1:$1,'ACH CALC'!AC$2,'TALLY BOX DUMP'!100:100))</f>
        <v>0</v>
      </c>
      <c r="AD101" s="21">
        <f ca="1">IF($D101="","",SUMIF('TALLY BOX DUMP'!$1:$1,'ACH CALC'!AD$2,'TALLY BOX DUMP'!100:100))</f>
        <v>0</v>
      </c>
      <c r="AE101" s="21">
        <f ca="1">IF($D101="","",SUMIF('TALLY BOX DUMP'!$1:$1,'ACH CALC'!AE$2,'TALLY BOX DUMP'!100:100))</f>
        <v>0</v>
      </c>
      <c r="AF101" s="21">
        <f ca="1">IF($D101="","",SUMIF('TALLY BOX DUMP'!$1:$1,'ACH CALC'!AF$2,'TALLY BOX DUMP'!100:100))</f>
        <v>0</v>
      </c>
      <c r="AG101" s="21">
        <f ca="1">IF($D101="","",SUMIF('TALLY BOX DUMP'!$1:$1,'ACH CALC'!AG$2,'TALLY BOX DUMP'!100:100))</f>
        <v>0</v>
      </c>
      <c r="AH101" s="21">
        <f ca="1">IF($D101="","",SUMIF('TALLY BOX DUMP'!$1:$1,'ACH CALC'!AH$2,'TALLY BOX DUMP'!100:100))</f>
        <v>0</v>
      </c>
      <c r="AI101" s="21">
        <f ca="1">IF($D101="","",SUMIF('TALLY BOX DUMP'!$1:$1,'ACH CALC'!AI$2,'TALLY BOX DUMP'!100:100))</f>
        <v>0</v>
      </c>
      <c r="AJ101" s="21">
        <f ca="1">IF($D101="","",SUMIF('TALLY BOX DUMP'!$1:$1,'ACH CALC'!AJ$2,'TALLY BOX DUMP'!100:100))</f>
        <v>0</v>
      </c>
      <c r="AK101" s="21">
        <f ca="1">IF($D101="","",SUMIF('TALLY BOX DUMP'!$1:$1,'ACH CALC'!AK$2,'TALLY BOX DUMP'!100:100))</f>
        <v>0</v>
      </c>
      <c r="AL101" s="21">
        <f ca="1">IF($D101="","",ROUND(SUMIF('TALLY KG DUMP'!$1:$1,'ACH CALC'!AL$2,'TALLY KG DUMP'!100:100)/30,1))</f>
        <v>0</v>
      </c>
      <c r="AM101" s="21">
        <f ca="1">IF($D101="","",SUMIF('TALLY BOX DUMP'!$1:$1,'ACH CALC'!AM$2,'TALLY BOX DUMP'!100:100))</f>
        <v>0</v>
      </c>
      <c r="AN101" s="21">
        <f ca="1">IF($D101="","",SUMIF('TALLY BOX DUMP'!$1:$1,'ACH CALC'!AN$2,'TALLY BOX DUMP'!100:100))</f>
        <v>0</v>
      </c>
      <c r="AO101" s="21">
        <f ca="1">IF($D101="","",SUMIF('TALLY BOX DUMP'!$1:$1,'ACH CALC'!AO$2,'TALLY BOX DUMP'!100:100))</f>
        <v>0</v>
      </c>
      <c r="AP101" s="21">
        <f ca="1">IF($D101="","",SUMIF('TALLY BOX DUMP'!$1:$1,'ACH CALC'!AP$2,'TALLY BOX DUMP'!100:100))</f>
        <v>0</v>
      </c>
      <c r="AQ101" s="21">
        <f ca="1">IF($D101="","",ROUND(SUMIF('TALLY KG DUMP'!$1:$1,'ACH CALC'!AQ$2,'TALLY KG DUMP'!100:100)/30,1))</f>
        <v>0</v>
      </c>
      <c r="AR101" s="21">
        <f ca="1">IF($D101="","",SUMIF('TALLY BOX DUMP'!$1:$1,'ACH CALC'!AR$2,'TALLY BOX DUMP'!100:100))</f>
        <v>0</v>
      </c>
      <c r="AS101" s="21">
        <f ca="1">IF($D101="","",SUMIF('TALLY BOX DUMP'!$1:$1,'ACH CALC'!AS$2,'TALLY BOX DUMP'!100:100))</f>
        <v>0</v>
      </c>
      <c r="AT101" s="21">
        <f ca="1">IF($D101="","",SUMIF('TALLY BOX DUMP'!$1:$1,'ACH CALC'!AT$2,'TALLY BOX DUMP'!100:100))</f>
        <v>0</v>
      </c>
      <c r="AU101" s="21">
        <f ca="1">IF($D101="","",SUMIF('TALLY BOX DUMP'!$1:$1,'ACH CALC'!AU$2,'TALLY BOX DUMP'!100:100))</f>
        <v>0</v>
      </c>
      <c r="AV101" s="21">
        <f ca="1">IF($D101="","",SUMIF('TALLY BOX DUMP'!$1:$1,'ACH CALC'!AV$2,'TALLY BOX DUMP'!100:100))</f>
        <v>0</v>
      </c>
      <c r="AW101" s="21">
        <f ca="1">IF($D101="","",SUMIF('TALLY BOX DUMP'!$1:$1,'ACH CALC'!AW$2,'TALLY BOX DUMP'!100:100))</f>
        <v>0</v>
      </c>
      <c r="AX101" s="21">
        <f ca="1">IF($D101="","",SUMIF('TALLY BOX DUMP'!$1:$1,'ACH CALC'!AX$2,'TALLY BOX DUMP'!100:100))</f>
        <v>0</v>
      </c>
      <c r="AY101" s="21">
        <f ca="1">IF($D101="","",SUMIF('TALLY BOX DUMP'!$1:$1,'ACH CALC'!AY$2,'TALLY BOX DUMP'!100:100))</f>
        <v>0</v>
      </c>
      <c r="AZ101" s="21">
        <f ca="1">IF($D101="","",SUMIF('TALLY BOX DUMP'!$1:$1,'ACH CALC'!AZ$2,'TALLY BOX DUMP'!100:100))</f>
        <v>0</v>
      </c>
      <c r="BA101" s="69">
        <f>(SUMIF('TALLY KG DUMP'!$2:$2,"Qty",'TALLY KG DUMP'!100:100)/1000)-(SUMIF('TALLY KG DUMP'!$1:$1,"GL",'TALLY KG DUMP'!100:100)/1000)</f>
        <v>6.0339999999999998</v>
      </c>
      <c r="BB101" s="21" t="b">
        <f t="shared" ca="1" si="5"/>
        <v>1</v>
      </c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</row>
    <row r="102" spans="2:75" x14ac:dyDescent="0.25">
      <c r="B102" s="21" t="str">
        <f ca="1"/>
        <v>99</v>
      </c>
      <c r="C102" s="21" t="str">
        <f ca="1"/>
        <v>SUN05538</v>
      </c>
      <c r="D102" s="21" t="str">
        <f ca="1"/>
        <v>DHARMAPURI-CAVINKARE PRIVATE LIMITED</v>
      </c>
      <c r="E102" s="21">
        <f ca="1">IF($D102="","",(SUMIF('TALLY KG DUMP'!$2:$2,"Qty",'TALLY KG DUMP'!101:101)/1000)-(SUMIF('TALLY KG DUMP'!$1:$1,"GL",'TALLY KG DUMP'!101:101)/1000))</f>
        <v>0</v>
      </c>
      <c r="F102" s="21">
        <f ca="1">IF($D102="","",(SUMIF('TALLY KG DUMP'!$1:$1,'ACH CALC'!F$2,'TALLY KG DUMP'!101:101)/1000))</f>
        <v>0</v>
      </c>
      <c r="G102" s="21">
        <f ca="1">IF($D102="","",SUMIF('TALLY BOX DUMP'!$1:$1,'ACH CALC'!G$2,'TALLY BOX DUMP'!101:101)+Y102)</f>
        <v>0</v>
      </c>
      <c r="H102" s="21">
        <f t="shared" ca="1" si="3"/>
        <v>0</v>
      </c>
      <c r="I102" s="21">
        <f ca="1">IF($D102="","",SUMIF('TALLY BOX DUMP'!$1:$1,'ACH CALC'!I$2,'TALLY BOX DUMP'!101:101)+AA102)</f>
        <v>0</v>
      </c>
      <c r="J102" s="21">
        <f ca="1">IF($D102="","",SUMIF('TALLY BOX DUMP'!$1:$1,'ACH CALC'!J$2,'TALLY BOX DUMP'!101:101)+AB102)</f>
        <v>0</v>
      </c>
      <c r="K102" s="21">
        <f ca="1">IF($D102="","",SUMIF('TALLY BOX DUMP'!$1:$1,'ACH CALC'!K$2,'TALLY BOX DUMP'!101:101)+AC102)</f>
        <v>0</v>
      </c>
      <c r="L102" s="21">
        <f ca="1">IF($D102="","",SUMIF('TALLY BOX DUMP'!$1:$1,'ACH CALC'!L$2,'TALLY BOX DUMP'!101:101))</f>
        <v>0</v>
      </c>
      <c r="M102" s="21">
        <f ca="1">IF($D102="","",SUMIF('TALLY BOX DUMP'!$1:$1,'ACH CALC'!M$2,'TALLY BOX DUMP'!101:101)+AD102)</f>
        <v>0</v>
      </c>
      <c r="N102" s="21">
        <f ca="1">IF($D102="","",SUMIF('TALLY BOX DUMP'!$1:$1,'ACH CALC'!N$2,'TALLY BOX DUMP'!101:101))</f>
        <v>0</v>
      </c>
      <c r="O102" s="21">
        <f ca="1">IF($D102="","",SUMIF('TALLY BOX DUMP'!$1:$1,'ACH CALC'!O$2,'TALLY BOX DUMP'!101:101))</f>
        <v>0</v>
      </c>
      <c r="P102" s="21">
        <f ca="1">IF($D102="","",SUMIF('TALLY BOX DUMP'!$1:$1,'ACH CALC'!P$2,'TALLY BOX DUMP'!101:101))</f>
        <v>0</v>
      </c>
      <c r="Q102" s="21">
        <f t="shared" ca="1" si="4"/>
        <v>0</v>
      </c>
      <c r="R102" s="21">
        <f ca="1">IF($D102="","",SUMIF('TALLY BOX DUMP'!$1:$1,'ACH CALC'!R$2,'TALLY BOX DUMP'!101:101))</f>
        <v>0</v>
      </c>
      <c r="S102" s="21">
        <f ca="1">IF($D102="","",SUMIF('TALLY BOX DUMP'!$1:$1,'ACH CALC'!S$2,'TALLY BOX DUMP'!101:101))</f>
        <v>0</v>
      </c>
      <c r="T102" s="21">
        <f ca="1">IF($D102="","",SUMIF('TALLY BOX DUMP'!$1:$1,'ACH CALC'!T$2,'TALLY BOX DUMP'!101:101))</f>
        <v>0</v>
      </c>
      <c r="U102" s="21">
        <f ca="1">IF($D102="","",SUMIF('TALLY BOX DUMP'!$1:$1,'ACH CALC'!U$2,'TALLY BOX DUMP'!101:101))</f>
        <v>0</v>
      </c>
      <c r="V102" s="21">
        <f ca="1">IF($D102="","",SUMIF('TALLY BOX DUMP'!$1:$1,'ACH CALC'!V$2,'TALLY BOX DUMP'!101:101))</f>
        <v>0</v>
      </c>
      <c r="W102" s="21">
        <f ca="1">IF($D102="","",SUMIF('TALLY BOX DUMP'!$1:$1,'ACH CALC'!W$2,'TALLY BOX DUMP'!101:101))</f>
        <v>0</v>
      </c>
      <c r="X102" s="21">
        <f ca="1">IF($D102="","",SUMIF('TALLY BOX DUMP'!$1:$1,'ACH CALC'!X$2,'TALLY BOX DUMP'!101:101))</f>
        <v>0</v>
      </c>
      <c r="Y102" s="21">
        <f ca="1">IF($D102="","",SUMIF('TALLY BOX DUMP'!$1:$1,'ACH CALC'!Y$2,'TALLY BOX DUMP'!101:101))</f>
        <v>0</v>
      </c>
      <c r="Z102" s="21">
        <f ca="1">IF($D102="","",SUMIF('TALLY BOX DUMP'!$1:$1,'ACH CALC'!Z$2,'TALLY BOX DUMP'!101:101)+AE102)</f>
        <v>0</v>
      </c>
      <c r="AA102" s="21">
        <f ca="1">IF($D102="","",SUMIF('TALLY BOX DUMP'!$1:$1,'ACH CALC'!AA$2,'TALLY BOX DUMP'!101:101))</f>
        <v>0</v>
      </c>
      <c r="AB102" s="21">
        <f ca="1">IF($D102="","",SUMIF('TALLY BOX DUMP'!$1:$1,'ACH CALC'!AB$2,'TALLY BOX DUMP'!101:101))</f>
        <v>0</v>
      </c>
      <c r="AC102" s="21">
        <f ca="1">IF($D102="","",SUMIF('TALLY BOX DUMP'!$1:$1,'ACH CALC'!AC$2,'TALLY BOX DUMP'!101:101))</f>
        <v>0</v>
      </c>
      <c r="AD102" s="21">
        <f ca="1">IF($D102="","",SUMIF('TALLY BOX DUMP'!$1:$1,'ACH CALC'!AD$2,'TALLY BOX DUMP'!101:101))</f>
        <v>0</v>
      </c>
      <c r="AE102" s="21">
        <f ca="1">IF($D102="","",SUMIF('TALLY BOX DUMP'!$1:$1,'ACH CALC'!AE$2,'TALLY BOX DUMP'!101:101))</f>
        <v>0</v>
      </c>
      <c r="AF102" s="21">
        <f ca="1">IF($D102="","",SUMIF('TALLY BOX DUMP'!$1:$1,'ACH CALC'!AF$2,'TALLY BOX DUMP'!101:101))</f>
        <v>0</v>
      </c>
      <c r="AG102" s="21">
        <f ca="1">IF($D102="","",SUMIF('TALLY BOX DUMP'!$1:$1,'ACH CALC'!AG$2,'TALLY BOX DUMP'!101:101))</f>
        <v>0</v>
      </c>
      <c r="AH102" s="21">
        <f ca="1">IF($D102="","",SUMIF('TALLY BOX DUMP'!$1:$1,'ACH CALC'!AH$2,'TALLY BOX DUMP'!101:101))</f>
        <v>0</v>
      </c>
      <c r="AI102" s="21">
        <f ca="1">IF($D102="","",SUMIF('TALLY BOX DUMP'!$1:$1,'ACH CALC'!AI$2,'TALLY BOX DUMP'!101:101))</f>
        <v>0</v>
      </c>
      <c r="AJ102" s="21">
        <f ca="1">IF($D102="","",SUMIF('TALLY BOX DUMP'!$1:$1,'ACH CALC'!AJ$2,'TALLY BOX DUMP'!101:101))</f>
        <v>0</v>
      </c>
      <c r="AK102" s="21">
        <f ca="1">IF($D102="","",SUMIF('TALLY BOX DUMP'!$1:$1,'ACH CALC'!AK$2,'TALLY BOX DUMP'!101:101))</f>
        <v>0</v>
      </c>
      <c r="AL102" s="21">
        <f ca="1">IF($D102="","",ROUND(SUMIF('TALLY KG DUMP'!$1:$1,'ACH CALC'!AL$2,'TALLY KG DUMP'!101:101)/30,1))</f>
        <v>0</v>
      </c>
      <c r="AM102" s="21">
        <f ca="1">IF($D102="","",SUMIF('TALLY BOX DUMP'!$1:$1,'ACH CALC'!AM$2,'TALLY BOX DUMP'!101:101))</f>
        <v>0</v>
      </c>
      <c r="AN102" s="21">
        <f ca="1">IF($D102="","",SUMIF('TALLY BOX DUMP'!$1:$1,'ACH CALC'!AN$2,'TALLY BOX DUMP'!101:101))</f>
        <v>0</v>
      </c>
      <c r="AO102" s="21">
        <f ca="1">IF($D102="","",SUMIF('TALLY BOX DUMP'!$1:$1,'ACH CALC'!AO$2,'TALLY BOX DUMP'!101:101))</f>
        <v>0</v>
      </c>
      <c r="AP102" s="21">
        <f ca="1">IF($D102="","",SUMIF('TALLY BOX DUMP'!$1:$1,'ACH CALC'!AP$2,'TALLY BOX DUMP'!101:101))</f>
        <v>0</v>
      </c>
      <c r="AQ102" s="21">
        <f ca="1">IF($D102="","",ROUND(SUMIF('TALLY KG DUMP'!$1:$1,'ACH CALC'!AQ$2,'TALLY KG DUMP'!101:101)/30,1))</f>
        <v>0</v>
      </c>
      <c r="AR102" s="21">
        <f ca="1">IF($D102="","",SUMIF('TALLY BOX DUMP'!$1:$1,'ACH CALC'!AR$2,'TALLY BOX DUMP'!101:101))</f>
        <v>0</v>
      </c>
      <c r="AS102" s="21">
        <f ca="1">IF($D102="","",SUMIF('TALLY BOX DUMP'!$1:$1,'ACH CALC'!AS$2,'TALLY BOX DUMP'!101:101))</f>
        <v>0</v>
      </c>
      <c r="AT102" s="21">
        <f ca="1">IF($D102="","",SUMIF('TALLY BOX DUMP'!$1:$1,'ACH CALC'!AT$2,'TALLY BOX DUMP'!101:101))</f>
        <v>0</v>
      </c>
      <c r="AU102" s="21">
        <f ca="1">IF($D102="","",SUMIF('TALLY BOX DUMP'!$1:$1,'ACH CALC'!AU$2,'TALLY BOX DUMP'!101:101))</f>
        <v>0</v>
      </c>
      <c r="AV102" s="21">
        <f ca="1">IF($D102="","",SUMIF('TALLY BOX DUMP'!$1:$1,'ACH CALC'!AV$2,'TALLY BOX DUMP'!101:101))</f>
        <v>0</v>
      </c>
      <c r="AW102" s="21">
        <f ca="1">IF($D102="","",SUMIF('TALLY BOX DUMP'!$1:$1,'ACH CALC'!AW$2,'TALLY BOX DUMP'!101:101))</f>
        <v>0</v>
      </c>
      <c r="AX102" s="21">
        <f ca="1">IF($D102="","",SUMIF('TALLY BOX DUMP'!$1:$1,'ACH CALC'!AX$2,'TALLY BOX DUMP'!101:101))</f>
        <v>0</v>
      </c>
      <c r="AY102" s="21">
        <f ca="1">IF($D102="","",SUMIF('TALLY BOX DUMP'!$1:$1,'ACH CALC'!AY$2,'TALLY BOX DUMP'!101:101))</f>
        <v>0</v>
      </c>
      <c r="AZ102" s="21">
        <f ca="1">IF($D102="","",SUMIF('TALLY BOX DUMP'!$1:$1,'ACH CALC'!AZ$2,'TALLY BOX DUMP'!101:101))</f>
        <v>0</v>
      </c>
      <c r="BA102" s="69">
        <f>(SUMIF('TALLY KG DUMP'!$2:$2,"Qty",'TALLY KG DUMP'!101:101)/1000)-(SUMIF('TALLY KG DUMP'!$1:$1,"GL",'TALLY KG DUMP'!101:101)/1000)</f>
        <v>0</v>
      </c>
      <c r="BB102" s="21" t="b">
        <f t="shared" ca="1" si="5"/>
        <v>1</v>
      </c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</row>
    <row r="103" spans="2:75" x14ac:dyDescent="0.25">
      <c r="B103" s="21" t="str">
        <f ca="1"/>
        <v>100</v>
      </c>
      <c r="C103" s="21" t="str">
        <f ca="1"/>
        <v>SUN07359</v>
      </c>
      <c r="D103" s="21" t="str">
        <f ca="1"/>
        <v>THAVALAKUPPAM-MAHALAKSHMI AGENCY</v>
      </c>
      <c r="E103" s="21">
        <f ca="1">IF($D103="","",(SUMIF('TALLY KG DUMP'!$2:$2,"Qty",'TALLY KG DUMP'!102:102)/1000)-(SUMIF('TALLY KG DUMP'!$1:$1,"GL",'TALLY KG DUMP'!102:102)/1000))</f>
        <v>6.4560000000000004</v>
      </c>
      <c r="F103" s="21">
        <f ca="1">IF($D103="","",(SUMIF('TALLY KG DUMP'!$1:$1,'ACH CALC'!F$2,'TALLY KG DUMP'!102:102)/1000))</f>
        <v>0</v>
      </c>
      <c r="G103" s="21">
        <f ca="1">IF($D103="","",SUMIF('TALLY BOX DUMP'!$1:$1,'ACH CALC'!G$2,'TALLY BOX DUMP'!102:102)+Y103)</f>
        <v>0</v>
      </c>
      <c r="H103" s="21">
        <f t="shared" ca="1" si="3"/>
        <v>0</v>
      </c>
      <c r="I103" s="21">
        <f ca="1">IF($D103="","",SUMIF('TALLY BOX DUMP'!$1:$1,'ACH CALC'!I$2,'TALLY BOX DUMP'!102:102)+AA103)</f>
        <v>0</v>
      </c>
      <c r="J103" s="21">
        <f ca="1">IF($D103="","",SUMIF('TALLY BOX DUMP'!$1:$1,'ACH CALC'!J$2,'TALLY BOX DUMP'!102:102)+AB103)</f>
        <v>0</v>
      </c>
      <c r="K103" s="21">
        <f ca="1">IF($D103="","",SUMIF('TALLY BOX DUMP'!$1:$1,'ACH CALC'!K$2,'TALLY BOX DUMP'!102:102)+AC103)</f>
        <v>0</v>
      </c>
      <c r="L103" s="21">
        <f ca="1">IF($D103="","",SUMIF('TALLY BOX DUMP'!$1:$1,'ACH CALC'!L$2,'TALLY BOX DUMP'!102:102))</f>
        <v>0</v>
      </c>
      <c r="M103" s="21">
        <f ca="1">IF($D103="","",SUMIF('TALLY BOX DUMP'!$1:$1,'ACH CALC'!M$2,'TALLY BOX DUMP'!102:102)+AD103)</f>
        <v>0</v>
      </c>
      <c r="N103" s="21">
        <f ca="1">IF($D103="","",SUMIF('TALLY BOX DUMP'!$1:$1,'ACH CALC'!N$2,'TALLY BOX DUMP'!102:102))</f>
        <v>0</v>
      </c>
      <c r="O103" s="21">
        <f ca="1">IF($D103="","",SUMIF('TALLY BOX DUMP'!$1:$1,'ACH CALC'!O$2,'TALLY BOX DUMP'!102:102))</f>
        <v>0</v>
      </c>
      <c r="P103" s="21">
        <f ca="1">IF($D103="","",SUMIF('TALLY BOX DUMP'!$1:$1,'ACH CALC'!P$2,'TALLY BOX DUMP'!102:102))</f>
        <v>0</v>
      </c>
      <c r="Q103" s="21">
        <f t="shared" ca="1" si="4"/>
        <v>0</v>
      </c>
      <c r="R103" s="21">
        <f ca="1">IF($D103="","",SUMIF('TALLY BOX DUMP'!$1:$1,'ACH CALC'!R$2,'TALLY BOX DUMP'!102:102))</f>
        <v>0</v>
      </c>
      <c r="S103" s="21">
        <f ca="1">IF($D103="","",SUMIF('TALLY BOX DUMP'!$1:$1,'ACH CALC'!S$2,'TALLY BOX DUMP'!102:102))</f>
        <v>0</v>
      </c>
      <c r="T103" s="21">
        <f ca="1">IF($D103="","",SUMIF('TALLY BOX DUMP'!$1:$1,'ACH CALC'!T$2,'TALLY BOX DUMP'!102:102))</f>
        <v>0</v>
      </c>
      <c r="U103" s="21">
        <f ca="1">IF($D103="","",SUMIF('TALLY BOX DUMP'!$1:$1,'ACH CALC'!U$2,'TALLY BOX DUMP'!102:102))</f>
        <v>0</v>
      </c>
      <c r="V103" s="21">
        <f ca="1">IF($D103="","",SUMIF('TALLY BOX DUMP'!$1:$1,'ACH CALC'!V$2,'TALLY BOX DUMP'!102:102))</f>
        <v>0</v>
      </c>
      <c r="W103" s="21">
        <f ca="1">IF($D103="","",SUMIF('TALLY BOX DUMP'!$1:$1,'ACH CALC'!W$2,'TALLY BOX DUMP'!102:102))</f>
        <v>0</v>
      </c>
      <c r="X103" s="21">
        <f ca="1">IF($D103="","",SUMIF('TALLY BOX DUMP'!$1:$1,'ACH CALC'!X$2,'TALLY BOX DUMP'!102:102))</f>
        <v>0</v>
      </c>
      <c r="Y103" s="21">
        <f ca="1">IF($D103="","",SUMIF('TALLY BOX DUMP'!$1:$1,'ACH CALC'!Y$2,'TALLY BOX DUMP'!102:102))</f>
        <v>0</v>
      </c>
      <c r="Z103" s="21">
        <f ca="1">IF($D103="","",SUMIF('TALLY BOX DUMP'!$1:$1,'ACH CALC'!Z$2,'TALLY BOX DUMP'!102:102)+AE103)</f>
        <v>0</v>
      </c>
      <c r="AA103" s="21">
        <f ca="1">IF($D103="","",SUMIF('TALLY BOX DUMP'!$1:$1,'ACH CALC'!AA$2,'TALLY BOX DUMP'!102:102))</f>
        <v>0</v>
      </c>
      <c r="AB103" s="21">
        <f ca="1">IF($D103="","",SUMIF('TALLY BOX DUMP'!$1:$1,'ACH CALC'!AB$2,'TALLY BOX DUMP'!102:102))</f>
        <v>0</v>
      </c>
      <c r="AC103" s="21">
        <f ca="1">IF($D103="","",SUMIF('TALLY BOX DUMP'!$1:$1,'ACH CALC'!AC$2,'TALLY BOX DUMP'!102:102))</f>
        <v>0</v>
      </c>
      <c r="AD103" s="21">
        <f ca="1">IF($D103="","",SUMIF('TALLY BOX DUMP'!$1:$1,'ACH CALC'!AD$2,'TALLY BOX DUMP'!102:102))</f>
        <v>0</v>
      </c>
      <c r="AE103" s="21">
        <f ca="1">IF($D103="","",SUMIF('TALLY BOX DUMP'!$1:$1,'ACH CALC'!AE$2,'TALLY BOX DUMP'!102:102))</f>
        <v>0</v>
      </c>
      <c r="AF103" s="21">
        <f ca="1">IF($D103="","",SUMIF('TALLY BOX DUMP'!$1:$1,'ACH CALC'!AF$2,'TALLY BOX DUMP'!102:102))</f>
        <v>0</v>
      </c>
      <c r="AG103" s="21">
        <f ca="1">IF($D103="","",SUMIF('TALLY BOX DUMP'!$1:$1,'ACH CALC'!AG$2,'TALLY BOX DUMP'!102:102))</f>
        <v>0</v>
      </c>
      <c r="AH103" s="21">
        <f ca="1">IF($D103="","",SUMIF('TALLY BOX DUMP'!$1:$1,'ACH CALC'!AH$2,'TALLY BOX DUMP'!102:102))</f>
        <v>0</v>
      </c>
      <c r="AI103" s="21">
        <f ca="1">IF($D103="","",SUMIF('TALLY BOX DUMP'!$1:$1,'ACH CALC'!AI$2,'TALLY BOX DUMP'!102:102))</f>
        <v>0</v>
      </c>
      <c r="AJ103" s="21">
        <f ca="1">IF($D103="","",SUMIF('TALLY BOX DUMP'!$1:$1,'ACH CALC'!AJ$2,'TALLY BOX DUMP'!102:102))</f>
        <v>0</v>
      </c>
      <c r="AK103" s="21">
        <f ca="1">IF($D103="","",SUMIF('TALLY BOX DUMP'!$1:$1,'ACH CALC'!AK$2,'TALLY BOX DUMP'!102:102))</f>
        <v>0</v>
      </c>
      <c r="AL103" s="21">
        <f ca="1">IF($D103="","",ROUND(SUMIF('TALLY KG DUMP'!$1:$1,'ACH CALC'!AL$2,'TALLY KG DUMP'!102:102)/30,1))</f>
        <v>0</v>
      </c>
      <c r="AM103" s="21">
        <f ca="1">IF($D103="","",SUMIF('TALLY BOX DUMP'!$1:$1,'ACH CALC'!AM$2,'TALLY BOX DUMP'!102:102))</f>
        <v>0</v>
      </c>
      <c r="AN103" s="21">
        <f ca="1">IF($D103="","",SUMIF('TALLY BOX DUMP'!$1:$1,'ACH CALC'!AN$2,'TALLY BOX DUMP'!102:102))</f>
        <v>0</v>
      </c>
      <c r="AO103" s="21">
        <f ca="1">IF($D103="","",SUMIF('TALLY BOX DUMP'!$1:$1,'ACH CALC'!AO$2,'TALLY BOX DUMP'!102:102))</f>
        <v>0</v>
      </c>
      <c r="AP103" s="21">
        <f ca="1">IF($D103="","",SUMIF('TALLY BOX DUMP'!$1:$1,'ACH CALC'!AP$2,'TALLY BOX DUMP'!102:102))</f>
        <v>0</v>
      </c>
      <c r="AQ103" s="21">
        <f ca="1">IF($D103="","",ROUND(SUMIF('TALLY KG DUMP'!$1:$1,'ACH CALC'!AQ$2,'TALLY KG DUMP'!102:102)/30,1))</f>
        <v>0</v>
      </c>
      <c r="AR103" s="21">
        <f ca="1">IF($D103="","",SUMIF('TALLY BOX DUMP'!$1:$1,'ACH CALC'!AR$2,'TALLY BOX DUMP'!102:102))</f>
        <v>0</v>
      </c>
      <c r="AS103" s="21">
        <f ca="1">IF($D103="","",SUMIF('TALLY BOX DUMP'!$1:$1,'ACH CALC'!AS$2,'TALLY BOX DUMP'!102:102))</f>
        <v>0</v>
      </c>
      <c r="AT103" s="21">
        <f ca="1">IF($D103="","",SUMIF('TALLY BOX DUMP'!$1:$1,'ACH CALC'!AT$2,'TALLY BOX DUMP'!102:102))</f>
        <v>0</v>
      </c>
      <c r="AU103" s="21">
        <f ca="1">IF($D103="","",SUMIF('TALLY BOX DUMP'!$1:$1,'ACH CALC'!AU$2,'TALLY BOX DUMP'!102:102))</f>
        <v>0</v>
      </c>
      <c r="AV103" s="21">
        <f ca="1">IF($D103="","",SUMIF('TALLY BOX DUMP'!$1:$1,'ACH CALC'!AV$2,'TALLY BOX DUMP'!102:102))</f>
        <v>0</v>
      </c>
      <c r="AW103" s="21">
        <f ca="1">IF($D103="","",SUMIF('TALLY BOX DUMP'!$1:$1,'ACH CALC'!AW$2,'TALLY BOX DUMP'!102:102))</f>
        <v>0</v>
      </c>
      <c r="AX103" s="21">
        <f ca="1">IF($D103="","",SUMIF('TALLY BOX DUMP'!$1:$1,'ACH CALC'!AX$2,'TALLY BOX DUMP'!102:102))</f>
        <v>0</v>
      </c>
      <c r="AY103" s="21">
        <f ca="1">IF($D103="","",SUMIF('TALLY BOX DUMP'!$1:$1,'ACH CALC'!AY$2,'TALLY BOX DUMP'!102:102))</f>
        <v>0</v>
      </c>
      <c r="AZ103" s="21">
        <f ca="1">IF($D103="","",SUMIF('TALLY BOX DUMP'!$1:$1,'ACH CALC'!AZ$2,'TALLY BOX DUMP'!102:102))</f>
        <v>0</v>
      </c>
      <c r="BA103" s="69">
        <f>(SUMIF('TALLY KG DUMP'!$2:$2,"Qty",'TALLY KG DUMP'!102:102)/1000)-(SUMIF('TALLY KG DUMP'!$1:$1,"GL",'TALLY KG DUMP'!102:102)/1000)</f>
        <v>6.4560000000000004</v>
      </c>
      <c r="BB103" s="21" t="b">
        <f t="shared" ca="1" si="5"/>
        <v>1</v>
      </c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</row>
    <row r="104" spans="2:75" x14ac:dyDescent="0.25">
      <c r="B104" s="21" t="str">
        <f ca="1"/>
        <v>101</v>
      </c>
      <c r="C104" s="21" t="str">
        <f ca="1"/>
        <v>SUN06833</v>
      </c>
      <c r="D104" s="21" t="str">
        <f ca="1"/>
        <v>PUDUCHERRY-K.M.P AGENCY</v>
      </c>
      <c r="E104" s="21">
        <f ca="1">IF($D104="","",(SUMIF('TALLY KG DUMP'!$2:$2,"Qty",'TALLY KG DUMP'!103:103)/1000)-(SUMIF('TALLY KG DUMP'!$1:$1,"GL",'TALLY KG DUMP'!103:103)/1000))</f>
        <v>6.5780000000000003</v>
      </c>
      <c r="F104" s="21">
        <f ca="1">IF($D104="","",(SUMIF('TALLY KG DUMP'!$1:$1,'ACH CALC'!F$2,'TALLY KG DUMP'!103:103)/1000))</f>
        <v>0</v>
      </c>
      <c r="G104" s="21">
        <f ca="1">IF($D104="","",SUMIF('TALLY BOX DUMP'!$1:$1,'ACH CALC'!G$2,'TALLY BOX DUMP'!103:103)+Y104)</f>
        <v>0</v>
      </c>
      <c r="H104" s="21">
        <f t="shared" ca="1" si="3"/>
        <v>0</v>
      </c>
      <c r="I104" s="21">
        <f ca="1">IF($D104="","",SUMIF('TALLY BOX DUMP'!$1:$1,'ACH CALC'!I$2,'TALLY BOX DUMP'!103:103)+AA104)</f>
        <v>0</v>
      </c>
      <c r="J104" s="21">
        <f ca="1">IF($D104="","",SUMIF('TALLY BOX DUMP'!$1:$1,'ACH CALC'!J$2,'TALLY BOX DUMP'!103:103)+AB104)</f>
        <v>0</v>
      </c>
      <c r="K104" s="21">
        <f ca="1">IF($D104="","",SUMIF('TALLY BOX DUMP'!$1:$1,'ACH CALC'!K$2,'TALLY BOX DUMP'!103:103)+AC104)</f>
        <v>0</v>
      </c>
      <c r="L104" s="21">
        <f ca="1">IF($D104="","",SUMIF('TALLY BOX DUMP'!$1:$1,'ACH CALC'!L$2,'TALLY BOX DUMP'!103:103))</f>
        <v>0</v>
      </c>
      <c r="M104" s="21">
        <f ca="1">IF($D104="","",SUMIF('TALLY BOX DUMP'!$1:$1,'ACH CALC'!M$2,'TALLY BOX DUMP'!103:103)+AD104)</f>
        <v>0</v>
      </c>
      <c r="N104" s="21">
        <f ca="1">IF($D104="","",SUMIF('TALLY BOX DUMP'!$1:$1,'ACH CALC'!N$2,'TALLY BOX DUMP'!103:103))</f>
        <v>0</v>
      </c>
      <c r="O104" s="21">
        <f ca="1">IF($D104="","",SUMIF('TALLY BOX DUMP'!$1:$1,'ACH CALC'!O$2,'TALLY BOX DUMP'!103:103))</f>
        <v>0</v>
      </c>
      <c r="P104" s="21">
        <f ca="1">IF($D104="","",SUMIF('TALLY BOX DUMP'!$1:$1,'ACH CALC'!P$2,'TALLY BOX DUMP'!103:103))</f>
        <v>0</v>
      </c>
      <c r="Q104" s="21">
        <f t="shared" ca="1" si="4"/>
        <v>0</v>
      </c>
      <c r="R104" s="21">
        <f ca="1">IF($D104="","",SUMIF('TALLY BOX DUMP'!$1:$1,'ACH CALC'!R$2,'TALLY BOX DUMP'!103:103))</f>
        <v>0</v>
      </c>
      <c r="S104" s="21">
        <f ca="1">IF($D104="","",SUMIF('TALLY BOX DUMP'!$1:$1,'ACH CALC'!S$2,'TALLY BOX DUMP'!103:103))</f>
        <v>0</v>
      </c>
      <c r="T104" s="21">
        <f ca="1">IF($D104="","",SUMIF('TALLY BOX DUMP'!$1:$1,'ACH CALC'!T$2,'TALLY BOX DUMP'!103:103))</f>
        <v>0</v>
      </c>
      <c r="U104" s="21">
        <f ca="1">IF($D104="","",SUMIF('TALLY BOX DUMP'!$1:$1,'ACH CALC'!U$2,'TALLY BOX DUMP'!103:103))</f>
        <v>0</v>
      </c>
      <c r="V104" s="21">
        <f ca="1">IF($D104="","",SUMIF('TALLY BOX DUMP'!$1:$1,'ACH CALC'!V$2,'TALLY BOX DUMP'!103:103))</f>
        <v>0</v>
      </c>
      <c r="W104" s="21">
        <f ca="1">IF($D104="","",SUMIF('TALLY BOX DUMP'!$1:$1,'ACH CALC'!W$2,'TALLY BOX DUMP'!103:103))</f>
        <v>0</v>
      </c>
      <c r="X104" s="21">
        <f ca="1">IF($D104="","",SUMIF('TALLY BOX DUMP'!$1:$1,'ACH CALC'!X$2,'TALLY BOX DUMP'!103:103))</f>
        <v>0</v>
      </c>
      <c r="Y104" s="21">
        <f ca="1">IF($D104="","",SUMIF('TALLY BOX DUMP'!$1:$1,'ACH CALC'!Y$2,'TALLY BOX DUMP'!103:103))</f>
        <v>0</v>
      </c>
      <c r="Z104" s="21">
        <f ca="1">IF($D104="","",SUMIF('TALLY BOX DUMP'!$1:$1,'ACH CALC'!Z$2,'TALLY BOX DUMP'!103:103)+AE104)</f>
        <v>0</v>
      </c>
      <c r="AA104" s="21">
        <f ca="1">IF($D104="","",SUMIF('TALLY BOX DUMP'!$1:$1,'ACH CALC'!AA$2,'TALLY BOX DUMP'!103:103))</f>
        <v>0</v>
      </c>
      <c r="AB104" s="21">
        <f ca="1">IF($D104="","",SUMIF('TALLY BOX DUMP'!$1:$1,'ACH CALC'!AB$2,'TALLY BOX DUMP'!103:103))</f>
        <v>0</v>
      </c>
      <c r="AC104" s="21">
        <f ca="1">IF($D104="","",SUMIF('TALLY BOX DUMP'!$1:$1,'ACH CALC'!AC$2,'TALLY BOX DUMP'!103:103))</f>
        <v>0</v>
      </c>
      <c r="AD104" s="21">
        <f ca="1">IF($D104="","",SUMIF('TALLY BOX DUMP'!$1:$1,'ACH CALC'!AD$2,'TALLY BOX DUMP'!103:103))</f>
        <v>0</v>
      </c>
      <c r="AE104" s="21">
        <f ca="1">IF($D104="","",SUMIF('TALLY BOX DUMP'!$1:$1,'ACH CALC'!AE$2,'TALLY BOX DUMP'!103:103))</f>
        <v>0</v>
      </c>
      <c r="AF104" s="21">
        <f ca="1">IF($D104="","",SUMIF('TALLY BOX DUMP'!$1:$1,'ACH CALC'!AF$2,'TALLY BOX DUMP'!103:103))</f>
        <v>0</v>
      </c>
      <c r="AG104" s="21">
        <f ca="1">IF($D104="","",SUMIF('TALLY BOX DUMP'!$1:$1,'ACH CALC'!AG$2,'TALLY BOX DUMP'!103:103))</f>
        <v>0</v>
      </c>
      <c r="AH104" s="21">
        <f ca="1">IF($D104="","",SUMIF('TALLY BOX DUMP'!$1:$1,'ACH CALC'!AH$2,'TALLY BOX DUMP'!103:103))</f>
        <v>0</v>
      </c>
      <c r="AI104" s="21">
        <f ca="1">IF($D104="","",SUMIF('TALLY BOX DUMP'!$1:$1,'ACH CALC'!AI$2,'TALLY BOX DUMP'!103:103))</f>
        <v>0</v>
      </c>
      <c r="AJ104" s="21">
        <f ca="1">IF($D104="","",SUMIF('TALLY BOX DUMP'!$1:$1,'ACH CALC'!AJ$2,'TALLY BOX DUMP'!103:103))</f>
        <v>0</v>
      </c>
      <c r="AK104" s="21">
        <f ca="1">IF($D104="","",SUMIF('TALLY BOX DUMP'!$1:$1,'ACH CALC'!AK$2,'TALLY BOX DUMP'!103:103))</f>
        <v>0</v>
      </c>
      <c r="AL104" s="21">
        <f ca="1">IF($D104="","",ROUND(SUMIF('TALLY KG DUMP'!$1:$1,'ACH CALC'!AL$2,'TALLY KG DUMP'!103:103)/30,1))</f>
        <v>0</v>
      </c>
      <c r="AM104" s="21">
        <f ca="1">IF($D104="","",SUMIF('TALLY BOX DUMP'!$1:$1,'ACH CALC'!AM$2,'TALLY BOX DUMP'!103:103))</f>
        <v>0</v>
      </c>
      <c r="AN104" s="21">
        <f ca="1">IF($D104="","",SUMIF('TALLY BOX DUMP'!$1:$1,'ACH CALC'!AN$2,'TALLY BOX DUMP'!103:103))</f>
        <v>0</v>
      </c>
      <c r="AO104" s="21">
        <f ca="1">IF($D104="","",SUMIF('TALLY BOX DUMP'!$1:$1,'ACH CALC'!AO$2,'TALLY BOX DUMP'!103:103))</f>
        <v>0</v>
      </c>
      <c r="AP104" s="21">
        <f ca="1">IF($D104="","",SUMIF('TALLY BOX DUMP'!$1:$1,'ACH CALC'!AP$2,'TALLY BOX DUMP'!103:103))</f>
        <v>0</v>
      </c>
      <c r="AQ104" s="21">
        <f ca="1">IF($D104="","",ROUND(SUMIF('TALLY KG DUMP'!$1:$1,'ACH CALC'!AQ$2,'TALLY KG DUMP'!103:103)/30,1))</f>
        <v>0</v>
      </c>
      <c r="AR104" s="21">
        <f ca="1">IF($D104="","",SUMIF('TALLY BOX DUMP'!$1:$1,'ACH CALC'!AR$2,'TALLY BOX DUMP'!103:103))</f>
        <v>0</v>
      </c>
      <c r="AS104" s="21">
        <f ca="1">IF($D104="","",SUMIF('TALLY BOX DUMP'!$1:$1,'ACH CALC'!AS$2,'TALLY BOX DUMP'!103:103))</f>
        <v>0</v>
      </c>
      <c r="AT104" s="21">
        <f ca="1">IF($D104="","",SUMIF('TALLY BOX DUMP'!$1:$1,'ACH CALC'!AT$2,'TALLY BOX DUMP'!103:103))</f>
        <v>0</v>
      </c>
      <c r="AU104" s="21">
        <f ca="1">IF($D104="","",SUMIF('TALLY BOX DUMP'!$1:$1,'ACH CALC'!AU$2,'TALLY BOX DUMP'!103:103))</f>
        <v>0</v>
      </c>
      <c r="AV104" s="21">
        <f ca="1">IF($D104="","",SUMIF('TALLY BOX DUMP'!$1:$1,'ACH CALC'!AV$2,'TALLY BOX DUMP'!103:103))</f>
        <v>0</v>
      </c>
      <c r="AW104" s="21">
        <f ca="1">IF($D104="","",SUMIF('TALLY BOX DUMP'!$1:$1,'ACH CALC'!AW$2,'TALLY BOX DUMP'!103:103))</f>
        <v>0</v>
      </c>
      <c r="AX104" s="21">
        <f ca="1">IF($D104="","",SUMIF('TALLY BOX DUMP'!$1:$1,'ACH CALC'!AX$2,'TALLY BOX DUMP'!103:103))</f>
        <v>0</v>
      </c>
      <c r="AY104" s="21">
        <f ca="1">IF($D104="","",SUMIF('TALLY BOX DUMP'!$1:$1,'ACH CALC'!AY$2,'TALLY BOX DUMP'!103:103))</f>
        <v>0</v>
      </c>
      <c r="AZ104" s="21">
        <f ca="1">IF($D104="","",SUMIF('TALLY BOX DUMP'!$1:$1,'ACH CALC'!AZ$2,'TALLY BOX DUMP'!103:103))</f>
        <v>0</v>
      </c>
      <c r="BA104" s="69">
        <f>(SUMIF('TALLY KG DUMP'!$2:$2,"Qty",'TALLY KG DUMP'!103:103)/1000)-(SUMIF('TALLY KG DUMP'!$1:$1,"GL",'TALLY KG DUMP'!103:103)/1000)</f>
        <v>6.5780000000000003</v>
      </c>
      <c r="BB104" s="21" t="b">
        <f t="shared" ca="1" si="5"/>
        <v>1</v>
      </c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</row>
    <row r="105" spans="2:75" x14ac:dyDescent="0.25">
      <c r="B105" s="21" t="str">
        <f ca="1"/>
        <v>102</v>
      </c>
      <c r="C105" s="21" t="str">
        <f ca="1"/>
        <v>SUN01145</v>
      </c>
      <c r="D105" s="21" t="str">
        <f ca="1"/>
        <v>PONDY J.B ENTERPRISES</v>
      </c>
      <c r="E105" s="21">
        <f ca="1">IF($D105="","",(SUMIF('TALLY KG DUMP'!$2:$2,"Qty",'TALLY KG DUMP'!104:104)/1000)-(SUMIF('TALLY KG DUMP'!$1:$1,"GL",'TALLY KG DUMP'!104:104)/1000))</f>
        <v>2.0270000000000001</v>
      </c>
      <c r="F105" s="21">
        <f ca="1">IF($D105="","",(SUMIF('TALLY KG DUMP'!$1:$1,'ACH CALC'!F$2,'TALLY KG DUMP'!104:104)/1000))</f>
        <v>0</v>
      </c>
      <c r="G105" s="21">
        <f ca="1">IF($D105="","",SUMIF('TALLY BOX DUMP'!$1:$1,'ACH CALC'!G$2,'TALLY BOX DUMP'!104:104)+Y105)</f>
        <v>0</v>
      </c>
      <c r="H105" s="21">
        <f t="shared" ca="1" si="3"/>
        <v>0</v>
      </c>
      <c r="I105" s="21">
        <f ca="1">IF($D105="","",SUMIF('TALLY BOX DUMP'!$1:$1,'ACH CALC'!I$2,'TALLY BOX DUMP'!104:104)+AA105)</f>
        <v>0</v>
      </c>
      <c r="J105" s="21">
        <f ca="1">IF($D105="","",SUMIF('TALLY BOX DUMP'!$1:$1,'ACH CALC'!J$2,'TALLY BOX DUMP'!104:104)+AB105)</f>
        <v>0</v>
      </c>
      <c r="K105" s="21">
        <f ca="1">IF($D105="","",SUMIF('TALLY BOX DUMP'!$1:$1,'ACH CALC'!K$2,'TALLY BOX DUMP'!104:104)+AC105)</f>
        <v>0</v>
      </c>
      <c r="L105" s="21">
        <f ca="1">IF($D105="","",SUMIF('TALLY BOX DUMP'!$1:$1,'ACH CALC'!L$2,'TALLY BOX DUMP'!104:104))</f>
        <v>0</v>
      </c>
      <c r="M105" s="21">
        <f ca="1">IF($D105="","",SUMIF('TALLY BOX DUMP'!$1:$1,'ACH CALC'!M$2,'TALLY BOX DUMP'!104:104)+AD105)</f>
        <v>0</v>
      </c>
      <c r="N105" s="21">
        <f ca="1">IF($D105="","",SUMIF('TALLY BOX DUMP'!$1:$1,'ACH CALC'!N$2,'TALLY BOX DUMP'!104:104))</f>
        <v>0</v>
      </c>
      <c r="O105" s="21">
        <f ca="1">IF($D105="","",SUMIF('TALLY BOX DUMP'!$1:$1,'ACH CALC'!O$2,'TALLY BOX DUMP'!104:104))</f>
        <v>0</v>
      </c>
      <c r="P105" s="21">
        <f ca="1">IF($D105="","",SUMIF('TALLY BOX DUMP'!$1:$1,'ACH CALC'!P$2,'TALLY BOX DUMP'!104:104))</f>
        <v>0</v>
      </c>
      <c r="Q105" s="21">
        <f t="shared" ca="1" si="4"/>
        <v>0</v>
      </c>
      <c r="R105" s="21">
        <f ca="1">IF($D105="","",SUMIF('TALLY BOX DUMP'!$1:$1,'ACH CALC'!R$2,'TALLY BOX DUMP'!104:104))</f>
        <v>0</v>
      </c>
      <c r="S105" s="21">
        <f ca="1">IF($D105="","",SUMIF('TALLY BOX DUMP'!$1:$1,'ACH CALC'!S$2,'TALLY BOX DUMP'!104:104))</f>
        <v>0</v>
      </c>
      <c r="T105" s="21">
        <f ca="1">IF($D105="","",SUMIF('TALLY BOX DUMP'!$1:$1,'ACH CALC'!T$2,'TALLY BOX DUMP'!104:104))</f>
        <v>0</v>
      </c>
      <c r="U105" s="21">
        <f ca="1">IF($D105="","",SUMIF('TALLY BOX DUMP'!$1:$1,'ACH CALC'!U$2,'TALLY BOX DUMP'!104:104))</f>
        <v>0</v>
      </c>
      <c r="V105" s="21">
        <f ca="1">IF($D105="","",SUMIF('TALLY BOX DUMP'!$1:$1,'ACH CALC'!V$2,'TALLY BOX DUMP'!104:104))</f>
        <v>0</v>
      </c>
      <c r="W105" s="21">
        <f ca="1">IF($D105="","",SUMIF('TALLY BOX DUMP'!$1:$1,'ACH CALC'!W$2,'TALLY BOX DUMP'!104:104))</f>
        <v>0</v>
      </c>
      <c r="X105" s="21">
        <f ca="1">IF($D105="","",SUMIF('TALLY BOX DUMP'!$1:$1,'ACH CALC'!X$2,'TALLY BOX DUMP'!104:104))</f>
        <v>0</v>
      </c>
      <c r="Y105" s="21">
        <f ca="1">IF($D105="","",SUMIF('TALLY BOX DUMP'!$1:$1,'ACH CALC'!Y$2,'TALLY BOX DUMP'!104:104))</f>
        <v>0</v>
      </c>
      <c r="Z105" s="21">
        <f ca="1">IF($D105="","",SUMIF('TALLY BOX DUMP'!$1:$1,'ACH CALC'!Z$2,'TALLY BOX DUMP'!104:104)+AE105)</f>
        <v>0</v>
      </c>
      <c r="AA105" s="21">
        <f ca="1">IF($D105="","",SUMIF('TALLY BOX DUMP'!$1:$1,'ACH CALC'!AA$2,'TALLY BOX DUMP'!104:104))</f>
        <v>0</v>
      </c>
      <c r="AB105" s="21">
        <f ca="1">IF($D105="","",SUMIF('TALLY BOX DUMP'!$1:$1,'ACH CALC'!AB$2,'TALLY BOX DUMP'!104:104))</f>
        <v>0</v>
      </c>
      <c r="AC105" s="21">
        <f ca="1">IF($D105="","",SUMIF('TALLY BOX DUMP'!$1:$1,'ACH CALC'!AC$2,'TALLY BOX DUMP'!104:104))</f>
        <v>0</v>
      </c>
      <c r="AD105" s="21">
        <f ca="1">IF($D105="","",SUMIF('TALLY BOX DUMP'!$1:$1,'ACH CALC'!AD$2,'TALLY BOX DUMP'!104:104))</f>
        <v>0</v>
      </c>
      <c r="AE105" s="21">
        <f ca="1">IF($D105="","",SUMIF('TALLY BOX DUMP'!$1:$1,'ACH CALC'!AE$2,'TALLY BOX DUMP'!104:104))</f>
        <v>0</v>
      </c>
      <c r="AF105" s="21">
        <f ca="1">IF($D105="","",SUMIF('TALLY BOX DUMP'!$1:$1,'ACH CALC'!AF$2,'TALLY BOX DUMP'!104:104))</f>
        <v>0</v>
      </c>
      <c r="AG105" s="21">
        <f ca="1">IF($D105="","",SUMIF('TALLY BOX DUMP'!$1:$1,'ACH CALC'!AG$2,'TALLY BOX DUMP'!104:104))</f>
        <v>0</v>
      </c>
      <c r="AH105" s="21">
        <f ca="1">IF($D105="","",SUMIF('TALLY BOX DUMP'!$1:$1,'ACH CALC'!AH$2,'TALLY BOX DUMP'!104:104))</f>
        <v>0</v>
      </c>
      <c r="AI105" s="21">
        <f ca="1">IF($D105="","",SUMIF('TALLY BOX DUMP'!$1:$1,'ACH CALC'!AI$2,'TALLY BOX DUMP'!104:104))</f>
        <v>0</v>
      </c>
      <c r="AJ105" s="21">
        <f ca="1">IF($D105="","",SUMIF('TALLY BOX DUMP'!$1:$1,'ACH CALC'!AJ$2,'TALLY BOX DUMP'!104:104))</f>
        <v>0</v>
      </c>
      <c r="AK105" s="21">
        <f ca="1">IF($D105="","",SUMIF('TALLY BOX DUMP'!$1:$1,'ACH CALC'!AK$2,'TALLY BOX DUMP'!104:104))</f>
        <v>0</v>
      </c>
      <c r="AL105" s="21">
        <f ca="1">IF($D105="","",ROUND(SUMIF('TALLY KG DUMP'!$1:$1,'ACH CALC'!AL$2,'TALLY KG DUMP'!104:104)/30,1))</f>
        <v>0</v>
      </c>
      <c r="AM105" s="21">
        <f ca="1">IF($D105="","",SUMIF('TALLY BOX DUMP'!$1:$1,'ACH CALC'!AM$2,'TALLY BOX DUMP'!104:104))</f>
        <v>3</v>
      </c>
      <c r="AN105" s="21">
        <f ca="1">IF($D105="","",SUMIF('TALLY BOX DUMP'!$1:$1,'ACH CALC'!AN$2,'TALLY BOX DUMP'!104:104))</f>
        <v>0</v>
      </c>
      <c r="AO105" s="21">
        <f ca="1">IF($D105="","",SUMIF('TALLY BOX DUMP'!$1:$1,'ACH CALC'!AO$2,'TALLY BOX DUMP'!104:104))</f>
        <v>1</v>
      </c>
      <c r="AP105" s="21">
        <f ca="1">IF($D105="","",SUMIF('TALLY BOX DUMP'!$1:$1,'ACH CALC'!AP$2,'TALLY BOX DUMP'!104:104))</f>
        <v>0</v>
      </c>
      <c r="AQ105" s="21">
        <f ca="1">IF($D105="","",ROUND(SUMIF('TALLY KG DUMP'!$1:$1,'ACH CALC'!AQ$2,'TALLY KG DUMP'!104:104)/30,1))</f>
        <v>0</v>
      </c>
      <c r="AR105" s="21">
        <f ca="1">IF($D105="","",SUMIF('TALLY BOX DUMP'!$1:$1,'ACH CALC'!AR$2,'TALLY BOX DUMP'!104:104))</f>
        <v>0</v>
      </c>
      <c r="AS105" s="21">
        <f ca="1">IF($D105="","",SUMIF('TALLY BOX DUMP'!$1:$1,'ACH CALC'!AS$2,'TALLY BOX DUMP'!104:104))</f>
        <v>0</v>
      </c>
      <c r="AT105" s="21">
        <f ca="1">IF($D105="","",SUMIF('TALLY BOX DUMP'!$1:$1,'ACH CALC'!AT$2,'TALLY BOX DUMP'!104:104))</f>
        <v>0</v>
      </c>
      <c r="AU105" s="21">
        <f ca="1">IF($D105="","",SUMIF('TALLY BOX DUMP'!$1:$1,'ACH CALC'!AU$2,'TALLY BOX DUMP'!104:104))</f>
        <v>0</v>
      </c>
      <c r="AV105" s="21">
        <f ca="1">IF($D105="","",SUMIF('TALLY BOX DUMP'!$1:$1,'ACH CALC'!AV$2,'TALLY BOX DUMP'!104:104))</f>
        <v>0</v>
      </c>
      <c r="AW105" s="21">
        <f ca="1">IF($D105="","",SUMIF('TALLY BOX DUMP'!$1:$1,'ACH CALC'!AW$2,'TALLY BOX DUMP'!104:104))</f>
        <v>0</v>
      </c>
      <c r="AX105" s="21">
        <f ca="1">IF($D105="","",SUMIF('TALLY BOX DUMP'!$1:$1,'ACH CALC'!AX$2,'TALLY BOX DUMP'!104:104))</f>
        <v>0</v>
      </c>
      <c r="AY105" s="21">
        <f ca="1">IF($D105="","",SUMIF('TALLY BOX DUMP'!$1:$1,'ACH CALC'!AY$2,'TALLY BOX DUMP'!104:104))</f>
        <v>0</v>
      </c>
      <c r="AZ105" s="21">
        <f ca="1">IF($D105="","",SUMIF('TALLY BOX DUMP'!$1:$1,'ACH CALC'!AZ$2,'TALLY BOX DUMP'!104:104))</f>
        <v>0</v>
      </c>
      <c r="BA105" s="69">
        <f>(SUMIF('TALLY KG DUMP'!$2:$2,"Qty",'TALLY KG DUMP'!104:104)/1000)-(SUMIF('TALLY KG DUMP'!$1:$1,"GL",'TALLY KG DUMP'!104:104)/1000)</f>
        <v>2.0270000000000001</v>
      </c>
      <c r="BB105" s="21" t="b">
        <f t="shared" ca="1" si="5"/>
        <v>1</v>
      </c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</row>
    <row r="106" spans="2:75" x14ac:dyDescent="0.25">
      <c r="B106" s="21" t="str">
        <f ca="1"/>
        <v>103</v>
      </c>
      <c r="C106" s="21" t="str">
        <f ca="1"/>
        <v>SUN02291</v>
      </c>
      <c r="D106" s="21" t="str">
        <f ca="1"/>
        <v>CBE SULUR AVENUE SUPERMARTS LIMITED</v>
      </c>
      <c r="E106" s="21">
        <f ca="1">IF($D106="","",(SUMIF('TALLY KG DUMP'!$2:$2,"Qty",'TALLY KG DUMP'!105:105)/1000)-(SUMIF('TALLY KG DUMP'!$1:$1,"GL",'TALLY KG DUMP'!105:105)/1000))</f>
        <v>9.1820000000000004</v>
      </c>
      <c r="F106" s="21">
        <f ca="1">IF($D106="","",(SUMIF('TALLY KG DUMP'!$1:$1,'ACH CALC'!F$2,'TALLY KG DUMP'!105:105)/1000))</f>
        <v>0</v>
      </c>
      <c r="G106" s="21">
        <f ca="1">IF($D106="","",SUMIF('TALLY BOX DUMP'!$1:$1,'ACH CALC'!G$2,'TALLY BOX DUMP'!105:105)+Y106)</f>
        <v>0</v>
      </c>
      <c r="H106" s="21">
        <f t="shared" ca="1" si="3"/>
        <v>97</v>
      </c>
      <c r="I106" s="21">
        <f ca="1">IF($D106="","",SUMIF('TALLY BOX DUMP'!$1:$1,'ACH CALC'!I$2,'TALLY BOX DUMP'!105:105)+AA106)</f>
        <v>90</v>
      </c>
      <c r="J106" s="21">
        <f ca="1">IF($D106="","",SUMIF('TALLY BOX DUMP'!$1:$1,'ACH CALC'!J$2,'TALLY BOX DUMP'!105:105)+AB106)</f>
        <v>0</v>
      </c>
      <c r="K106" s="21">
        <f ca="1">IF($D106="","",SUMIF('TALLY BOX DUMP'!$1:$1,'ACH CALC'!K$2,'TALLY BOX DUMP'!105:105)+AC106)</f>
        <v>7</v>
      </c>
      <c r="L106" s="21">
        <f ca="1">IF($D106="","",SUMIF('TALLY BOX DUMP'!$1:$1,'ACH CALC'!L$2,'TALLY BOX DUMP'!105:105))</f>
        <v>0</v>
      </c>
      <c r="M106" s="21">
        <f ca="1">IF($D106="","",SUMIF('TALLY BOX DUMP'!$1:$1,'ACH CALC'!M$2,'TALLY BOX DUMP'!105:105)+AD106)</f>
        <v>0</v>
      </c>
      <c r="N106" s="21">
        <f ca="1">IF($D106="","",SUMIF('TALLY BOX DUMP'!$1:$1,'ACH CALC'!N$2,'TALLY BOX DUMP'!105:105))</f>
        <v>0</v>
      </c>
      <c r="O106" s="21">
        <f ca="1">IF($D106="","",SUMIF('TALLY BOX DUMP'!$1:$1,'ACH CALC'!O$2,'TALLY BOX DUMP'!105:105))</f>
        <v>0</v>
      </c>
      <c r="P106" s="21">
        <f ca="1">IF($D106="","",SUMIF('TALLY BOX DUMP'!$1:$1,'ACH CALC'!P$2,'TALLY BOX DUMP'!105:105))</f>
        <v>0</v>
      </c>
      <c r="Q106" s="21">
        <f t="shared" ca="1" si="4"/>
        <v>0</v>
      </c>
      <c r="R106" s="21">
        <f ca="1">IF($D106="","",SUMIF('TALLY BOX DUMP'!$1:$1,'ACH CALC'!R$2,'TALLY BOX DUMP'!105:105))</f>
        <v>0</v>
      </c>
      <c r="S106" s="21">
        <f ca="1">IF($D106="","",SUMIF('TALLY BOX DUMP'!$1:$1,'ACH CALC'!S$2,'TALLY BOX DUMP'!105:105))</f>
        <v>0</v>
      </c>
      <c r="T106" s="21">
        <f ca="1">IF($D106="","",SUMIF('TALLY BOX DUMP'!$1:$1,'ACH CALC'!T$2,'TALLY BOX DUMP'!105:105))</f>
        <v>0</v>
      </c>
      <c r="U106" s="21">
        <f ca="1">IF($D106="","",SUMIF('TALLY BOX DUMP'!$1:$1,'ACH CALC'!U$2,'TALLY BOX DUMP'!105:105))</f>
        <v>0</v>
      </c>
      <c r="V106" s="21">
        <f ca="1">IF($D106="","",SUMIF('TALLY BOX DUMP'!$1:$1,'ACH CALC'!V$2,'TALLY BOX DUMP'!105:105))</f>
        <v>0</v>
      </c>
      <c r="W106" s="21">
        <f ca="1">IF($D106="","",SUMIF('TALLY BOX DUMP'!$1:$1,'ACH CALC'!W$2,'TALLY BOX DUMP'!105:105))</f>
        <v>0</v>
      </c>
      <c r="X106" s="21">
        <f ca="1">IF($D106="","",SUMIF('TALLY BOX DUMP'!$1:$1,'ACH CALC'!X$2,'TALLY BOX DUMP'!105:105))</f>
        <v>0</v>
      </c>
      <c r="Y106" s="21">
        <f ca="1">IF($D106="","",SUMIF('TALLY BOX DUMP'!$1:$1,'ACH CALC'!Y$2,'TALLY BOX DUMP'!105:105))</f>
        <v>0</v>
      </c>
      <c r="Z106" s="21">
        <f ca="1">IF($D106="","",SUMIF('TALLY BOX DUMP'!$1:$1,'ACH CALC'!Z$2,'TALLY BOX DUMP'!105:105)+AE106)</f>
        <v>0</v>
      </c>
      <c r="AA106" s="21">
        <f ca="1">IF($D106="","",SUMIF('TALLY BOX DUMP'!$1:$1,'ACH CALC'!AA$2,'TALLY BOX DUMP'!105:105))</f>
        <v>0</v>
      </c>
      <c r="AB106" s="21">
        <f ca="1">IF($D106="","",SUMIF('TALLY BOX DUMP'!$1:$1,'ACH CALC'!AB$2,'TALLY BOX DUMP'!105:105))</f>
        <v>0</v>
      </c>
      <c r="AC106" s="21">
        <f ca="1">IF($D106="","",SUMIF('TALLY BOX DUMP'!$1:$1,'ACH CALC'!AC$2,'TALLY BOX DUMP'!105:105))</f>
        <v>0</v>
      </c>
      <c r="AD106" s="21">
        <f ca="1">IF($D106="","",SUMIF('TALLY BOX DUMP'!$1:$1,'ACH CALC'!AD$2,'TALLY BOX DUMP'!105:105))</f>
        <v>0</v>
      </c>
      <c r="AE106" s="21">
        <f ca="1">IF($D106="","",SUMIF('TALLY BOX DUMP'!$1:$1,'ACH CALC'!AE$2,'TALLY BOX DUMP'!105:105))</f>
        <v>0</v>
      </c>
      <c r="AF106" s="21">
        <f ca="1">IF($D106="","",SUMIF('TALLY BOX DUMP'!$1:$1,'ACH CALC'!AF$2,'TALLY BOX DUMP'!105:105))</f>
        <v>0</v>
      </c>
      <c r="AG106" s="21">
        <f ca="1">IF($D106="","",SUMIF('TALLY BOX DUMP'!$1:$1,'ACH CALC'!AG$2,'TALLY BOX DUMP'!105:105))</f>
        <v>0</v>
      </c>
      <c r="AH106" s="21">
        <f ca="1">IF($D106="","",SUMIF('TALLY BOX DUMP'!$1:$1,'ACH CALC'!AH$2,'TALLY BOX DUMP'!105:105))</f>
        <v>0</v>
      </c>
      <c r="AI106" s="21">
        <f ca="1">IF($D106="","",SUMIF('TALLY BOX DUMP'!$1:$1,'ACH CALC'!AI$2,'TALLY BOX DUMP'!105:105))</f>
        <v>0</v>
      </c>
      <c r="AJ106" s="21">
        <f ca="1">IF($D106="","",SUMIF('TALLY BOX DUMP'!$1:$1,'ACH CALC'!AJ$2,'TALLY BOX DUMP'!105:105))</f>
        <v>0</v>
      </c>
      <c r="AK106" s="21">
        <f ca="1">IF($D106="","",SUMIF('TALLY BOX DUMP'!$1:$1,'ACH CALC'!AK$2,'TALLY BOX DUMP'!105:105))</f>
        <v>0</v>
      </c>
      <c r="AL106" s="21">
        <f ca="1">IF($D106="","",ROUND(SUMIF('TALLY KG DUMP'!$1:$1,'ACH CALC'!AL$2,'TALLY KG DUMP'!105:105)/30,1))</f>
        <v>0</v>
      </c>
      <c r="AM106" s="21">
        <f ca="1">IF($D106="","",SUMIF('TALLY BOX DUMP'!$1:$1,'ACH CALC'!AM$2,'TALLY BOX DUMP'!105:105))</f>
        <v>0</v>
      </c>
      <c r="AN106" s="21">
        <f ca="1">IF($D106="","",SUMIF('TALLY BOX DUMP'!$1:$1,'ACH CALC'!AN$2,'TALLY BOX DUMP'!105:105))</f>
        <v>0</v>
      </c>
      <c r="AO106" s="21">
        <f ca="1">IF($D106="","",SUMIF('TALLY BOX DUMP'!$1:$1,'ACH CALC'!AO$2,'TALLY BOX DUMP'!105:105))</f>
        <v>0</v>
      </c>
      <c r="AP106" s="21">
        <f ca="1">IF($D106="","",SUMIF('TALLY BOX DUMP'!$1:$1,'ACH CALC'!AP$2,'TALLY BOX DUMP'!105:105))</f>
        <v>0</v>
      </c>
      <c r="AQ106" s="21">
        <f ca="1">IF($D106="","",ROUND(SUMIF('TALLY KG DUMP'!$1:$1,'ACH CALC'!AQ$2,'TALLY KG DUMP'!105:105)/30,1))</f>
        <v>0</v>
      </c>
      <c r="AR106" s="21">
        <f ca="1">IF($D106="","",SUMIF('TALLY BOX DUMP'!$1:$1,'ACH CALC'!AR$2,'TALLY BOX DUMP'!105:105))</f>
        <v>0</v>
      </c>
      <c r="AS106" s="21">
        <f ca="1">IF($D106="","",SUMIF('TALLY BOX DUMP'!$1:$1,'ACH CALC'!AS$2,'TALLY BOX DUMP'!105:105))</f>
        <v>0</v>
      </c>
      <c r="AT106" s="21">
        <f ca="1">IF($D106="","",SUMIF('TALLY BOX DUMP'!$1:$1,'ACH CALC'!AT$2,'TALLY BOX DUMP'!105:105))</f>
        <v>0</v>
      </c>
      <c r="AU106" s="21">
        <f ca="1">IF($D106="","",SUMIF('TALLY BOX DUMP'!$1:$1,'ACH CALC'!AU$2,'TALLY BOX DUMP'!105:105))</f>
        <v>0</v>
      </c>
      <c r="AV106" s="21">
        <f ca="1">IF($D106="","",SUMIF('TALLY BOX DUMP'!$1:$1,'ACH CALC'!AV$2,'TALLY BOX DUMP'!105:105))</f>
        <v>0</v>
      </c>
      <c r="AW106" s="21">
        <f ca="1">IF($D106="","",SUMIF('TALLY BOX DUMP'!$1:$1,'ACH CALC'!AW$2,'TALLY BOX DUMP'!105:105))</f>
        <v>0</v>
      </c>
      <c r="AX106" s="21">
        <f ca="1">IF($D106="","",SUMIF('TALLY BOX DUMP'!$1:$1,'ACH CALC'!AX$2,'TALLY BOX DUMP'!105:105))</f>
        <v>0</v>
      </c>
      <c r="AY106" s="21">
        <f ca="1">IF($D106="","",SUMIF('TALLY BOX DUMP'!$1:$1,'ACH CALC'!AY$2,'TALLY BOX DUMP'!105:105))</f>
        <v>0</v>
      </c>
      <c r="AZ106" s="21">
        <f ca="1">IF($D106="","",SUMIF('TALLY BOX DUMP'!$1:$1,'ACH CALC'!AZ$2,'TALLY BOX DUMP'!105:105))</f>
        <v>0</v>
      </c>
      <c r="BA106" s="69">
        <f>(SUMIF('TALLY KG DUMP'!$2:$2,"Qty",'TALLY KG DUMP'!105:105)/1000)-(SUMIF('TALLY KG DUMP'!$1:$1,"GL",'TALLY KG DUMP'!105:105)/1000)</f>
        <v>9.1820000000000004</v>
      </c>
      <c r="BB106" s="21" t="b">
        <f t="shared" ca="1" si="5"/>
        <v>1</v>
      </c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</row>
    <row r="107" spans="2:75" x14ac:dyDescent="0.25">
      <c r="B107" s="21" t="str">
        <f ca="1"/>
        <v>104</v>
      </c>
      <c r="C107" s="21" t="str">
        <f ca="1"/>
        <v>SUN03644</v>
      </c>
      <c r="D107" s="21" t="str">
        <f ca="1"/>
        <v>CBE CHINNIYAMPALAYAM AVENUE SUPERMARTS LTD</v>
      </c>
      <c r="E107" s="21">
        <f ca="1">IF($D107="","",(SUMIF('TALLY KG DUMP'!$2:$2,"Qty",'TALLY KG DUMP'!106:106)/1000)-(SUMIF('TALLY KG DUMP'!$1:$1,"GL",'TALLY KG DUMP'!106:106)/1000))</f>
        <v>5.3140000000000001</v>
      </c>
      <c r="F107" s="21">
        <f ca="1">IF($D107="","",(SUMIF('TALLY KG DUMP'!$1:$1,'ACH CALC'!F$2,'TALLY KG DUMP'!106:106)/1000))</f>
        <v>0</v>
      </c>
      <c r="G107" s="21">
        <f ca="1">IF($D107="","",SUMIF('TALLY BOX DUMP'!$1:$1,'ACH CALC'!G$2,'TALLY BOX DUMP'!106:106)+Y107)</f>
        <v>0</v>
      </c>
      <c r="H107" s="21">
        <f t="shared" ca="1" si="3"/>
        <v>70</v>
      </c>
      <c r="I107" s="21">
        <f ca="1">IF($D107="","",SUMIF('TALLY BOX DUMP'!$1:$1,'ACH CALC'!I$2,'TALLY BOX DUMP'!106:106)+AA107)</f>
        <v>70</v>
      </c>
      <c r="J107" s="21">
        <f ca="1">IF($D107="","",SUMIF('TALLY BOX DUMP'!$1:$1,'ACH CALC'!J$2,'TALLY BOX DUMP'!106:106)+AB107)</f>
        <v>0</v>
      </c>
      <c r="K107" s="21">
        <f ca="1">IF($D107="","",SUMIF('TALLY BOX DUMP'!$1:$1,'ACH CALC'!K$2,'TALLY BOX DUMP'!106:106)+AC107)</f>
        <v>0</v>
      </c>
      <c r="L107" s="21">
        <f ca="1">IF($D107="","",SUMIF('TALLY BOX DUMP'!$1:$1,'ACH CALC'!L$2,'TALLY BOX DUMP'!106:106))</f>
        <v>0</v>
      </c>
      <c r="M107" s="21">
        <f ca="1">IF($D107="","",SUMIF('TALLY BOX DUMP'!$1:$1,'ACH CALC'!M$2,'TALLY BOX DUMP'!106:106)+AD107)</f>
        <v>0</v>
      </c>
      <c r="N107" s="21">
        <f ca="1">IF($D107="","",SUMIF('TALLY BOX DUMP'!$1:$1,'ACH CALC'!N$2,'TALLY BOX DUMP'!106:106))</f>
        <v>0</v>
      </c>
      <c r="O107" s="21">
        <f ca="1">IF($D107="","",SUMIF('TALLY BOX DUMP'!$1:$1,'ACH CALC'!O$2,'TALLY BOX DUMP'!106:106))</f>
        <v>0</v>
      </c>
      <c r="P107" s="21">
        <f ca="1">IF($D107="","",SUMIF('TALLY BOX DUMP'!$1:$1,'ACH CALC'!P$2,'TALLY BOX DUMP'!106:106))</f>
        <v>0</v>
      </c>
      <c r="Q107" s="21">
        <f t="shared" ca="1" si="4"/>
        <v>0</v>
      </c>
      <c r="R107" s="21">
        <f ca="1">IF($D107="","",SUMIF('TALLY BOX DUMP'!$1:$1,'ACH CALC'!R$2,'TALLY BOX DUMP'!106:106))</f>
        <v>0</v>
      </c>
      <c r="S107" s="21">
        <f ca="1">IF($D107="","",SUMIF('TALLY BOX DUMP'!$1:$1,'ACH CALC'!S$2,'TALLY BOX DUMP'!106:106))</f>
        <v>0</v>
      </c>
      <c r="T107" s="21">
        <f ca="1">IF($D107="","",SUMIF('TALLY BOX DUMP'!$1:$1,'ACH CALC'!T$2,'TALLY BOX DUMP'!106:106))</f>
        <v>0</v>
      </c>
      <c r="U107" s="21">
        <f ca="1">IF($D107="","",SUMIF('TALLY BOX DUMP'!$1:$1,'ACH CALC'!U$2,'TALLY BOX DUMP'!106:106))</f>
        <v>0</v>
      </c>
      <c r="V107" s="21">
        <f ca="1">IF($D107="","",SUMIF('TALLY BOX DUMP'!$1:$1,'ACH CALC'!V$2,'TALLY BOX DUMP'!106:106))</f>
        <v>0</v>
      </c>
      <c r="W107" s="21">
        <f ca="1">IF($D107="","",SUMIF('TALLY BOX DUMP'!$1:$1,'ACH CALC'!W$2,'TALLY BOX DUMP'!106:106))</f>
        <v>0</v>
      </c>
      <c r="X107" s="21">
        <f ca="1">IF($D107="","",SUMIF('TALLY BOX DUMP'!$1:$1,'ACH CALC'!X$2,'TALLY BOX DUMP'!106:106))</f>
        <v>0</v>
      </c>
      <c r="Y107" s="21">
        <f ca="1">IF($D107="","",SUMIF('TALLY BOX DUMP'!$1:$1,'ACH CALC'!Y$2,'TALLY BOX DUMP'!106:106))</f>
        <v>0</v>
      </c>
      <c r="Z107" s="21">
        <f ca="1">IF($D107="","",SUMIF('TALLY BOX DUMP'!$1:$1,'ACH CALC'!Z$2,'TALLY BOX DUMP'!106:106)+AE107)</f>
        <v>0</v>
      </c>
      <c r="AA107" s="21">
        <f ca="1">IF($D107="","",SUMIF('TALLY BOX DUMP'!$1:$1,'ACH CALC'!AA$2,'TALLY BOX DUMP'!106:106))</f>
        <v>0</v>
      </c>
      <c r="AB107" s="21">
        <f ca="1">IF($D107="","",SUMIF('TALLY BOX DUMP'!$1:$1,'ACH CALC'!AB$2,'TALLY BOX DUMP'!106:106))</f>
        <v>0</v>
      </c>
      <c r="AC107" s="21">
        <f ca="1">IF($D107="","",SUMIF('TALLY BOX DUMP'!$1:$1,'ACH CALC'!AC$2,'TALLY BOX DUMP'!106:106))</f>
        <v>0</v>
      </c>
      <c r="AD107" s="21">
        <f ca="1">IF($D107="","",SUMIF('TALLY BOX DUMP'!$1:$1,'ACH CALC'!AD$2,'TALLY BOX DUMP'!106:106))</f>
        <v>0</v>
      </c>
      <c r="AE107" s="21">
        <f ca="1">IF($D107="","",SUMIF('TALLY BOX DUMP'!$1:$1,'ACH CALC'!AE$2,'TALLY BOX DUMP'!106:106))</f>
        <v>0</v>
      </c>
      <c r="AF107" s="21">
        <f ca="1">IF($D107="","",SUMIF('TALLY BOX DUMP'!$1:$1,'ACH CALC'!AF$2,'TALLY BOX DUMP'!106:106))</f>
        <v>0</v>
      </c>
      <c r="AG107" s="21">
        <f ca="1">IF($D107="","",SUMIF('TALLY BOX DUMP'!$1:$1,'ACH CALC'!AG$2,'TALLY BOX DUMP'!106:106))</f>
        <v>0</v>
      </c>
      <c r="AH107" s="21">
        <f ca="1">IF($D107="","",SUMIF('TALLY BOX DUMP'!$1:$1,'ACH CALC'!AH$2,'TALLY BOX DUMP'!106:106))</f>
        <v>0</v>
      </c>
      <c r="AI107" s="21">
        <f ca="1">IF($D107="","",SUMIF('TALLY BOX DUMP'!$1:$1,'ACH CALC'!AI$2,'TALLY BOX DUMP'!106:106))</f>
        <v>0</v>
      </c>
      <c r="AJ107" s="21">
        <f ca="1">IF($D107="","",SUMIF('TALLY BOX DUMP'!$1:$1,'ACH CALC'!AJ$2,'TALLY BOX DUMP'!106:106))</f>
        <v>0</v>
      </c>
      <c r="AK107" s="21">
        <f ca="1">IF($D107="","",SUMIF('TALLY BOX DUMP'!$1:$1,'ACH CALC'!AK$2,'TALLY BOX DUMP'!106:106))</f>
        <v>0</v>
      </c>
      <c r="AL107" s="21">
        <f ca="1">IF($D107="","",ROUND(SUMIF('TALLY KG DUMP'!$1:$1,'ACH CALC'!AL$2,'TALLY KG DUMP'!106:106)/30,1))</f>
        <v>0</v>
      </c>
      <c r="AM107" s="21">
        <f ca="1">IF($D107="","",SUMIF('TALLY BOX DUMP'!$1:$1,'ACH CALC'!AM$2,'TALLY BOX DUMP'!106:106))</f>
        <v>0</v>
      </c>
      <c r="AN107" s="21">
        <f ca="1">IF($D107="","",SUMIF('TALLY BOX DUMP'!$1:$1,'ACH CALC'!AN$2,'TALLY BOX DUMP'!106:106))</f>
        <v>0</v>
      </c>
      <c r="AO107" s="21">
        <f ca="1">IF($D107="","",SUMIF('TALLY BOX DUMP'!$1:$1,'ACH CALC'!AO$2,'TALLY BOX DUMP'!106:106))</f>
        <v>0</v>
      </c>
      <c r="AP107" s="21">
        <f ca="1">IF($D107="","",SUMIF('TALLY BOX DUMP'!$1:$1,'ACH CALC'!AP$2,'TALLY BOX DUMP'!106:106))</f>
        <v>0</v>
      </c>
      <c r="AQ107" s="21">
        <f ca="1">IF($D107="","",ROUND(SUMIF('TALLY KG DUMP'!$1:$1,'ACH CALC'!AQ$2,'TALLY KG DUMP'!106:106)/30,1))</f>
        <v>0</v>
      </c>
      <c r="AR107" s="21">
        <f ca="1">IF($D107="","",SUMIF('TALLY BOX DUMP'!$1:$1,'ACH CALC'!AR$2,'TALLY BOX DUMP'!106:106))</f>
        <v>0</v>
      </c>
      <c r="AS107" s="21">
        <f ca="1">IF($D107="","",SUMIF('TALLY BOX DUMP'!$1:$1,'ACH CALC'!AS$2,'TALLY BOX DUMP'!106:106))</f>
        <v>0</v>
      </c>
      <c r="AT107" s="21">
        <f ca="1">IF($D107="","",SUMIF('TALLY BOX DUMP'!$1:$1,'ACH CALC'!AT$2,'TALLY BOX DUMP'!106:106))</f>
        <v>0</v>
      </c>
      <c r="AU107" s="21">
        <f ca="1">IF($D107="","",SUMIF('TALLY BOX DUMP'!$1:$1,'ACH CALC'!AU$2,'TALLY BOX DUMP'!106:106))</f>
        <v>0</v>
      </c>
      <c r="AV107" s="21">
        <f ca="1">IF($D107="","",SUMIF('TALLY BOX DUMP'!$1:$1,'ACH CALC'!AV$2,'TALLY BOX DUMP'!106:106))</f>
        <v>0</v>
      </c>
      <c r="AW107" s="21">
        <f ca="1">IF($D107="","",SUMIF('TALLY BOX DUMP'!$1:$1,'ACH CALC'!AW$2,'TALLY BOX DUMP'!106:106))</f>
        <v>0</v>
      </c>
      <c r="AX107" s="21">
        <f ca="1">IF($D107="","",SUMIF('TALLY BOX DUMP'!$1:$1,'ACH CALC'!AX$2,'TALLY BOX DUMP'!106:106))</f>
        <v>0</v>
      </c>
      <c r="AY107" s="21">
        <f ca="1">IF($D107="","",SUMIF('TALLY BOX DUMP'!$1:$1,'ACH CALC'!AY$2,'TALLY BOX DUMP'!106:106))</f>
        <v>0</v>
      </c>
      <c r="AZ107" s="21">
        <f ca="1">IF($D107="","",SUMIF('TALLY BOX DUMP'!$1:$1,'ACH CALC'!AZ$2,'TALLY BOX DUMP'!106:106))</f>
        <v>0</v>
      </c>
      <c r="BA107" s="69">
        <f>(SUMIF('TALLY KG DUMP'!$2:$2,"Qty",'TALLY KG DUMP'!106:106)/1000)-(SUMIF('TALLY KG DUMP'!$1:$1,"GL",'TALLY KG DUMP'!106:106)/1000)</f>
        <v>5.3140000000000001</v>
      </c>
      <c r="BB107" s="21" t="b">
        <f t="shared" ca="1" si="5"/>
        <v>1</v>
      </c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</row>
    <row r="108" spans="2:75" x14ac:dyDescent="0.25">
      <c r="B108" s="21" t="str">
        <f ca="1"/>
        <v>105</v>
      </c>
      <c r="C108" s="21" t="str">
        <f ca="1"/>
        <v>SUN02310</v>
      </c>
      <c r="D108" s="21" t="str">
        <f ca="1"/>
        <v>CBE THALAPPAKATTI HOTELS PRIVATE LIMITED</v>
      </c>
      <c r="E108" s="21">
        <f ca="1">IF($D108="","",(SUMIF('TALLY KG DUMP'!$2:$2,"Qty",'TALLY KG DUMP'!107:107)/1000)-(SUMIF('TALLY KG DUMP'!$1:$1,"GL",'TALLY KG DUMP'!107:107)/1000))</f>
        <v>1.456</v>
      </c>
      <c r="F108" s="21">
        <f ca="1">IF($D108="","",(SUMIF('TALLY KG DUMP'!$1:$1,'ACH CALC'!F$2,'TALLY KG DUMP'!107:107)/1000))</f>
        <v>0</v>
      </c>
      <c r="G108" s="21">
        <f ca="1">IF($D108="","",SUMIF('TALLY BOX DUMP'!$1:$1,'ACH CALC'!G$2,'TALLY BOX DUMP'!107:107)+Y108)</f>
        <v>0</v>
      </c>
      <c r="H108" s="21">
        <f t="shared" ca="1" si="3"/>
        <v>0</v>
      </c>
      <c r="I108" s="21">
        <f ca="1">IF($D108="","",SUMIF('TALLY BOX DUMP'!$1:$1,'ACH CALC'!I$2,'TALLY BOX DUMP'!107:107)+AA108)</f>
        <v>0</v>
      </c>
      <c r="J108" s="21">
        <f ca="1">IF($D108="","",SUMIF('TALLY BOX DUMP'!$1:$1,'ACH CALC'!J$2,'TALLY BOX DUMP'!107:107)+AB108)</f>
        <v>0</v>
      </c>
      <c r="K108" s="21">
        <f ca="1">IF($D108="","",SUMIF('TALLY BOX DUMP'!$1:$1,'ACH CALC'!K$2,'TALLY BOX DUMP'!107:107)+AC108)</f>
        <v>0</v>
      </c>
      <c r="L108" s="21">
        <f ca="1">IF($D108="","",SUMIF('TALLY BOX DUMP'!$1:$1,'ACH CALC'!L$2,'TALLY BOX DUMP'!107:107))</f>
        <v>0</v>
      </c>
      <c r="M108" s="21">
        <f ca="1">IF($D108="","",SUMIF('TALLY BOX DUMP'!$1:$1,'ACH CALC'!M$2,'TALLY BOX DUMP'!107:107)+AD108)</f>
        <v>0</v>
      </c>
      <c r="N108" s="21">
        <f ca="1">IF($D108="","",SUMIF('TALLY BOX DUMP'!$1:$1,'ACH CALC'!N$2,'TALLY BOX DUMP'!107:107))</f>
        <v>0</v>
      </c>
      <c r="O108" s="21">
        <f ca="1">IF($D108="","",SUMIF('TALLY BOX DUMP'!$1:$1,'ACH CALC'!O$2,'TALLY BOX DUMP'!107:107))</f>
        <v>0</v>
      </c>
      <c r="P108" s="21">
        <f ca="1">IF($D108="","",SUMIF('TALLY BOX DUMP'!$1:$1,'ACH CALC'!P$2,'TALLY BOX DUMP'!107:107))</f>
        <v>0</v>
      </c>
      <c r="Q108" s="21">
        <f t="shared" ca="1" si="4"/>
        <v>0</v>
      </c>
      <c r="R108" s="21">
        <f ca="1">IF($D108="","",SUMIF('TALLY BOX DUMP'!$1:$1,'ACH CALC'!R$2,'TALLY BOX DUMP'!107:107))</f>
        <v>0</v>
      </c>
      <c r="S108" s="21">
        <f ca="1">IF($D108="","",SUMIF('TALLY BOX DUMP'!$1:$1,'ACH CALC'!S$2,'TALLY BOX DUMP'!107:107))</f>
        <v>0</v>
      </c>
      <c r="T108" s="21">
        <f ca="1">IF($D108="","",SUMIF('TALLY BOX DUMP'!$1:$1,'ACH CALC'!T$2,'TALLY BOX DUMP'!107:107))</f>
        <v>0</v>
      </c>
      <c r="U108" s="21">
        <f ca="1">IF($D108="","",SUMIF('TALLY BOX DUMP'!$1:$1,'ACH CALC'!U$2,'TALLY BOX DUMP'!107:107))</f>
        <v>0</v>
      </c>
      <c r="V108" s="21">
        <f ca="1">IF($D108="","",SUMIF('TALLY BOX DUMP'!$1:$1,'ACH CALC'!V$2,'TALLY BOX DUMP'!107:107))</f>
        <v>0</v>
      </c>
      <c r="W108" s="21">
        <f ca="1">IF($D108="","",SUMIF('TALLY BOX DUMP'!$1:$1,'ACH CALC'!W$2,'TALLY BOX DUMP'!107:107))</f>
        <v>0</v>
      </c>
      <c r="X108" s="21">
        <f ca="1">IF($D108="","",SUMIF('TALLY BOX DUMP'!$1:$1,'ACH CALC'!X$2,'TALLY BOX DUMP'!107:107))</f>
        <v>0</v>
      </c>
      <c r="Y108" s="21">
        <f ca="1">IF($D108="","",SUMIF('TALLY BOX DUMP'!$1:$1,'ACH CALC'!Y$2,'TALLY BOX DUMP'!107:107))</f>
        <v>0</v>
      </c>
      <c r="Z108" s="21">
        <f ca="1">IF($D108="","",SUMIF('TALLY BOX DUMP'!$1:$1,'ACH CALC'!Z$2,'TALLY BOX DUMP'!107:107)+AE108)</f>
        <v>0</v>
      </c>
      <c r="AA108" s="21">
        <f ca="1">IF($D108="","",SUMIF('TALLY BOX DUMP'!$1:$1,'ACH CALC'!AA$2,'TALLY BOX DUMP'!107:107))</f>
        <v>0</v>
      </c>
      <c r="AB108" s="21">
        <f ca="1">IF($D108="","",SUMIF('TALLY BOX DUMP'!$1:$1,'ACH CALC'!AB$2,'TALLY BOX DUMP'!107:107))</f>
        <v>0</v>
      </c>
      <c r="AC108" s="21">
        <f ca="1">IF($D108="","",SUMIF('TALLY BOX DUMP'!$1:$1,'ACH CALC'!AC$2,'TALLY BOX DUMP'!107:107))</f>
        <v>0</v>
      </c>
      <c r="AD108" s="21">
        <f ca="1">IF($D108="","",SUMIF('TALLY BOX DUMP'!$1:$1,'ACH CALC'!AD$2,'TALLY BOX DUMP'!107:107))</f>
        <v>0</v>
      </c>
      <c r="AE108" s="21">
        <f ca="1">IF($D108="","",SUMIF('TALLY BOX DUMP'!$1:$1,'ACH CALC'!AE$2,'TALLY BOX DUMP'!107:107))</f>
        <v>0</v>
      </c>
      <c r="AF108" s="21">
        <f ca="1">IF($D108="","",SUMIF('TALLY BOX DUMP'!$1:$1,'ACH CALC'!AF$2,'TALLY BOX DUMP'!107:107))</f>
        <v>0</v>
      </c>
      <c r="AG108" s="21">
        <f ca="1">IF($D108="","",SUMIF('TALLY BOX DUMP'!$1:$1,'ACH CALC'!AG$2,'TALLY BOX DUMP'!107:107))</f>
        <v>0</v>
      </c>
      <c r="AH108" s="21">
        <f ca="1">IF($D108="","",SUMIF('TALLY BOX DUMP'!$1:$1,'ACH CALC'!AH$2,'TALLY BOX DUMP'!107:107))</f>
        <v>0</v>
      </c>
      <c r="AI108" s="21">
        <f ca="1">IF($D108="","",SUMIF('TALLY BOX DUMP'!$1:$1,'ACH CALC'!AI$2,'TALLY BOX DUMP'!107:107))</f>
        <v>0</v>
      </c>
      <c r="AJ108" s="21">
        <f ca="1">IF($D108="","",SUMIF('TALLY BOX DUMP'!$1:$1,'ACH CALC'!AJ$2,'TALLY BOX DUMP'!107:107))</f>
        <v>0</v>
      </c>
      <c r="AK108" s="21">
        <f ca="1">IF($D108="","",SUMIF('TALLY BOX DUMP'!$1:$1,'ACH CALC'!AK$2,'TALLY BOX DUMP'!107:107))</f>
        <v>0</v>
      </c>
      <c r="AL108" s="21">
        <f ca="1">IF($D108="","",ROUND(SUMIF('TALLY KG DUMP'!$1:$1,'ACH CALC'!AL$2,'TALLY KG DUMP'!107:107)/30,1))</f>
        <v>0</v>
      </c>
      <c r="AM108" s="21">
        <f ca="1">IF($D108="","",SUMIF('TALLY BOX DUMP'!$1:$1,'ACH CALC'!AM$2,'TALLY BOX DUMP'!107:107))</f>
        <v>0</v>
      </c>
      <c r="AN108" s="21">
        <f ca="1">IF($D108="","",SUMIF('TALLY BOX DUMP'!$1:$1,'ACH CALC'!AN$2,'TALLY BOX DUMP'!107:107))</f>
        <v>0</v>
      </c>
      <c r="AO108" s="21">
        <f ca="1">IF($D108="","",SUMIF('TALLY BOX DUMP'!$1:$1,'ACH CALC'!AO$2,'TALLY BOX DUMP'!107:107))</f>
        <v>0</v>
      </c>
      <c r="AP108" s="21">
        <f ca="1">IF($D108="","",SUMIF('TALLY BOX DUMP'!$1:$1,'ACH CALC'!AP$2,'TALLY BOX DUMP'!107:107))</f>
        <v>0</v>
      </c>
      <c r="AQ108" s="21">
        <f ca="1">IF($D108="","",ROUND(SUMIF('TALLY KG DUMP'!$1:$1,'ACH CALC'!AQ$2,'TALLY KG DUMP'!107:107)/30,1))</f>
        <v>0</v>
      </c>
      <c r="AR108" s="21">
        <f ca="1">IF($D108="","",SUMIF('TALLY BOX DUMP'!$1:$1,'ACH CALC'!AR$2,'TALLY BOX DUMP'!107:107))</f>
        <v>0</v>
      </c>
      <c r="AS108" s="21">
        <f ca="1">IF($D108="","",SUMIF('TALLY BOX DUMP'!$1:$1,'ACH CALC'!AS$2,'TALLY BOX DUMP'!107:107))</f>
        <v>0</v>
      </c>
      <c r="AT108" s="21">
        <f ca="1">IF($D108="","",SUMIF('TALLY BOX DUMP'!$1:$1,'ACH CALC'!AT$2,'TALLY BOX DUMP'!107:107))</f>
        <v>0</v>
      </c>
      <c r="AU108" s="21">
        <f ca="1">IF($D108="","",SUMIF('TALLY BOX DUMP'!$1:$1,'ACH CALC'!AU$2,'TALLY BOX DUMP'!107:107))</f>
        <v>0</v>
      </c>
      <c r="AV108" s="21">
        <f ca="1">IF($D108="","",SUMIF('TALLY BOX DUMP'!$1:$1,'ACH CALC'!AV$2,'TALLY BOX DUMP'!107:107))</f>
        <v>0</v>
      </c>
      <c r="AW108" s="21">
        <f ca="1">IF($D108="","",SUMIF('TALLY BOX DUMP'!$1:$1,'ACH CALC'!AW$2,'TALLY BOX DUMP'!107:107))</f>
        <v>0</v>
      </c>
      <c r="AX108" s="21">
        <f ca="1">IF($D108="","",SUMIF('TALLY BOX DUMP'!$1:$1,'ACH CALC'!AX$2,'TALLY BOX DUMP'!107:107))</f>
        <v>0</v>
      </c>
      <c r="AY108" s="21">
        <f ca="1">IF($D108="","",SUMIF('TALLY BOX DUMP'!$1:$1,'ACH CALC'!AY$2,'TALLY BOX DUMP'!107:107))</f>
        <v>0</v>
      </c>
      <c r="AZ108" s="21">
        <f ca="1">IF($D108="","",SUMIF('TALLY BOX DUMP'!$1:$1,'ACH CALC'!AZ$2,'TALLY BOX DUMP'!107:107))</f>
        <v>0</v>
      </c>
      <c r="BA108" s="69">
        <f>(SUMIF('TALLY KG DUMP'!$2:$2,"Qty",'TALLY KG DUMP'!107:107)/1000)-(SUMIF('TALLY KG DUMP'!$1:$1,"GL",'TALLY KG DUMP'!107:107)/1000)</f>
        <v>1.456</v>
      </c>
      <c r="BB108" s="21" t="b">
        <f t="shared" ca="1" si="5"/>
        <v>1</v>
      </c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</row>
    <row r="109" spans="2:75" x14ac:dyDescent="0.25">
      <c r="B109" s="21" t="str">
        <f ca="1"/>
        <v>106</v>
      </c>
      <c r="C109" s="21" t="str">
        <f ca="1"/>
        <v>SUN05625</v>
      </c>
      <c r="D109" s="21" t="str">
        <f ca="1"/>
        <v>CBE LULU INTERNATIONAL SHOPPING MALLS PRIVATE LIMITED</v>
      </c>
      <c r="E109" s="21">
        <f ca="1">IF($D109="","",(SUMIF('TALLY KG DUMP'!$2:$2,"Qty",'TALLY KG DUMP'!108:108)/1000)-(SUMIF('TALLY KG DUMP'!$1:$1,"GL",'TALLY KG DUMP'!108:108)/1000))</f>
        <v>0.91</v>
      </c>
      <c r="F109" s="21">
        <f ca="1">IF($D109="","",(SUMIF('TALLY KG DUMP'!$1:$1,'ACH CALC'!F$2,'TALLY KG DUMP'!108:108)/1000))</f>
        <v>0</v>
      </c>
      <c r="G109" s="21">
        <f ca="1">IF($D109="","",SUMIF('TALLY BOX DUMP'!$1:$1,'ACH CALC'!G$2,'TALLY BOX DUMP'!108:108)+Y109)</f>
        <v>0</v>
      </c>
      <c r="H109" s="21">
        <f t="shared" ca="1" si="3"/>
        <v>50</v>
      </c>
      <c r="I109" s="21">
        <f ca="1">IF($D109="","",SUMIF('TALLY BOX DUMP'!$1:$1,'ACH CALC'!I$2,'TALLY BOX DUMP'!108:108)+AA109)</f>
        <v>50</v>
      </c>
      <c r="J109" s="21">
        <f ca="1">IF($D109="","",SUMIF('TALLY BOX DUMP'!$1:$1,'ACH CALC'!J$2,'TALLY BOX DUMP'!108:108)+AB109)</f>
        <v>0</v>
      </c>
      <c r="K109" s="21">
        <f ca="1">IF($D109="","",SUMIF('TALLY BOX DUMP'!$1:$1,'ACH CALC'!K$2,'TALLY BOX DUMP'!108:108)+AC109)</f>
        <v>0</v>
      </c>
      <c r="L109" s="21">
        <f ca="1">IF($D109="","",SUMIF('TALLY BOX DUMP'!$1:$1,'ACH CALC'!L$2,'TALLY BOX DUMP'!108:108))</f>
        <v>0</v>
      </c>
      <c r="M109" s="21">
        <f ca="1">IF($D109="","",SUMIF('TALLY BOX DUMP'!$1:$1,'ACH CALC'!M$2,'TALLY BOX DUMP'!108:108)+AD109)</f>
        <v>0</v>
      </c>
      <c r="N109" s="21">
        <f ca="1">IF($D109="","",SUMIF('TALLY BOX DUMP'!$1:$1,'ACH CALC'!N$2,'TALLY BOX DUMP'!108:108))</f>
        <v>0</v>
      </c>
      <c r="O109" s="21">
        <f ca="1">IF($D109="","",SUMIF('TALLY BOX DUMP'!$1:$1,'ACH CALC'!O$2,'TALLY BOX DUMP'!108:108))</f>
        <v>0</v>
      </c>
      <c r="P109" s="21">
        <f ca="1">IF($D109="","",SUMIF('TALLY BOX DUMP'!$1:$1,'ACH CALC'!P$2,'TALLY BOX DUMP'!108:108))</f>
        <v>0</v>
      </c>
      <c r="Q109" s="21">
        <f t="shared" ca="1" si="4"/>
        <v>0</v>
      </c>
      <c r="R109" s="21">
        <f ca="1">IF($D109="","",SUMIF('TALLY BOX DUMP'!$1:$1,'ACH CALC'!R$2,'TALLY BOX DUMP'!108:108))</f>
        <v>0</v>
      </c>
      <c r="S109" s="21">
        <f ca="1">IF($D109="","",SUMIF('TALLY BOX DUMP'!$1:$1,'ACH CALC'!S$2,'TALLY BOX DUMP'!108:108))</f>
        <v>0</v>
      </c>
      <c r="T109" s="21">
        <f ca="1">IF($D109="","",SUMIF('TALLY BOX DUMP'!$1:$1,'ACH CALC'!T$2,'TALLY BOX DUMP'!108:108))</f>
        <v>0</v>
      </c>
      <c r="U109" s="21">
        <f ca="1">IF($D109="","",SUMIF('TALLY BOX DUMP'!$1:$1,'ACH CALC'!U$2,'TALLY BOX DUMP'!108:108))</f>
        <v>0</v>
      </c>
      <c r="V109" s="21">
        <f ca="1">IF($D109="","",SUMIF('TALLY BOX DUMP'!$1:$1,'ACH CALC'!V$2,'TALLY BOX DUMP'!108:108))</f>
        <v>0</v>
      </c>
      <c r="W109" s="21">
        <f ca="1">IF($D109="","",SUMIF('TALLY BOX DUMP'!$1:$1,'ACH CALC'!W$2,'TALLY BOX DUMP'!108:108))</f>
        <v>0</v>
      </c>
      <c r="X109" s="21">
        <f ca="1">IF($D109="","",SUMIF('TALLY BOX DUMP'!$1:$1,'ACH CALC'!X$2,'TALLY BOX DUMP'!108:108))</f>
        <v>0</v>
      </c>
      <c r="Y109" s="21">
        <f ca="1">IF($D109="","",SUMIF('TALLY BOX DUMP'!$1:$1,'ACH CALC'!Y$2,'TALLY BOX DUMP'!108:108))</f>
        <v>0</v>
      </c>
      <c r="Z109" s="21">
        <f ca="1">IF($D109="","",SUMIF('TALLY BOX DUMP'!$1:$1,'ACH CALC'!Z$2,'TALLY BOX DUMP'!108:108)+AE109)</f>
        <v>0</v>
      </c>
      <c r="AA109" s="21">
        <f ca="1">IF($D109="","",SUMIF('TALLY BOX DUMP'!$1:$1,'ACH CALC'!AA$2,'TALLY BOX DUMP'!108:108))</f>
        <v>0</v>
      </c>
      <c r="AB109" s="21">
        <f ca="1">IF($D109="","",SUMIF('TALLY BOX DUMP'!$1:$1,'ACH CALC'!AB$2,'TALLY BOX DUMP'!108:108))</f>
        <v>0</v>
      </c>
      <c r="AC109" s="21">
        <f ca="1">IF($D109="","",SUMIF('TALLY BOX DUMP'!$1:$1,'ACH CALC'!AC$2,'TALLY BOX DUMP'!108:108))</f>
        <v>0</v>
      </c>
      <c r="AD109" s="21">
        <f ca="1">IF($D109="","",SUMIF('TALLY BOX DUMP'!$1:$1,'ACH CALC'!AD$2,'TALLY BOX DUMP'!108:108))</f>
        <v>0</v>
      </c>
      <c r="AE109" s="21">
        <f ca="1">IF($D109="","",SUMIF('TALLY BOX DUMP'!$1:$1,'ACH CALC'!AE$2,'TALLY BOX DUMP'!108:108))</f>
        <v>0</v>
      </c>
      <c r="AF109" s="21">
        <f ca="1">IF($D109="","",SUMIF('TALLY BOX DUMP'!$1:$1,'ACH CALC'!AF$2,'TALLY BOX DUMP'!108:108))</f>
        <v>0</v>
      </c>
      <c r="AG109" s="21">
        <f ca="1">IF($D109="","",SUMIF('TALLY BOX DUMP'!$1:$1,'ACH CALC'!AG$2,'TALLY BOX DUMP'!108:108))</f>
        <v>0</v>
      </c>
      <c r="AH109" s="21">
        <f ca="1">IF($D109="","",SUMIF('TALLY BOX DUMP'!$1:$1,'ACH CALC'!AH$2,'TALLY BOX DUMP'!108:108))</f>
        <v>0</v>
      </c>
      <c r="AI109" s="21">
        <f ca="1">IF($D109="","",SUMIF('TALLY BOX DUMP'!$1:$1,'ACH CALC'!AI$2,'TALLY BOX DUMP'!108:108))</f>
        <v>0</v>
      </c>
      <c r="AJ109" s="21">
        <f ca="1">IF($D109="","",SUMIF('TALLY BOX DUMP'!$1:$1,'ACH CALC'!AJ$2,'TALLY BOX DUMP'!108:108))</f>
        <v>0</v>
      </c>
      <c r="AK109" s="21">
        <f ca="1">IF($D109="","",SUMIF('TALLY BOX DUMP'!$1:$1,'ACH CALC'!AK$2,'TALLY BOX DUMP'!108:108))</f>
        <v>0</v>
      </c>
      <c r="AL109" s="21">
        <f ca="1">IF($D109="","",ROUND(SUMIF('TALLY KG DUMP'!$1:$1,'ACH CALC'!AL$2,'TALLY KG DUMP'!108:108)/30,1))</f>
        <v>0</v>
      </c>
      <c r="AM109" s="21">
        <f ca="1">IF($D109="","",SUMIF('TALLY BOX DUMP'!$1:$1,'ACH CALC'!AM$2,'TALLY BOX DUMP'!108:108))</f>
        <v>0</v>
      </c>
      <c r="AN109" s="21">
        <f ca="1">IF($D109="","",SUMIF('TALLY BOX DUMP'!$1:$1,'ACH CALC'!AN$2,'TALLY BOX DUMP'!108:108))</f>
        <v>0</v>
      </c>
      <c r="AO109" s="21">
        <f ca="1">IF($D109="","",SUMIF('TALLY BOX DUMP'!$1:$1,'ACH CALC'!AO$2,'TALLY BOX DUMP'!108:108))</f>
        <v>0</v>
      </c>
      <c r="AP109" s="21">
        <f ca="1">IF($D109="","",SUMIF('TALLY BOX DUMP'!$1:$1,'ACH CALC'!AP$2,'TALLY BOX DUMP'!108:108))</f>
        <v>0</v>
      </c>
      <c r="AQ109" s="21">
        <f ca="1">IF($D109="","",ROUND(SUMIF('TALLY KG DUMP'!$1:$1,'ACH CALC'!AQ$2,'TALLY KG DUMP'!108:108)/30,1))</f>
        <v>0</v>
      </c>
      <c r="AR109" s="21">
        <f ca="1">IF($D109="","",SUMIF('TALLY BOX DUMP'!$1:$1,'ACH CALC'!AR$2,'TALLY BOX DUMP'!108:108))</f>
        <v>0</v>
      </c>
      <c r="AS109" s="21">
        <f ca="1">IF($D109="","",SUMIF('TALLY BOX DUMP'!$1:$1,'ACH CALC'!AS$2,'TALLY BOX DUMP'!108:108))</f>
        <v>0</v>
      </c>
      <c r="AT109" s="21">
        <f ca="1">IF($D109="","",SUMIF('TALLY BOX DUMP'!$1:$1,'ACH CALC'!AT$2,'TALLY BOX DUMP'!108:108))</f>
        <v>0</v>
      </c>
      <c r="AU109" s="21">
        <f ca="1">IF($D109="","",SUMIF('TALLY BOX DUMP'!$1:$1,'ACH CALC'!AU$2,'TALLY BOX DUMP'!108:108))</f>
        <v>0</v>
      </c>
      <c r="AV109" s="21">
        <f ca="1">IF($D109="","",SUMIF('TALLY BOX DUMP'!$1:$1,'ACH CALC'!AV$2,'TALLY BOX DUMP'!108:108))</f>
        <v>0</v>
      </c>
      <c r="AW109" s="21">
        <f ca="1">IF($D109="","",SUMIF('TALLY BOX DUMP'!$1:$1,'ACH CALC'!AW$2,'TALLY BOX DUMP'!108:108))</f>
        <v>0</v>
      </c>
      <c r="AX109" s="21">
        <f ca="1">IF($D109="","",SUMIF('TALLY BOX DUMP'!$1:$1,'ACH CALC'!AX$2,'TALLY BOX DUMP'!108:108))</f>
        <v>0</v>
      </c>
      <c r="AY109" s="21">
        <f ca="1">IF($D109="","",SUMIF('TALLY BOX DUMP'!$1:$1,'ACH CALC'!AY$2,'TALLY BOX DUMP'!108:108))</f>
        <v>0</v>
      </c>
      <c r="AZ109" s="21">
        <f ca="1">IF($D109="","",SUMIF('TALLY BOX DUMP'!$1:$1,'ACH CALC'!AZ$2,'TALLY BOX DUMP'!108:108))</f>
        <v>0</v>
      </c>
      <c r="BA109" s="69">
        <f>(SUMIF('TALLY KG DUMP'!$2:$2,"Qty",'TALLY KG DUMP'!108:108)/1000)-(SUMIF('TALLY KG DUMP'!$1:$1,"GL",'TALLY KG DUMP'!108:108)/1000)</f>
        <v>0.91</v>
      </c>
      <c r="BB109" s="21" t="b">
        <f t="shared" ca="1" si="5"/>
        <v>1</v>
      </c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</row>
    <row r="110" spans="2:75" x14ac:dyDescent="0.25">
      <c r="B110" s="21" t="str">
        <f ca="1"/>
        <v>107</v>
      </c>
      <c r="C110" s="21" t="str">
        <f ca="1"/>
        <v>SUN07068</v>
      </c>
      <c r="D110" s="21" t="str">
        <f ca="1"/>
        <v>PRI-SUNRAJA OIL INDUSTRIES PRIVATE LIMITED</v>
      </c>
      <c r="E110" s="21">
        <f ca="1">IF($D110="","",(SUMIF('TALLY KG DUMP'!$2:$2,"Qty",'TALLY KG DUMP'!109:109)/1000)-(SUMIF('TALLY KG DUMP'!$1:$1,"GL",'TALLY KG DUMP'!109:109)/1000))</f>
        <v>42.933999999999997</v>
      </c>
      <c r="F110" s="21">
        <f ca="1">IF($D110="","",(SUMIF('TALLY KG DUMP'!$1:$1,'ACH CALC'!F$2,'TALLY KG DUMP'!109:109)/1000))</f>
        <v>0</v>
      </c>
      <c r="G110" s="21">
        <f ca="1">IF($D110="","",SUMIF('TALLY BOX DUMP'!$1:$1,'ACH CALC'!G$2,'TALLY BOX DUMP'!109:109)+Y110)</f>
        <v>0</v>
      </c>
      <c r="H110" s="21">
        <f t="shared" ca="1" si="3"/>
        <v>0</v>
      </c>
      <c r="I110" s="21">
        <f ca="1">IF($D110="","",SUMIF('TALLY BOX DUMP'!$1:$1,'ACH CALC'!I$2,'TALLY BOX DUMP'!109:109)+AA110)</f>
        <v>0</v>
      </c>
      <c r="J110" s="21">
        <f ca="1">IF($D110="","",SUMIF('TALLY BOX DUMP'!$1:$1,'ACH CALC'!J$2,'TALLY BOX DUMP'!109:109)+AB110)</f>
        <v>0</v>
      </c>
      <c r="K110" s="21">
        <f ca="1">IF($D110="","",SUMIF('TALLY BOX DUMP'!$1:$1,'ACH CALC'!K$2,'TALLY BOX DUMP'!109:109)+AC110)</f>
        <v>0</v>
      </c>
      <c r="L110" s="21">
        <f ca="1">IF($D110="","",SUMIF('TALLY BOX DUMP'!$1:$1,'ACH CALC'!L$2,'TALLY BOX DUMP'!109:109))</f>
        <v>0</v>
      </c>
      <c r="M110" s="21">
        <f ca="1">IF($D110="","",SUMIF('TALLY BOX DUMP'!$1:$1,'ACH CALC'!M$2,'TALLY BOX DUMP'!109:109)+AD110)</f>
        <v>0</v>
      </c>
      <c r="N110" s="21">
        <f ca="1">IF($D110="","",SUMIF('TALLY BOX DUMP'!$1:$1,'ACH CALC'!N$2,'TALLY BOX DUMP'!109:109))</f>
        <v>0</v>
      </c>
      <c r="O110" s="21">
        <f ca="1">IF($D110="","",SUMIF('TALLY BOX DUMP'!$1:$1,'ACH CALC'!O$2,'TALLY BOX DUMP'!109:109))</f>
        <v>0</v>
      </c>
      <c r="P110" s="21">
        <f ca="1">IF($D110="","",SUMIF('TALLY BOX DUMP'!$1:$1,'ACH CALC'!P$2,'TALLY BOX DUMP'!109:109))</f>
        <v>0</v>
      </c>
      <c r="Q110" s="21">
        <f t="shared" ca="1" si="4"/>
        <v>0</v>
      </c>
      <c r="R110" s="21">
        <f ca="1">IF($D110="","",SUMIF('TALLY BOX DUMP'!$1:$1,'ACH CALC'!R$2,'TALLY BOX DUMP'!109:109))</f>
        <v>0</v>
      </c>
      <c r="S110" s="21">
        <f ca="1">IF($D110="","",SUMIF('TALLY BOX DUMP'!$1:$1,'ACH CALC'!S$2,'TALLY BOX DUMP'!109:109))</f>
        <v>0</v>
      </c>
      <c r="T110" s="21">
        <f ca="1">IF($D110="","",SUMIF('TALLY BOX DUMP'!$1:$1,'ACH CALC'!T$2,'TALLY BOX DUMP'!109:109))</f>
        <v>0</v>
      </c>
      <c r="U110" s="21">
        <f ca="1">IF($D110="","",SUMIF('TALLY BOX DUMP'!$1:$1,'ACH CALC'!U$2,'TALLY BOX DUMP'!109:109))</f>
        <v>0</v>
      </c>
      <c r="V110" s="21">
        <f ca="1">IF($D110="","",SUMIF('TALLY BOX DUMP'!$1:$1,'ACH CALC'!V$2,'TALLY BOX DUMP'!109:109))</f>
        <v>0</v>
      </c>
      <c r="W110" s="21">
        <f ca="1">IF($D110="","",SUMIF('TALLY BOX DUMP'!$1:$1,'ACH CALC'!W$2,'TALLY BOX DUMP'!109:109))</f>
        <v>0</v>
      </c>
      <c r="X110" s="21">
        <f ca="1">IF($D110="","",SUMIF('TALLY BOX DUMP'!$1:$1,'ACH CALC'!X$2,'TALLY BOX DUMP'!109:109))</f>
        <v>0</v>
      </c>
      <c r="Y110" s="21">
        <f ca="1">IF($D110="","",SUMIF('TALLY BOX DUMP'!$1:$1,'ACH CALC'!Y$2,'TALLY BOX DUMP'!109:109))</f>
        <v>0</v>
      </c>
      <c r="Z110" s="21">
        <f ca="1">IF($D110="","",SUMIF('TALLY BOX DUMP'!$1:$1,'ACH CALC'!Z$2,'TALLY BOX DUMP'!109:109)+AE110)</f>
        <v>0</v>
      </c>
      <c r="AA110" s="21">
        <f ca="1">IF($D110="","",SUMIF('TALLY BOX DUMP'!$1:$1,'ACH CALC'!AA$2,'TALLY BOX DUMP'!109:109))</f>
        <v>0</v>
      </c>
      <c r="AB110" s="21">
        <f ca="1">IF($D110="","",SUMIF('TALLY BOX DUMP'!$1:$1,'ACH CALC'!AB$2,'TALLY BOX DUMP'!109:109))</f>
        <v>0</v>
      </c>
      <c r="AC110" s="21">
        <f ca="1">IF($D110="","",SUMIF('TALLY BOX DUMP'!$1:$1,'ACH CALC'!AC$2,'TALLY BOX DUMP'!109:109))</f>
        <v>0</v>
      </c>
      <c r="AD110" s="21">
        <f ca="1">IF($D110="","",SUMIF('TALLY BOX DUMP'!$1:$1,'ACH CALC'!AD$2,'TALLY BOX DUMP'!109:109))</f>
        <v>0</v>
      </c>
      <c r="AE110" s="21">
        <f ca="1">IF($D110="","",SUMIF('TALLY BOX DUMP'!$1:$1,'ACH CALC'!AE$2,'TALLY BOX DUMP'!109:109))</f>
        <v>0</v>
      </c>
      <c r="AF110" s="21">
        <f ca="1">IF($D110="","",SUMIF('TALLY BOX DUMP'!$1:$1,'ACH CALC'!AF$2,'TALLY BOX DUMP'!109:109))</f>
        <v>0</v>
      </c>
      <c r="AG110" s="21">
        <f ca="1">IF($D110="","",SUMIF('TALLY BOX DUMP'!$1:$1,'ACH CALC'!AG$2,'TALLY BOX DUMP'!109:109))</f>
        <v>0</v>
      </c>
      <c r="AH110" s="21">
        <f ca="1">IF($D110="","",SUMIF('TALLY BOX DUMP'!$1:$1,'ACH CALC'!AH$2,'TALLY BOX DUMP'!109:109))</f>
        <v>0</v>
      </c>
      <c r="AI110" s="21">
        <f ca="1">IF($D110="","",SUMIF('TALLY BOX DUMP'!$1:$1,'ACH CALC'!AI$2,'TALLY BOX DUMP'!109:109))</f>
        <v>0</v>
      </c>
      <c r="AJ110" s="21">
        <f ca="1">IF($D110="","",SUMIF('TALLY BOX DUMP'!$1:$1,'ACH CALC'!AJ$2,'TALLY BOX DUMP'!109:109))</f>
        <v>0</v>
      </c>
      <c r="AK110" s="21">
        <f ca="1">IF($D110="","",SUMIF('TALLY BOX DUMP'!$1:$1,'ACH CALC'!AK$2,'TALLY BOX DUMP'!109:109))</f>
        <v>0</v>
      </c>
      <c r="AL110" s="21">
        <f ca="1">IF($D110="","",ROUND(SUMIF('TALLY KG DUMP'!$1:$1,'ACH CALC'!AL$2,'TALLY KG DUMP'!109:109)/30,1))</f>
        <v>0</v>
      </c>
      <c r="AM110" s="21">
        <f ca="1">IF($D110="","",SUMIF('TALLY BOX DUMP'!$1:$1,'ACH CALC'!AM$2,'TALLY BOX DUMP'!109:109))</f>
        <v>0</v>
      </c>
      <c r="AN110" s="21">
        <f ca="1">IF($D110="","",SUMIF('TALLY BOX DUMP'!$1:$1,'ACH CALC'!AN$2,'TALLY BOX DUMP'!109:109))</f>
        <v>0</v>
      </c>
      <c r="AO110" s="21">
        <f ca="1">IF($D110="","",SUMIF('TALLY BOX DUMP'!$1:$1,'ACH CALC'!AO$2,'TALLY BOX DUMP'!109:109))</f>
        <v>0</v>
      </c>
      <c r="AP110" s="21">
        <f ca="1">IF($D110="","",SUMIF('TALLY BOX DUMP'!$1:$1,'ACH CALC'!AP$2,'TALLY BOX DUMP'!109:109))</f>
        <v>0</v>
      </c>
      <c r="AQ110" s="21">
        <f ca="1">IF($D110="","",ROUND(SUMIF('TALLY KG DUMP'!$1:$1,'ACH CALC'!AQ$2,'TALLY KG DUMP'!109:109)/30,1))</f>
        <v>0</v>
      </c>
      <c r="AR110" s="21">
        <f ca="1">IF($D110="","",SUMIF('TALLY BOX DUMP'!$1:$1,'ACH CALC'!AR$2,'TALLY BOX DUMP'!109:109))</f>
        <v>0</v>
      </c>
      <c r="AS110" s="21">
        <f ca="1">IF($D110="","",SUMIF('TALLY BOX DUMP'!$1:$1,'ACH CALC'!AS$2,'TALLY BOX DUMP'!109:109))</f>
        <v>0</v>
      </c>
      <c r="AT110" s="21">
        <f ca="1">IF($D110="","",SUMIF('TALLY BOX DUMP'!$1:$1,'ACH CALC'!AT$2,'TALLY BOX DUMP'!109:109))</f>
        <v>0</v>
      </c>
      <c r="AU110" s="21">
        <f ca="1">IF($D110="","",SUMIF('TALLY BOX DUMP'!$1:$1,'ACH CALC'!AU$2,'TALLY BOX DUMP'!109:109))</f>
        <v>0</v>
      </c>
      <c r="AV110" s="21">
        <f ca="1">IF($D110="","",SUMIF('TALLY BOX DUMP'!$1:$1,'ACH CALC'!AV$2,'TALLY BOX DUMP'!109:109))</f>
        <v>0</v>
      </c>
      <c r="AW110" s="21">
        <f ca="1">IF($D110="","",SUMIF('TALLY BOX DUMP'!$1:$1,'ACH CALC'!AW$2,'TALLY BOX DUMP'!109:109))</f>
        <v>0</v>
      </c>
      <c r="AX110" s="21">
        <f ca="1">IF($D110="","",SUMIF('TALLY BOX DUMP'!$1:$1,'ACH CALC'!AX$2,'TALLY BOX DUMP'!109:109))</f>
        <v>0</v>
      </c>
      <c r="AY110" s="21">
        <f ca="1">IF($D110="","",SUMIF('TALLY BOX DUMP'!$1:$1,'ACH CALC'!AY$2,'TALLY BOX DUMP'!109:109))</f>
        <v>0</v>
      </c>
      <c r="AZ110" s="21">
        <f ca="1">IF($D110="","",SUMIF('TALLY BOX DUMP'!$1:$1,'ACH CALC'!AZ$2,'TALLY BOX DUMP'!109:109))</f>
        <v>0</v>
      </c>
      <c r="BA110" s="69">
        <f>(SUMIF('TALLY KG DUMP'!$2:$2,"Qty",'TALLY KG DUMP'!109:109)/1000)-(SUMIF('TALLY KG DUMP'!$1:$1,"GL",'TALLY KG DUMP'!109:109)/1000)</f>
        <v>42.933999999999997</v>
      </c>
      <c r="BB110" s="21" t="b">
        <f t="shared" ca="1" si="5"/>
        <v>1</v>
      </c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</row>
    <row r="111" spans="2:75" x14ac:dyDescent="0.25">
      <c r="B111" s="21" t="str">
        <f ca="1"/>
        <v>108</v>
      </c>
      <c r="C111" s="21" t="str">
        <f ca="1"/>
        <v>SUN03455</v>
      </c>
      <c r="D111" s="21" t="str">
        <f ca="1"/>
        <v>CNI-PUZHAL-SUNRAJA OIL INDUSTRIES</v>
      </c>
      <c r="E111" s="21">
        <f ca="1">IF($D111="","",(SUMIF('TALLY KG DUMP'!$2:$2,"Qty",'TALLY KG DUMP'!110:110)/1000)-(SUMIF('TALLY KG DUMP'!$1:$1,"GL",'TALLY KG DUMP'!110:110)/1000))</f>
        <v>25.07</v>
      </c>
      <c r="F111" s="21">
        <f ca="1">IF($D111="","",(SUMIF('TALLY KG DUMP'!$1:$1,'ACH CALC'!F$2,'TALLY KG DUMP'!110:110)/1000))</f>
        <v>0</v>
      </c>
      <c r="G111" s="21">
        <f ca="1">IF($D111="","",SUMIF('TALLY BOX DUMP'!$1:$1,'ACH CALC'!G$2,'TALLY BOX DUMP'!110:110)+Y111)</f>
        <v>0</v>
      </c>
      <c r="H111" s="21">
        <f t="shared" ca="1" si="3"/>
        <v>0</v>
      </c>
      <c r="I111" s="21">
        <f ca="1">IF($D111="","",SUMIF('TALLY BOX DUMP'!$1:$1,'ACH CALC'!I$2,'TALLY BOX DUMP'!110:110)+AA111)</f>
        <v>0</v>
      </c>
      <c r="J111" s="21">
        <f ca="1">IF($D111="","",SUMIF('TALLY BOX DUMP'!$1:$1,'ACH CALC'!J$2,'TALLY BOX DUMP'!110:110)+AB111)</f>
        <v>0</v>
      </c>
      <c r="K111" s="21">
        <f ca="1">IF($D111="","",SUMIF('TALLY BOX DUMP'!$1:$1,'ACH CALC'!K$2,'TALLY BOX DUMP'!110:110)+AC111)</f>
        <v>0</v>
      </c>
      <c r="L111" s="21">
        <f ca="1">IF($D111="","",SUMIF('TALLY BOX DUMP'!$1:$1,'ACH CALC'!L$2,'TALLY BOX DUMP'!110:110))</f>
        <v>0</v>
      </c>
      <c r="M111" s="21">
        <f ca="1">IF($D111="","",SUMIF('TALLY BOX DUMP'!$1:$1,'ACH CALC'!M$2,'TALLY BOX DUMP'!110:110)+AD111)</f>
        <v>0</v>
      </c>
      <c r="N111" s="21">
        <f ca="1">IF($D111="","",SUMIF('TALLY BOX DUMP'!$1:$1,'ACH CALC'!N$2,'TALLY BOX DUMP'!110:110))</f>
        <v>0</v>
      </c>
      <c r="O111" s="21">
        <f ca="1">IF($D111="","",SUMIF('TALLY BOX DUMP'!$1:$1,'ACH CALC'!O$2,'TALLY BOX DUMP'!110:110))</f>
        <v>0</v>
      </c>
      <c r="P111" s="21">
        <f ca="1">IF($D111="","",SUMIF('TALLY BOX DUMP'!$1:$1,'ACH CALC'!P$2,'TALLY BOX DUMP'!110:110))</f>
        <v>0</v>
      </c>
      <c r="Q111" s="21">
        <f t="shared" ca="1" si="4"/>
        <v>0</v>
      </c>
      <c r="R111" s="21">
        <f ca="1">IF($D111="","",SUMIF('TALLY BOX DUMP'!$1:$1,'ACH CALC'!R$2,'TALLY BOX DUMP'!110:110))</f>
        <v>0</v>
      </c>
      <c r="S111" s="21">
        <f ca="1">IF($D111="","",SUMIF('TALLY BOX DUMP'!$1:$1,'ACH CALC'!S$2,'TALLY BOX DUMP'!110:110))</f>
        <v>0</v>
      </c>
      <c r="T111" s="21">
        <f ca="1">IF($D111="","",SUMIF('TALLY BOX DUMP'!$1:$1,'ACH CALC'!T$2,'TALLY BOX DUMP'!110:110))</f>
        <v>0</v>
      </c>
      <c r="U111" s="21">
        <f ca="1">IF($D111="","",SUMIF('TALLY BOX DUMP'!$1:$1,'ACH CALC'!U$2,'TALLY BOX DUMP'!110:110))</f>
        <v>0</v>
      </c>
      <c r="V111" s="21">
        <f ca="1">IF($D111="","",SUMIF('TALLY BOX DUMP'!$1:$1,'ACH CALC'!V$2,'TALLY BOX DUMP'!110:110))</f>
        <v>0</v>
      </c>
      <c r="W111" s="21">
        <f ca="1">IF($D111="","",SUMIF('TALLY BOX DUMP'!$1:$1,'ACH CALC'!W$2,'TALLY BOX DUMP'!110:110))</f>
        <v>0</v>
      </c>
      <c r="X111" s="21">
        <f ca="1">IF($D111="","",SUMIF('TALLY BOX DUMP'!$1:$1,'ACH CALC'!X$2,'TALLY BOX DUMP'!110:110))</f>
        <v>0</v>
      </c>
      <c r="Y111" s="21">
        <f ca="1">IF($D111="","",SUMIF('TALLY BOX DUMP'!$1:$1,'ACH CALC'!Y$2,'TALLY BOX DUMP'!110:110))</f>
        <v>0</v>
      </c>
      <c r="Z111" s="21">
        <f ca="1">IF($D111="","",SUMIF('TALLY BOX DUMP'!$1:$1,'ACH CALC'!Z$2,'TALLY BOX DUMP'!110:110)+AE111)</f>
        <v>0</v>
      </c>
      <c r="AA111" s="21">
        <f ca="1">IF($D111="","",SUMIF('TALLY BOX DUMP'!$1:$1,'ACH CALC'!AA$2,'TALLY BOX DUMP'!110:110))</f>
        <v>0</v>
      </c>
      <c r="AB111" s="21">
        <f ca="1">IF($D111="","",SUMIF('TALLY BOX DUMP'!$1:$1,'ACH CALC'!AB$2,'TALLY BOX DUMP'!110:110))</f>
        <v>0</v>
      </c>
      <c r="AC111" s="21">
        <f ca="1">IF($D111="","",SUMIF('TALLY BOX DUMP'!$1:$1,'ACH CALC'!AC$2,'TALLY BOX DUMP'!110:110))</f>
        <v>0</v>
      </c>
      <c r="AD111" s="21">
        <f ca="1">IF($D111="","",SUMIF('TALLY BOX DUMP'!$1:$1,'ACH CALC'!AD$2,'TALLY BOX DUMP'!110:110))</f>
        <v>0</v>
      </c>
      <c r="AE111" s="21">
        <f ca="1">IF($D111="","",SUMIF('TALLY BOX DUMP'!$1:$1,'ACH CALC'!AE$2,'TALLY BOX DUMP'!110:110))</f>
        <v>0</v>
      </c>
      <c r="AF111" s="21">
        <f ca="1">IF($D111="","",SUMIF('TALLY BOX DUMP'!$1:$1,'ACH CALC'!AF$2,'TALLY BOX DUMP'!110:110))</f>
        <v>0</v>
      </c>
      <c r="AG111" s="21">
        <f ca="1">IF($D111="","",SUMIF('TALLY BOX DUMP'!$1:$1,'ACH CALC'!AG$2,'TALLY BOX DUMP'!110:110))</f>
        <v>0</v>
      </c>
      <c r="AH111" s="21">
        <f ca="1">IF($D111="","",SUMIF('TALLY BOX DUMP'!$1:$1,'ACH CALC'!AH$2,'TALLY BOX DUMP'!110:110))</f>
        <v>0</v>
      </c>
      <c r="AI111" s="21">
        <f ca="1">IF($D111="","",SUMIF('TALLY BOX DUMP'!$1:$1,'ACH CALC'!AI$2,'TALLY BOX DUMP'!110:110))</f>
        <v>0</v>
      </c>
      <c r="AJ111" s="21">
        <f ca="1">IF($D111="","",SUMIF('TALLY BOX DUMP'!$1:$1,'ACH CALC'!AJ$2,'TALLY BOX DUMP'!110:110))</f>
        <v>0</v>
      </c>
      <c r="AK111" s="21">
        <f ca="1">IF($D111="","",SUMIF('TALLY BOX DUMP'!$1:$1,'ACH CALC'!AK$2,'TALLY BOX DUMP'!110:110))</f>
        <v>0</v>
      </c>
      <c r="AL111" s="21">
        <f ca="1">IF($D111="","",ROUND(SUMIF('TALLY KG DUMP'!$1:$1,'ACH CALC'!AL$2,'TALLY KG DUMP'!110:110)/30,1))</f>
        <v>0</v>
      </c>
      <c r="AM111" s="21">
        <f ca="1">IF($D111="","",SUMIF('TALLY BOX DUMP'!$1:$1,'ACH CALC'!AM$2,'TALLY BOX DUMP'!110:110))</f>
        <v>0</v>
      </c>
      <c r="AN111" s="21">
        <f ca="1">IF($D111="","",SUMIF('TALLY BOX DUMP'!$1:$1,'ACH CALC'!AN$2,'TALLY BOX DUMP'!110:110))</f>
        <v>0</v>
      </c>
      <c r="AO111" s="21">
        <f ca="1">IF($D111="","",SUMIF('TALLY BOX DUMP'!$1:$1,'ACH CALC'!AO$2,'TALLY BOX DUMP'!110:110))</f>
        <v>0</v>
      </c>
      <c r="AP111" s="21">
        <f ca="1">IF($D111="","",SUMIF('TALLY BOX DUMP'!$1:$1,'ACH CALC'!AP$2,'TALLY BOX DUMP'!110:110))</f>
        <v>0</v>
      </c>
      <c r="AQ111" s="21">
        <f ca="1">IF($D111="","",ROUND(SUMIF('TALLY KG DUMP'!$1:$1,'ACH CALC'!AQ$2,'TALLY KG DUMP'!110:110)/30,1))</f>
        <v>0</v>
      </c>
      <c r="AR111" s="21">
        <f ca="1">IF($D111="","",SUMIF('TALLY BOX DUMP'!$1:$1,'ACH CALC'!AR$2,'TALLY BOX DUMP'!110:110))</f>
        <v>0</v>
      </c>
      <c r="AS111" s="21">
        <f ca="1">IF($D111="","",SUMIF('TALLY BOX DUMP'!$1:$1,'ACH CALC'!AS$2,'TALLY BOX DUMP'!110:110))</f>
        <v>0</v>
      </c>
      <c r="AT111" s="21">
        <f ca="1">IF($D111="","",SUMIF('TALLY BOX DUMP'!$1:$1,'ACH CALC'!AT$2,'TALLY BOX DUMP'!110:110))</f>
        <v>0</v>
      </c>
      <c r="AU111" s="21">
        <f ca="1">IF($D111="","",SUMIF('TALLY BOX DUMP'!$1:$1,'ACH CALC'!AU$2,'TALLY BOX DUMP'!110:110))</f>
        <v>0</v>
      </c>
      <c r="AV111" s="21">
        <f ca="1">IF($D111="","",SUMIF('TALLY BOX DUMP'!$1:$1,'ACH CALC'!AV$2,'TALLY BOX DUMP'!110:110))</f>
        <v>0</v>
      </c>
      <c r="AW111" s="21">
        <f ca="1">IF($D111="","",SUMIF('TALLY BOX DUMP'!$1:$1,'ACH CALC'!AW$2,'TALLY BOX DUMP'!110:110))</f>
        <v>0</v>
      </c>
      <c r="AX111" s="21">
        <f ca="1">IF($D111="","",SUMIF('TALLY BOX DUMP'!$1:$1,'ACH CALC'!AX$2,'TALLY BOX DUMP'!110:110))</f>
        <v>0</v>
      </c>
      <c r="AY111" s="21">
        <f ca="1">IF($D111="","",SUMIF('TALLY BOX DUMP'!$1:$1,'ACH CALC'!AY$2,'TALLY BOX DUMP'!110:110))</f>
        <v>0</v>
      </c>
      <c r="AZ111" s="21">
        <f ca="1">IF($D111="","",SUMIF('TALLY BOX DUMP'!$1:$1,'ACH CALC'!AZ$2,'TALLY BOX DUMP'!110:110))</f>
        <v>0</v>
      </c>
      <c r="BA111" s="69">
        <f>(SUMIF('TALLY KG DUMP'!$2:$2,"Qty",'TALLY KG DUMP'!110:110)/1000)-(SUMIF('TALLY KG DUMP'!$1:$1,"GL",'TALLY KG DUMP'!110:110)/1000)</f>
        <v>25.07</v>
      </c>
      <c r="BB111" s="21" t="b">
        <f t="shared" ca="1" si="5"/>
        <v>1</v>
      </c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</row>
    <row r="112" spans="2:75" x14ac:dyDescent="0.25">
      <c r="B112" s="21" t="str">
        <f ca="1"/>
        <v>109</v>
      </c>
      <c r="C112" s="21" t="str">
        <f ca="1"/>
        <v>SUN06608</v>
      </c>
      <c r="D112" s="21" t="str">
        <f ca="1"/>
        <v>MDU-SUNRAJA OIL INDUSTRIES PRIVATE LIMITED</v>
      </c>
      <c r="E112" s="21">
        <f ca="1">IF($D112="","",(SUMIF('TALLY KG DUMP'!$2:$2,"Qty",'TALLY KG DUMP'!111:111)/1000)-(SUMIF('TALLY KG DUMP'!$1:$1,"GL",'TALLY KG DUMP'!111:111)/1000))</f>
        <v>19.827000000000002</v>
      </c>
      <c r="F112" s="21">
        <f ca="1">IF($D112="","",(SUMIF('TALLY KG DUMP'!$1:$1,'ACH CALC'!F$2,'TALLY KG DUMP'!111:111)/1000))</f>
        <v>0</v>
      </c>
      <c r="G112" s="21">
        <f ca="1">IF($D112="","",SUMIF('TALLY BOX DUMP'!$1:$1,'ACH CALC'!G$2,'TALLY BOX DUMP'!111:111)+Y112)</f>
        <v>0</v>
      </c>
      <c r="H112" s="21">
        <f t="shared" ca="1" si="3"/>
        <v>295</v>
      </c>
      <c r="I112" s="21">
        <f ca="1">IF($D112="","",SUMIF('TALLY BOX DUMP'!$1:$1,'ACH CALC'!I$2,'TALLY BOX DUMP'!111:111)+AA112)</f>
        <v>295</v>
      </c>
      <c r="J112" s="21">
        <f ca="1">IF($D112="","",SUMIF('TALLY BOX DUMP'!$1:$1,'ACH CALC'!J$2,'TALLY BOX DUMP'!111:111)+AB112)</f>
        <v>0</v>
      </c>
      <c r="K112" s="21">
        <f ca="1">IF($D112="","",SUMIF('TALLY BOX DUMP'!$1:$1,'ACH CALC'!K$2,'TALLY BOX DUMP'!111:111)+AC112)</f>
        <v>0</v>
      </c>
      <c r="L112" s="21">
        <f ca="1">IF($D112="","",SUMIF('TALLY BOX DUMP'!$1:$1,'ACH CALC'!L$2,'TALLY BOX DUMP'!111:111))</f>
        <v>0</v>
      </c>
      <c r="M112" s="21">
        <f ca="1">IF($D112="","",SUMIF('TALLY BOX DUMP'!$1:$1,'ACH CALC'!M$2,'TALLY BOX DUMP'!111:111)+AD112)</f>
        <v>0</v>
      </c>
      <c r="N112" s="21">
        <f ca="1">IF($D112="","",SUMIF('TALLY BOX DUMP'!$1:$1,'ACH CALC'!N$2,'TALLY BOX DUMP'!111:111))</f>
        <v>0</v>
      </c>
      <c r="O112" s="21">
        <f ca="1">IF($D112="","",SUMIF('TALLY BOX DUMP'!$1:$1,'ACH CALC'!O$2,'TALLY BOX DUMP'!111:111))</f>
        <v>0</v>
      </c>
      <c r="P112" s="21">
        <f ca="1">IF($D112="","",SUMIF('TALLY BOX DUMP'!$1:$1,'ACH CALC'!P$2,'TALLY BOX DUMP'!111:111))</f>
        <v>0</v>
      </c>
      <c r="Q112" s="21">
        <f t="shared" ca="1" si="4"/>
        <v>0</v>
      </c>
      <c r="R112" s="21">
        <f ca="1">IF($D112="","",SUMIF('TALLY BOX DUMP'!$1:$1,'ACH CALC'!R$2,'TALLY BOX DUMP'!111:111))</f>
        <v>0</v>
      </c>
      <c r="S112" s="21">
        <f ca="1">IF($D112="","",SUMIF('TALLY BOX DUMP'!$1:$1,'ACH CALC'!S$2,'TALLY BOX DUMP'!111:111))</f>
        <v>0</v>
      </c>
      <c r="T112" s="21">
        <f ca="1">IF($D112="","",SUMIF('TALLY BOX DUMP'!$1:$1,'ACH CALC'!T$2,'TALLY BOX DUMP'!111:111))</f>
        <v>0</v>
      </c>
      <c r="U112" s="21">
        <f ca="1">IF($D112="","",SUMIF('TALLY BOX DUMP'!$1:$1,'ACH CALC'!U$2,'TALLY BOX DUMP'!111:111))</f>
        <v>0</v>
      </c>
      <c r="V112" s="21">
        <f ca="1">IF($D112="","",SUMIF('TALLY BOX DUMP'!$1:$1,'ACH CALC'!V$2,'TALLY BOX DUMP'!111:111))</f>
        <v>0</v>
      </c>
      <c r="W112" s="21">
        <f ca="1">IF($D112="","",SUMIF('TALLY BOX DUMP'!$1:$1,'ACH CALC'!W$2,'TALLY BOX DUMP'!111:111))</f>
        <v>0</v>
      </c>
      <c r="X112" s="21">
        <f ca="1">IF($D112="","",SUMIF('TALLY BOX DUMP'!$1:$1,'ACH CALC'!X$2,'TALLY BOX DUMP'!111:111))</f>
        <v>0</v>
      </c>
      <c r="Y112" s="21">
        <f ca="1">IF($D112="","",SUMIF('TALLY BOX DUMP'!$1:$1,'ACH CALC'!Y$2,'TALLY BOX DUMP'!111:111))</f>
        <v>0</v>
      </c>
      <c r="Z112" s="21">
        <f ca="1">IF($D112="","",SUMIF('TALLY BOX DUMP'!$1:$1,'ACH CALC'!Z$2,'TALLY BOX DUMP'!111:111)+AE112)</f>
        <v>0</v>
      </c>
      <c r="AA112" s="21">
        <f ca="1">IF($D112="","",SUMIF('TALLY BOX DUMP'!$1:$1,'ACH CALC'!AA$2,'TALLY BOX DUMP'!111:111))</f>
        <v>0</v>
      </c>
      <c r="AB112" s="21">
        <f ca="1">IF($D112="","",SUMIF('TALLY BOX DUMP'!$1:$1,'ACH CALC'!AB$2,'TALLY BOX DUMP'!111:111))</f>
        <v>0</v>
      </c>
      <c r="AC112" s="21">
        <f ca="1">IF($D112="","",SUMIF('TALLY BOX DUMP'!$1:$1,'ACH CALC'!AC$2,'TALLY BOX DUMP'!111:111))</f>
        <v>0</v>
      </c>
      <c r="AD112" s="21">
        <f ca="1">IF($D112="","",SUMIF('TALLY BOX DUMP'!$1:$1,'ACH CALC'!AD$2,'TALLY BOX DUMP'!111:111))</f>
        <v>0</v>
      </c>
      <c r="AE112" s="21">
        <f ca="1">IF($D112="","",SUMIF('TALLY BOX DUMP'!$1:$1,'ACH CALC'!AE$2,'TALLY BOX DUMP'!111:111))</f>
        <v>0</v>
      </c>
      <c r="AF112" s="21">
        <f ca="1">IF($D112="","",SUMIF('TALLY BOX DUMP'!$1:$1,'ACH CALC'!AF$2,'TALLY BOX DUMP'!111:111))</f>
        <v>0</v>
      </c>
      <c r="AG112" s="21">
        <f ca="1">IF($D112="","",SUMIF('TALLY BOX DUMP'!$1:$1,'ACH CALC'!AG$2,'TALLY BOX DUMP'!111:111))</f>
        <v>0</v>
      </c>
      <c r="AH112" s="21">
        <f ca="1">IF($D112="","",SUMIF('TALLY BOX DUMP'!$1:$1,'ACH CALC'!AH$2,'TALLY BOX DUMP'!111:111))</f>
        <v>0</v>
      </c>
      <c r="AI112" s="21">
        <f ca="1">IF($D112="","",SUMIF('TALLY BOX DUMP'!$1:$1,'ACH CALC'!AI$2,'TALLY BOX DUMP'!111:111))</f>
        <v>0</v>
      </c>
      <c r="AJ112" s="21">
        <f ca="1">IF($D112="","",SUMIF('TALLY BOX DUMP'!$1:$1,'ACH CALC'!AJ$2,'TALLY BOX DUMP'!111:111))</f>
        <v>0</v>
      </c>
      <c r="AK112" s="21">
        <f ca="1">IF($D112="","",SUMIF('TALLY BOX DUMP'!$1:$1,'ACH CALC'!AK$2,'TALLY BOX DUMP'!111:111))</f>
        <v>0</v>
      </c>
      <c r="AL112" s="21">
        <f ca="1">IF($D112="","",ROUND(SUMIF('TALLY KG DUMP'!$1:$1,'ACH CALC'!AL$2,'TALLY KG DUMP'!111:111)/30,1))</f>
        <v>0</v>
      </c>
      <c r="AM112" s="21">
        <f ca="1">IF($D112="","",SUMIF('TALLY BOX DUMP'!$1:$1,'ACH CALC'!AM$2,'TALLY BOX DUMP'!111:111))</f>
        <v>60</v>
      </c>
      <c r="AN112" s="21">
        <f ca="1">IF($D112="","",SUMIF('TALLY BOX DUMP'!$1:$1,'ACH CALC'!AN$2,'TALLY BOX DUMP'!111:111))</f>
        <v>0</v>
      </c>
      <c r="AO112" s="21">
        <f ca="1">IF($D112="","",SUMIF('TALLY BOX DUMP'!$1:$1,'ACH CALC'!AO$2,'TALLY BOX DUMP'!111:111))</f>
        <v>0</v>
      </c>
      <c r="AP112" s="21">
        <f ca="1">IF($D112="","",SUMIF('TALLY BOX DUMP'!$1:$1,'ACH CALC'!AP$2,'TALLY BOX DUMP'!111:111))</f>
        <v>0</v>
      </c>
      <c r="AQ112" s="21">
        <f ca="1">IF($D112="","",ROUND(SUMIF('TALLY KG DUMP'!$1:$1,'ACH CALC'!AQ$2,'TALLY KG DUMP'!111:111)/30,1))</f>
        <v>0</v>
      </c>
      <c r="AR112" s="21">
        <f ca="1">IF($D112="","",SUMIF('TALLY BOX DUMP'!$1:$1,'ACH CALC'!AR$2,'TALLY BOX DUMP'!111:111))</f>
        <v>0</v>
      </c>
      <c r="AS112" s="21">
        <f ca="1">IF($D112="","",SUMIF('TALLY BOX DUMP'!$1:$1,'ACH CALC'!AS$2,'TALLY BOX DUMP'!111:111))</f>
        <v>0</v>
      </c>
      <c r="AT112" s="21">
        <f ca="1">IF($D112="","",SUMIF('TALLY BOX DUMP'!$1:$1,'ACH CALC'!AT$2,'TALLY BOX DUMP'!111:111))</f>
        <v>0</v>
      </c>
      <c r="AU112" s="21">
        <f ca="1">IF($D112="","",SUMIF('TALLY BOX DUMP'!$1:$1,'ACH CALC'!AU$2,'TALLY BOX DUMP'!111:111))</f>
        <v>0</v>
      </c>
      <c r="AV112" s="21">
        <f ca="1">IF($D112="","",SUMIF('TALLY BOX DUMP'!$1:$1,'ACH CALC'!AV$2,'TALLY BOX DUMP'!111:111))</f>
        <v>0</v>
      </c>
      <c r="AW112" s="21">
        <f ca="1">IF($D112="","",SUMIF('TALLY BOX DUMP'!$1:$1,'ACH CALC'!AW$2,'TALLY BOX DUMP'!111:111))</f>
        <v>0</v>
      </c>
      <c r="AX112" s="21">
        <f ca="1">IF($D112="","",SUMIF('TALLY BOX DUMP'!$1:$1,'ACH CALC'!AX$2,'TALLY BOX DUMP'!111:111))</f>
        <v>0</v>
      </c>
      <c r="AY112" s="21">
        <f ca="1">IF($D112="","",SUMIF('TALLY BOX DUMP'!$1:$1,'ACH CALC'!AY$2,'TALLY BOX DUMP'!111:111))</f>
        <v>0</v>
      </c>
      <c r="AZ112" s="21">
        <f ca="1">IF($D112="","",SUMIF('TALLY BOX DUMP'!$1:$1,'ACH CALC'!AZ$2,'TALLY BOX DUMP'!111:111))</f>
        <v>0</v>
      </c>
      <c r="BA112" s="69">
        <f>(SUMIF('TALLY KG DUMP'!$2:$2,"Qty",'TALLY KG DUMP'!111:111)/1000)-(SUMIF('TALLY KG DUMP'!$1:$1,"GL",'TALLY KG DUMP'!111:111)/1000)</f>
        <v>19.827000000000002</v>
      </c>
      <c r="BB112" s="21" t="b">
        <f t="shared" ca="1" si="5"/>
        <v>1</v>
      </c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</row>
    <row r="113" spans="2:75" x14ac:dyDescent="0.25">
      <c r="B113" s="21" t="str">
        <f ca="1"/>
        <v/>
      </c>
      <c r="C113" s="21" t="str">
        <f ca="1"/>
        <v/>
      </c>
      <c r="D113" s="21" t="str">
        <f ca="1"/>
        <v>TOTAL</v>
      </c>
      <c r="E113" s="21">
        <f ca="1">IF($D113="","",(SUMIF('TALLY KG DUMP'!$2:$2,"Qty",'TALLY KG DUMP'!112:112)/1000)-(SUMIF('TALLY KG DUMP'!$1:$1,"GL",'TALLY KG DUMP'!112:112)/1000))</f>
        <v>214.07499999999999</v>
      </c>
      <c r="F113" s="21">
        <f ca="1">IF($D113="","",(SUMIF('TALLY KG DUMP'!$1:$1,'ACH CALC'!F$2,'TALLY KG DUMP'!112:112)/1000))</f>
        <v>0</v>
      </c>
      <c r="G113" s="21">
        <f ca="1">IF($D113="","",SUMIF('TALLY BOX DUMP'!$1:$1,'ACH CALC'!G$2,'TALLY BOX DUMP'!112:112)+Y113)</f>
        <v>0</v>
      </c>
      <c r="H113" s="21">
        <f t="shared" ca="1" si="3"/>
        <v>935</v>
      </c>
      <c r="I113" s="21">
        <f ca="1">IF($D113="","",SUMIF('TALLY BOX DUMP'!$1:$1,'ACH CALC'!I$2,'TALLY BOX DUMP'!112:112)+AA113)</f>
        <v>719</v>
      </c>
      <c r="J113" s="21">
        <f ca="1">IF($D113="","",SUMIF('TALLY BOX DUMP'!$1:$1,'ACH CALC'!J$2,'TALLY BOX DUMP'!112:112)+AB113)</f>
        <v>0</v>
      </c>
      <c r="K113" s="21">
        <f ca="1">IF($D113="","",SUMIF('TALLY BOX DUMP'!$1:$1,'ACH CALC'!K$2,'TALLY BOX DUMP'!112:112)+AC113)</f>
        <v>216</v>
      </c>
      <c r="L113" s="21">
        <f ca="1">IF($D113="","",SUMIF('TALLY BOX DUMP'!$1:$1,'ACH CALC'!L$2,'TALLY BOX DUMP'!112:112))</f>
        <v>0</v>
      </c>
      <c r="M113" s="21">
        <f ca="1">IF($D113="","",SUMIF('TALLY BOX DUMP'!$1:$1,'ACH CALC'!M$2,'TALLY BOX DUMP'!112:112)+AD113)</f>
        <v>0</v>
      </c>
      <c r="N113" s="21">
        <f ca="1">IF($D113="","",SUMIF('TALLY BOX DUMP'!$1:$1,'ACH CALC'!N$2,'TALLY BOX DUMP'!112:112))</f>
        <v>0</v>
      </c>
      <c r="O113" s="21">
        <f ca="1">IF($D113="","",SUMIF('TALLY BOX DUMP'!$1:$1,'ACH CALC'!O$2,'TALLY BOX DUMP'!112:112))</f>
        <v>0</v>
      </c>
      <c r="P113" s="21">
        <f ca="1">IF($D113="","",SUMIF('TALLY BOX DUMP'!$1:$1,'ACH CALC'!P$2,'TALLY BOX DUMP'!112:112))</f>
        <v>0</v>
      </c>
      <c r="Q113" s="21">
        <f t="shared" ca="1" si="4"/>
        <v>0</v>
      </c>
      <c r="R113" s="21">
        <f ca="1">IF($D113="","",SUMIF('TALLY BOX DUMP'!$1:$1,'ACH CALC'!R$2,'TALLY BOX DUMP'!112:112))</f>
        <v>0</v>
      </c>
      <c r="S113" s="21">
        <f ca="1">IF($D113="","",SUMIF('TALLY BOX DUMP'!$1:$1,'ACH CALC'!S$2,'TALLY BOX DUMP'!112:112))</f>
        <v>0</v>
      </c>
      <c r="T113" s="21">
        <f ca="1">IF($D113="","",SUMIF('TALLY BOX DUMP'!$1:$1,'ACH CALC'!T$2,'TALLY BOX DUMP'!112:112))</f>
        <v>0</v>
      </c>
      <c r="U113" s="21">
        <f ca="1">IF($D113="","",SUMIF('TALLY BOX DUMP'!$1:$1,'ACH CALC'!U$2,'TALLY BOX DUMP'!112:112))</f>
        <v>0</v>
      </c>
      <c r="V113" s="21">
        <f ca="1">IF($D113="","",SUMIF('TALLY BOX DUMP'!$1:$1,'ACH CALC'!V$2,'TALLY BOX DUMP'!112:112))</f>
        <v>0</v>
      </c>
      <c r="W113" s="21">
        <f ca="1">IF($D113="","",SUMIF('TALLY BOX DUMP'!$1:$1,'ACH CALC'!W$2,'TALLY BOX DUMP'!112:112))</f>
        <v>0</v>
      </c>
      <c r="X113" s="21">
        <f ca="1">IF($D113="","",SUMIF('TALLY BOX DUMP'!$1:$1,'ACH CALC'!X$2,'TALLY BOX DUMP'!112:112))</f>
        <v>0</v>
      </c>
      <c r="Y113" s="21">
        <f ca="1">IF($D113="","",SUMIF('TALLY BOX DUMP'!$1:$1,'ACH CALC'!Y$2,'TALLY BOX DUMP'!112:112))</f>
        <v>0</v>
      </c>
      <c r="Z113" s="21">
        <f ca="1">IF($D113="","",SUMIF('TALLY BOX DUMP'!$1:$1,'ACH CALC'!Z$2,'TALLY BOX DUMP'!112:112)+AE113)</f>
        <v>0</v>
      </c>
      <c r="AA113" s="21">
        <f ca="1">IF($D113="","",SUMIF('TALLY BOX DUMP'!$1:$1,'ACH CALC'!AA$2,'TALLY BOX DUMP'!112:112))</f>
        <v>0</v>
      </c>
      <c r="AB113" s="21">
        <f ca="1">IF($D113="","",SUMIF('TALLY BOX DUMP'!$1:$1,'ACH CALC'!AB$2,'TALLY BOX DUMP'!112:112))</f>
        <v>0</v>
      </c>
      <c r="AC113" s="21">
        <f ca="1">IF($D113="","",SUMIF('TALLY BOX DUMP'!$1:$1,'ACH CALC'!AC$2,'TALLY BOX DUMP'!112:112))</f>
        <v>0</v>
      </c>
      <c r="AD113" s="21">
        <f ca="1">IF($D113="","",SUMIF('TALLY BOX DUMP'!$1:$1,'ACH CALC'!AD$2,'TALLY BOX DUMP'!112:112))</f>
        <v>0</v>
      </c>
      <c r="AE113" s="21">
        <f ca="1">IF($D113="","",SUMIF('TALLY BOX DUMP'!$1:$1,'ACH CALC'!AE$2,'TALLY BOX DUMP'!112:112))</f>
        <v>0</v>
      </c>
      <c r="AF113" s="21">
        <f ca="1">IF($D113="","",SUMIF('TALLY BOX DUMP'!$1:$1,'ACH CALC'!AF$2,'TALLY BOX DUMP'!112:112))</f>
        <v>0</v>
      </c>
      <c r="AG113" s="21">
        <f ca="1">IF($D113="","",SUMIF('TALLY BOX DUMP'!$1:$1,'ACH CALC'!AG$2,'TALLY BOX DUMP'!112:112))</f>
        <v>0</v>
      </c>
      <c r="AH113" s="21">
        <f ca="1">IF($D113="","",SUMIF('TALLY BOX DUMP'!$1:$1,'ACH CALC'!AH$2,'TALLY BOX DUMP'!112:112))</f>
        <v>0</v>
      </c>
      <c r="AI113" s="21">
        <f ca="1">IF($D113="","",SUMIF('TALLY BOX DUMP'!$1:$1,'ACH CALC'!AI$2,'TALLY BOX DUMP'!112:112))</f>
        <v>0</v>
      </c>
      <c r="AJ113" s="21">
        <f ca="1">IF($D113="","",SUMIF('TALLY BOX DUMP'!$1:$1,'ACH CALC'!AJ$2,'TALLY BOX DUMP'!112:112))</f>
        <v>0</v>
      </c>
      <c r="AK113" s="21">
        <f ca="1">IF($D113="","",SUMIF('TALLY BOX DUMP'!$1:$1,'ACH CALC'!AK$2,'TALLY BOX DUMP'!112:112))</f>
        <v>0</v>
      </c>
      <c r="AL113" s="21">
        <f ca="1">IF($D113="","",ROUND(SUMIF('TALLY KG DUMP'!$1:$1,'ACH CALC'!AL$2,'TALLY KG DUMP'!112:112)/30,1))</f>
        <v>0</v>
      </c>
      <c r="AM113" s="21">
        <f ca="1">IF($D113="","",SUMIF('TALLY BOX DUMP'!$1:$1,'ACH CALC'!AM$2,'TALLY BOX DUMP'!112:112))</f>
        <v>311</v>
      </c>
      <c r="AN113" s="21">
        <f ca="1">IF($D113="","",SUMIF('TALLY BOX DUMP'!$1:$1,'ACH CALC'!AN$2,'TALLY BOX DUMP'!112:112))</f>
        <v>0</v>
      </c>
      <c r="AO113" s="21">
        <f ca="1">IF($D113="","",SUMIF('TALLY BOX DUMP'!$1:$1,'ACH CALC'!AO$2,'TALLY BOX DUMP'!112:112))</f>
        <v>15</v>
      </c>
      <c r="AP113" s="21">
        <f ca="1">IF($D113="","",SUMIF('TALLY BOX DUMP'!$1:$1,'ACH CALC'!AP$2,'TALLY BOX DUMP'!112:112))</f>
        <v>0</v>
      </c>
      <c r="AQ113" s="21">
        <f ca="1">IF($D113="","",ROUND(SUMIF('TALLY KG DUMP'!$1:$1,'ACH CALC'!AQ$2,'TALLY KG DUMP'!112:112)/30,1))</f>
        <v>0</v>
      </c>
      <c r="AR113" s="21">
        <f ca="1">IF($D113="","",SUMIF('TALLY BOX DUMP'!$1:$1,'ACH CALC'!AR$2,'TALLY BOX DUMP'!112:112))</f>
        <v>0</v>
      </c>
      <c r="AS113" s="21">
        <f ca="1">IF($D113="","",SUMIF('TALLY BOX DUMP'!$1:$1,'ACH CALC'!AS$2,'TALLY BOX DUMP'!112:112))</f>
        <v>0</v>
      </c>
      <c r="AT113" s="21">
        <f ca="1">IF($D113="","",SUMIF('TALLY BOX DUMP'!$1:$1,'ACH CALC'!AT$2,'TALLY BOX DUMP'!112:112))</f>
        <v>0</v>
      </c>
      <c r="AU113" s="21">
        <f ca="1">IF($D113="","",SUMIF('TALLY BOX DUMP'!$1:$1,'ACH CALC'!AU$2,'TALLY BOX DUMP'!112:112))</f>
        <v>0</v>
      </c>
      <c r="AV113" s="21">
        <f ca="1">IF($D113="","",SUMIF('TALLY BOX DUMP'!$1:$1,'ACH CALC'!AV$2,'TALLY BOX DUMP'!112:112))</f>
        <v>0</v>
      </c>
      <c r="AW113" s="21">
        <f ca="1">IF($D113="","",SUMIF('TALLY BOX DUMP'!$1:$1,'ACH CALC'!AW$2,'TALLY BOX DUMP'!112:112))</f>
        <v>0</v>
      </c>
      <c r="AX113" s="21">
        <f ca="1">IF($D113="","",SUMIF('TALLY BOX DUMP'!$1:$1,'ACH CALC'!AX$2,'TALLY BOX DUMP'!112:112))</f>
        <v>0</v>
      </c>
      <c r="AY113" s="21">
        <f ca="1">IF($D113="","",SUMIF('TALLY BOX DUMP'!$1:$1,'ACH CALC'!AY$2,'TALLY BOX DUMP'!112:112))</f>
        <v>0</v>
      </c>
      <c r="AZ113" s="21">
        <f ca="1">IF($D113="","",SUMIF('TALLY BOX DUMP'!$1:$1,'ACH CALC'!AZ$2,'TALLY BOX DUMP'!112:112))</f>
        <v>0</v>
      </c>
      <c r="BA113" s="69">
        <f>(SUMIF('TALLY KG DUMP'!$2:$2,"Qty",'TALLY KG DUMP'!112:112)/1000)-(SUMIF('TALLY KG DUMP'!$1:$1,"GL",'TALLY KG DUMP'!112:112)/1000)</f>
        <v>214.07499999999999</v>
      </c>
      <c r="BB113" s="21" t="b">
        <f t="shared" ca="1" si="5"/>
        <v>1</v>
      </c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</row>
    <row r="114" spans="2:75" x14ac:dyDescent="0.25">
      <c r="B114" s="21"/>
      <c r="C114" s="21"/>
      <c r="D114" s="21"/>
      <c r="E114" s="21" t="str">
        <f>IF($D114="","",(SUMIF('TALLY KG DUMP'!$2:$2,"Qty",'TALLY KG DUMP'!113:113)/1000)-(SUMIF('TALLY KG DUMP'!$1:$1,"GL",'TALLY KG DUMP'!113:113)/1000))</f>
        <v/>
      </c>
      <c r="F114" s="21" t="str">
        <f>IF($D114="","",(SUMIF('TALLY KG DUMP'!$1:$1,'ACH CALC'!F$2,'TALLY KG DUMP'!113:113)/1000))</f>
        <v/>
      </c>
      <c r="G114" s="21" t="str">
        <f>IF($D114="","",SUMIF('TALLY BOX DUMP'!$1:$1,'ACH CALC'!G$2,'TALLY BOX DUMP'!113:113)+Y114)</f>
        <v/>
      </c>
      <c r="H114" s="21" t="str">
        <f t="shared" si="3"/>
        <v/>
      </c>
      <c r="I114" s="21" t="str">
        <f>IF($D114="","",SUMIF('TALLY BOX DUMP'!$1:$1,'ACH CALC'!I$2,'TALLY BOX DUMP'!113:113)+AA114)</f>
        <v/>
      </c>
      <c r="J114" s="21" t="str">
        <f>IF($D114="","",SUMIF('TALLY BOX DUMP'!$1:$1,'ACH CALC'!J$2,'TALLY BOX DUMP'!113:113)+AB114)</f>
        <v/>
      </c>
      <c r="K114" s="21" t="str">
        <f>IF($D114="","",SUMIF('TALLY BOX DUMP'!$1:$1,'ACH CALC'!K$2,'TALLY BOX DUMP'!113:113)+AC114)</f>
        <v/>
      </c>
      <c r="L114" s="21" t="str">
        <f>IF($D114="","",SUMIF('TALLY BOX DUMP'!$1:$1,'ACH CALC'!L$2,'TALLY BOX DUMP'!113:113))</f>
        <v/>
      </c>
      <c r="M114" s="21" t="str">
        <f>IF($D114="","",SUMIF('TALLY BOX DUMP'!$1:$1,'ACH CALC'!M$2,'TALLY BOX DUMP'!113:113)+AD114)</f>
        <v/>
      </c>
      <c r="N114" s="21" t="str">
        <f>IF($D114="","",SUMIF('TALLY BOX DUMP'!$1:$1,'ACH CALC'!N$2,'TALLY BOX DUMP'!113:113))</f>
        <v/>
      </c>
      <c r="O114" s="21" t="str">
        <f>IF($D114="","",SUMIF('TALLY BOX DUMP'!$1:$1,'ACH CALC'!O$2,'TALLY BOX DUMP'!113:113))</f>
        <v/>
      </c>
      <c r="P114" s="21" t="str">
        <f>IF($D114="","",SUMIF('TALLY BOX DUMP'!$1:$1,'ACH CALC'!P$2,'TALLY BOX DUMP'!113:113))</f>
        <v/>
      </c>
      <c r="Q114" s="21" t="str">
        <f t="shared" si="4"/>
        <v/>
      </c>
      <c r="R114" s="21" t="str">
        <f>IF($D114="","",SUMIF('TALLY BOX DUMP'!$1:$1,'ACH CALC'!R$2,'TALLY BOX DUMP'!113:113))</f>
        <v/>
      </c>
      <c r="S114" s="21" t="str">
        <f>IF($D114="","",SUMIF('TALLY BOX DUMP'!$1:$1,'ACH CALC'!S$2,'TALLY BOX DUMP'!113:113))</f>
        <v/>
      </c>
      <c r="T114" s="21" t="str">
        <f>IF($D114="","",SUMIF('TALLY BOX DUMP'!$1:$1,'ACH CALC'!T$2,'TALLY BOX DUMP'!113:113))</f>
        <v/>
      </c>
      <c r="U114" s="21" t="str">
        <f>IF($D114="","",SUMIF('TALLY BOX DUMP'!$1:$1,'ACH CALC'!U$2,'TALLY BOX DUMP'!113:113))</f>
        <v/>
      </c>
      <c r="V114" s="21" t="str">
        <f>IF($D114="","",SUMIF('TALLY BOX DUMP'!$1:$1,'ACH CALC'!V$2,'TALLY BOX DUMP'!113:113))</f>
        <v/>
      </c>
      <c r="W114" s="21" t="str">
        <f>IF($D114="","",SUMIF('TALLY BOX DUMP'!$1:$1,'ACH CALC'!W$2,'TALLY BOX DUMP'!113:113))</f>
        <v/>
      </c>
      <c r="X114" s="21" t="str">
        <f>IF($D114="","",SUMIF('TALLY BOX DUMP'!$1:$1,'ACH CALC'!X$2,'TALLY BOX DUMP'!113:113))</f>
        <v/>
      </c>
      <c r="Y114" s="21" t="str">
        <f>IF($D114="","",SUMIF('TALLY BOX DUMP'!$1:$1,'ACH CALC'!Y$2,'TALLY BOX DUMP'!113:113))</f>
        <v/>
      </c>
      <c r="Z114" s="21" t="str">
        <f>IF($D114="","",SUMIF('TALLY BOX DUMP'!$1:$1,'ACH CALC'!Z$2,'TALLY BOX DUMP'!113:113)+AE114)</f>
        <v/>
      </c>
      <c r="AA114" s="21" t="str">
        <f>IF($D114="","",SUMIF('TALLY BOX DUMP'!$1:$1,'ACH CALC'!AA$2,'TALLY BOX DUMP'!113:113))</f>
        <v/>
      </c>
      <c r="AB114" s="21" t="str">
        <f>IF($D114="","",SUMIF('TALLY BOX DUMP'!$1:$1,'ACH CALC'!AB$2,'TALLY BOX DUMP'!113:113))</f>
        <v/>
      </c>
      <c r="AC114" s="21" t="str">
        <f>IF($D114="","",SUMIF('TALLY BOX DUMP'!$1:$1,'ACH CALC'!AC$2,'TALLY BOX DUMP'!113:113))</f>
        <v/>
      </c>
      <c r="AD114" s="21" t="str">
        <f>IF($D114="","",SUMIF('TALLY BOX DUMP'!$1:$1,'ACH CALC'!AD$2,'TALLY BOX DUMP'!113:113))</f>
        <v/>
      </c>
      <c r="AE114" s="21" t="str">
        <f>IF($D114="","",SUMIF('TALLY BOX DUMP'!$1:$1,'ACH CALC'!AE$2,'TALLY BOX DUMP'!113:113))</f>
        <v/>
      </c>
      <c r="AF114" s="21" t="str">
        <f>IF($D114="","",SUMIF('TALLY BOX DUMP'!$1:$1,'ACH CALC'!AF$2,'TALLY BOX DUMP'!113:113))</f>
        <v/>
      </c>
      <c r="AG114" s="21" t="str">
        <f>IF($D114="","",SUMIF('TALLY BOX DUMP'!$1:$1,'ACH CALC'!AG$2,'TALLY BOX DUMP'!113:113))</f>
        <v/>
      </c>
      <c r="AH114" s="21" t="str">
        <f>IF($D114="","",SUMIF('TALLY BOX DUMP'!$1:$1,'ACH CALC'!AH$2,'TALLY BOX DUMP'!113:113))</f>
        <v/>
      </c>
      <c r="AI114" s="21" t="str">
        <f>IF($D114="","",SUMIF('TALLY BOX DUMP'!$1:$1,'ACH CALC'!AI$2,'TALLY BOX DUMP'!113:113))</f>
        <v/>
      </c>
      <c r="AJ114" s="21" t="str">
        <f>IF($D114="","",SUMIF('TALLY BOX DUMP'!$1:$1,'ACH CALC'!AJ$2,'TALLY BOX DUMP'!113:113))</f>
        <v/>
      </c>
      <c r="AK114" s="21" t="str">
        <f>IF($D114="","",SUMIF('TALLY BOX DUMP'!$1:$1,'ACH CALC'!AK$2,'TALLY BOX DUMP'!113:113))</f>
        <v/>
      </c>
      <c r="AL114" s="21" t="str">
        <f>IF($D114="","",ROUND(SUMIF('TALLY KG DUMP'!$1:$1,'ACH CALC'!AL$2,'TALLY KG DUMP'!113:113)/30,1))</f>
        <v/>
      </c>
      <c r="AM114" s="21" t="str">
        <f>IF($D114="","",SUMIF('TALLY BOX DUMP'!$1:$1,'ACH CALC'!AM$2,'TALLY BOX DUMP'!113:113))</f>
        <v/>
      </c>
      <c r="AN114" s="21" t="str">
        <f>IF($D114="","",SUMIF('TALLY BOX DUMP'!$1:$1,'ACH CALC'!AN$2,'TALLY BOX DUMP'!113:113))</f>
        <v/>
      </c>
      <c r="AO114" s="21" t="str">
        <f>IF($D114="","",SUMIF('TALLY BOX DUMP'!$1:$1,'ACH CALC'!AO$2,'TALLY BOX DUMP'!113:113))</f>
        <v/>
      </c>
      <c r="AP114" s="21" t="str">
        <f>IF($D114="","",SUMIF('TALLY BOX DUMP'!$1:$1,'ACH CALC'!AP$2,'TALLY BOX DUMP'!113:113))</f>
        <v/>
      </c>
      <c r="AQ114" s="21" t="str">
        <f>IF($D114="","",ROUND(SUMIF('TALLY KG DUMP'!$1:$1,'ACH CALC'!AQ$2,'TALLY KG DUMP'!113:113)/30,1))</f>
        <v/>
      </c>
      <c r="AR114" s="21" t="str">
        <f>IF($D114="","",SUMIF('TALLY BOX DUMP'!$1:$1,'ACH CALC'!AR$2,'TALLY BOX DUMP'!113:113))</f>
        <v/>
      </c>
      <c r="AS114" s="21" t="str">
        <f>IF($D114="","",SUMIF('TALLY BOX DUMP'!$1:$1,'ACH CALC'!AS$2,'TALLY BOX DUMP'!113:113))</f>
        <v/>
      </c>
      <c r="AT114" s="21" t="str">
        <f>IF($D114="","",SUMIF('TALLY BOX DUMP'!$1:$1,'ACH CALC'!AT$2,'TALLY BOX DUMP'!113:113))</f>
        <v/>
      </c>
      <c r="AU114" s="21" t="str">
        <f>IF($D114="","",SUMIF('TALLY BOX DUMP'!$1:$1,'ACH CALC'!AU$2,'TALLY BOX DUMP'!113:113))</f>
        <v/>
      </c>
      <c r="AV114" s="21" t="str">
        <f>IF($D114="","",SUMIF('TALLY BOX DUMP'!$1:$1,'ACH CALC'!AV$2,'TALLY BOX DUMP'!113:113))</f>
        <v/>
      </c>
      <c r="AW114" s="21" t="str">
        <f>IF($D114="","",SUMIF('TALLY BOX DUMP'!$1:$1,'ACH CALC'!AW$2,'TALLY BOX DUMP'!113:113))</f>
        <v/>
      </c>
      <c r="AX114" s="21" t="str">
        <f>IF($D114="","",SUMIF('TALLY BOX DUMP'!$1:$1,'ACH CALC'!AX$2,'TALLY BOX DUMP'!113:113))</f>
        <v/>
      </c>
      <c r="AY114" s="21" t="str">
        <f>IF($D114="","",SUMIF('TALLY BOX DUMP'!$1:$1,'ACH CALC'!AY$2,'TALLY BOX DUMP'!113:113))</f>
        <v/>
      </c>
      <c r="AZ114" s="21" t="str">
        <f>IF($D114="","",SUMIF('TALLY BOX DUMP'!$1:$1,'ACH CALC'!AZ$2,'TALLY BOX DUMP'!113:113))</f>
        <v/>
      </c>
      <c r="BA114" s="69">
        <f>(SUMIF('TALLY KG DUMP'!$2:$2,"Qty",'TALLY KG DUMP'!113:113)/1000)-(SUMIF('TALLY KG DUMP'!$1:$1,"GL",'TALLY KG DUMP'!113:113)/1000)</f>
        <v>0</v>
      </c>
      <c r="BB114" s="21" t="b">
        <f t="shared" si="5"/>
        <v>0</v>
      </c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</row>
    <row r="115" spans="2:75" x14ac:dyDescent="0.25">
      <c r="B115" s="21"/>
      <c r="C115" s="21"/>
      <c r="D115" s="21"/>
      <c r="E115" s="21" t="str">
        <f>IF($D115="","",(SUMIF('TALLY KG DUMP'!$2:$2,"Qty",'TALLY KG DUMP'!114:114)/1000)-(SUMIF('TALLY KG DUMP'!$1:$1,"GL",'TALLY KG DUMP'!114:114)/1000))</f>
        <v/>
      </c>
      <c r="F115" s="21" t="str">
        <f>IF($D115="","",(SUMIF('TALLY KG DUMP'!$1:$1,'ACH CALC'!F$2,'TALLY KG DUMP'!114:114)/1000))</f>
        <v/>
      </c>
      <c r="G115" s="21" t="str">
        <f>IF($D115="","",SUMIF('TALLY BOX DUMP'!$1:$1,'ACH CALC'!G$2,'TALLY BOX DUMP'!114:114)+Y115)</f>
        <v/>
      </c>
      <c r="H115" s="21" t="str">
        <f t="shared" si="3"/>
        <v/>
      </c>
      <c r="I115" s="21" t="str">
        <f>IF($D115="","",SUMIF('TALLY BOX DUMP'!$1:$1,'ACH CALC'!I$2,'TALLY BOX DUMP'!114:114)+AA115)</f>
        <v/>
      </c>
      <c r="J115" s="21" t="str">
        <f>IF($D115="","",SUMIF('TALLY BOX DUMP'!$1:$1,'ACH CALC'!J$2,'TALLY BOX DUMP'!114:114)+AB115)</f>
        <v/>
      </c>
      <c r="K115" s="21" t="str">
        <f>IF($D115="","",SUMIF('TALLY BOX DUMP'!$1:$1,'ACH CALC'!K$2,'TALLY BOX DUMP'!114:114)+AC115)</f>
        <v/>
      </c>
      <c r="L115" s="21" t="str">
        <f>IF($D115="","",SUMIF('TALLY BOX DUMP'!$1:$1,'ACH CALC'!L$2,'TALLY BOX DUMP'!114:114))</f>
        <v/>
      </c>
      <c r="M115" s="21" t="str">
        <f>IF($D115="","",SUMIF('TALLY BOX DUMP'!$1:$1,'ACH CALC'!M$2,'TALLY BOX DUMP'!114:114)+AD115)</f>
        <v/>
      </c>
      <c r="N115" s="21" t="str">
        <f>IF($D115="","",SUMIF('TALLY BOX DUMP'!$1:$1,'ACH CALC'!N$2,'TALLY BOX DUMP'!114:114))</f>
        <v/>
      </c>
      <c r="O115" s="21" t="str">
        <f>IF($D115="","",SUMIF('TALLY BOX DUMP'!$1:$1,'ACH CALC'!O$2,'TALLY BOX DUMP'!114:114))</f>
        <v/>
      </c>
      <c r="P115" s="21" t="str">
        <f>IF($D115="","",SUMIF('TALLY BOX DUMP'!$1:$1,'ACH CALC'!P$2,'TALLY BOX DUMP'!114:114))</f>
        <v/>
      </c>
      <c r="Q115" s="21" t="str">
        <f t="shared" si="4"/>
        <v/>
      </c>
      <c r="R115" s="21" t="str">
        <f>IF($D115="","",SUMIF('TALLY BOX DUMP'!$1:$1,'ACH CALC'!R$2,'TALLY BOX DUMP'!114:114))</f>
        <v/>
      </c>
      <c r="S115" s="21" t="str">
        <f>IF($D115="","",SUMIF('TALLY BOX DUMP'!$1:$1,'ACH CALC'!S$2,'TALLY BOX DUMP'!114:114))</f>
        <v/>
      </c>
      <c r="T115" s="21" t="str">
        <f>IF($D115="","",SUMIF('TALLY BOX DUMP'!$1:$1,'ACH CALC'!T$2,'TALLY BOX DUMP'!114:114))</f>
        <v/>
      </c>
      <c r="U115" s="21" t="str">
        <f>IF($D115="","",SUMIF('TALLY BOX DUMP'!$1:$1,'ACH CALC'!U$2,'TALLY BOX DUMP'!114:114))</f>
        <v/>
      </c>
      <c r="V115" s="21" t="str">
        <f>IF($D115="","",SUMIF('TALLY BOX DUMP'!$1:$1,'ACH CALC'!V$2,'TALLY BOX DUMP'!114:114))</f>
        <v/>
      </c>
      <c r="W115" s="21" t="str">
        <f>IF($D115="","",SUMIF('TALLY BOX DUMP'!$1:$1,'ACH CALC'!W$2,'TALLY BOX DUMP'!114:114))</f>
        <v/>
      </c>
      <c r="X115" s="21" t="str">
        <f>IF($D115="","",SUMIF('TALLY BOX DUMP'!$1:$1,'ACH CALC'!X$2,'TALLY BOX DUMP'!114:114))</f>
        <v/>
      </c>
      <c r="Y115" s="21" t="str">
        <f>IF($D115="","",SUMIF('TALLY BOX DUMP'!$1:$1,'ACH CALC'!Y$2,'TALLY BOX DUMP'!114:114))</f>
        <v/>
      </c>
      <c r="Z115" s="21" t="str">
        <f>IF($D115="","",SUMIF('TALLY BOX DUMP'!$1:$1,'ACH CALC'!Z$2,'TALLY BOX DUMP'!114:114)+AE115)</f>
        <v/>
      </c>
      <c r="AA115" s="21" t="str">
        <f>IF($D115="","",SUMIF('TALLY BOX DUMP'!$1:$1,'ACH CALC'!AA$2,'TALLY BOX DUMP'!114:114))</f>
        <v/>
      </c>
      <c r="AB115" s="21" t="str">
        <f>IF($D115="","",SUMIF('TALLY BOX DUMP'!$1:$1,'ACH CALC'!AB$2,'TALLY BOX DUMP'!114:114))</f>
        <v/>
      </c>
      <c r="AC115" s="21" t="str">
        <f>IF($D115="","",SUMIF('TALLY BOX DUMP'!$1:$1,'ACH CALC'!AC$2,'TALLY BOX DUMP'!114:114))</f>
        <v/>
      </c>
      <c r="AD115" s="21" t="str">
        <f>IF($D115="","",SUMIF('TALLY BOX DUMP'!$1:$1,'ACH CALC'!AD$2,'TALLY BOX DUMP'!114:114))</f>
        <v/>
      </c>
      <c r="AE115" s="21" t="str">
        <f>IF($D115="","",SUMIF('TALLY BOX DUMP'!$1:$1,'ACH CALC'!AE$2,'TALLY BOX DUMP'!114:114))</f>
        <v/>
      </c>
      <c r="AF115" s="21" t="str">
        <f>IF($D115="","",SUMIF('TALLY BOX DUMP'!$1:$1,'ACH CALC'!AF$2,'TALLY BOX DUMP'!114:114))</f>
        <v/>
      </c>
      <c r="AG115" s="21" t="str">
        <f>IF($D115="","",SUMIF('TALLY BOX DUMP'!$1:$1,'ACH CALC'!AG$2,'TALLY BOX DUMP'!114:114))</f>
        <v/>
      </c>
      <c r="AH115" s="21" t="str">
        <f>IF($D115="","",SUMIF('TALLY BOX DUMP'!$1:$1,'ACH CALC'!AH$2,'TALLY BOX DUMP'!114:114))</f>
        <v/>
      </c>
      <c r="AI115" s="21" t="str">
        <f>IF($D115="","",SUMIF('TALLY BOX DUMP'!$1:$1,'ACH CALC'!AI$2,'TALLY BOX DUMP'!114:114))</f>
        <v/>
      </c>
      <c r="AJ115" s="21" t="str">
        <f>IF($D115="","",SUMIF('TALLY BOX DUMP'!$1:$1,'ACH CALC'!AJ$2,'TALLY BOX DUMP'!114:114))</f>
        <v/>
      </c>
      <c r="AK115" s="21" t="str">
        <f>IF($D115="","",SUMIF('TALLY BOX DUMP'!$1:$1,'ACH CALC'!AK$2,'TALLY BOX DUMP'!114:114))</f>
        <v/>
      </c>
      <c r="AL115" s="21" t="str">
        <f>IF($D115="","",ROUND(SUMIF('TALLY KG DUMP'!$1:$1,'ACH CALC'!AL$2,'TALLY KG DUMP'!114:114)/30,1))</f>
        <v/>
      </c>
      <c r="AM115" s="21" t="str">
        <f>IF($D115="","",SUMIF('TALLY BOX DUMP'!$1:$1,'ACH CALC'!AM$2,'TALLY BOX DUMP'!114:114))</f>
        <v/>
      </c>
      <c r="AN115" s="21" t="str">
        <f>IF($D115="","",SUMIF('TALLY BOX DUMP'!$1:$1,'ACH CALC'!AN$2,'TALLY BOX DUMP'!114:114))</f>
        <v/>
      </c>
      <c r="AO115" s="21" t="str">
        <f>IF($D115="","",SUMIF('TALLY BOX DUMP'!$1:$1,'ACH CALC'!AO$2,'TALLY BOX DUMP'!114:114))</f>
        <v/>
      </c>
      <c r="AP115" s="21" t="str">
        <f>IF($D115="","",SUMIF('TALLY BOX DUMP'!$1:$1,'ACH CALC'!AP$2,'TALLY BOX DUMP'!114:114))</f>
        <v/>
      </c>
      <c r="AQ115" s="21" t="str">
        <f>IF($D115="","",ROUND(SUMIF('TALLY KG DUMP'!$1:$1,'ACH CALC'!AQ$2,'TALLY KG DUMP'!114:114)/30,1))</f>
        <v/>
      </c>
      <c r="AR115" s="21" t="str">
        <f>IF($D115="","",SUMIF('TALLY BOX DUMP'!$1:$1,'ACH CALC'!AR$2,'TALLY BOX DUMP'!114:114))</f>
        <v/>
      </c>
      <c r="AS115" s="21" t="str">
        <f>IF($D115="","",SUMIF('TALLY BOX DUMP'!$1:$1,'ACH CALC'!AS$2,'TALLY BOX DUMP'!114:114))</f>
        <v/>
      </c>
      <c r="AT115" s="21" t="str">
        <f>IF($D115="","",SUMIF('TALLY BOX DUMP'!$1:$1,'ACH CALC'!AT$2,'TALLY BOX DUMP'!114:114))</f>
        <v/>
      </c>
      <c r="AU115" s="21" t="str">
        <f>IF($D115="","",SUMIF('TALLY BOX DUMP'!$1:$1,'ACH CALC'!AU$2,'TALLY BOX DUMP'!114:114))</f>
        <v/>
      </c>
      <c r="AV115" s="21" t="str">
        <f>IF($D115="","",SUMIF('TALLY BOX DUMP'!$1:$1,'ACH CALC'!AV$2,'TALLY BOX DUMP'!114:114))</f>
        <v/>
      </c>
      <c r="AW115" s="21" t="str">
        <f>IF($D115="","",SUMIF('TALLY BOX DUMP'!$1:$1,'ACH CALC'!AW$2,'TALLY BOX DUMP'!114:114))</f>
        <v/>
      </c>
      <c r="AX115" s="21" t="str">
        <f>IF($D115="","",SUMIF('TALLY BOX DUMP'!$1:$1,'ACH CALC'!AX$2,'TALLY BOX DUMP'!114:114))</f>
        <v/>
      </c>
      <c r="AY115" s="21" t="str">
        <f>IF($D115="","",SUMIF('TALLY BOX DUMP'!$1:$1,'ACH CALC'!AY$2,'TALLY BOX DUMP'!114:114))</f>
        <v/>
      </c>
      <c r="AZ115" s="21" t="str">
        <f>IF($D115="","",SUMIF('TALLY BOX DUMP'!$1:$1,'ACH CALC'!AZ$2,'TALLY BOX DUMP'!114:114))</f>
        <v/>
      </c>
      <c r="BA115" s="69">
        <f>(SUMIF('TALLY KG DUMP'!$2:$2,"Qty",'TALLY KG DUMP'!114:114)/1000)-(SUMIF('TALLY KG DUMP'!$1:$1,"GL",'TALLY KG DUMP'!114:114)/1000)</f>
        <v>0</v>
      </c>
      <c r="BB115" s="21" t="b">
        <f t="shared" si="5"/>
        <v>0</v>
      </c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</row>
    <row r="116" spans="2:75" x14ac:dyDescent="0.25">
      <c r="B116" s="21"/>
      <c r="C116" s="21"/>
      <c r="D116" s="21"/>
      <c r="E116" s="21" t="str">
        <f>IF($D116="","",(SUMIF('TALLY KG DUMP'!$2:$2,"Qty",'TALLY KG DUMP'!115:115)/1000)-(SUMIF('TALLY KG DUMP'!$1:$1,"GL",'TALLY KG DUMP'!115:115)/1000))</f>
        <v/>
      </c>
      <c r="F116" s="21" t="str">
        <f>IF($D116="","",(SUMIF('TALLY KG DUMP'!$1:$1,'ACH CALC'!F$2,'TALLY KG DUMP'!115:115)/1000))</f>
        <v/>
      </c>
      <c r="G116" s="21" t="str">
        <f>IF($D116="","",SUMIF('TALLY BOX DUMP'!$1:$1,'ACH CALC'!G$2,'TALLY BOX DUMP'!115:115)+Y116)</f>
        <v/>
      </c>
      <c r="H116" s="21" t="str">
        <f t="shared" si="3"/>
        <v/>
      </c>
      <c r="I116" s="21" t="str">
        <f>IF($D116="","",SUMIF('TALLY BOX DUMP'!$1:$1,'ACH CALC'!I$2,'TALLY BOX DUMP'!115:115)+AA116)</f>
        <v/>
      </c>
      <c r="J116" s="21" t="str">
        <f>IF($D116="","",SUMIF('TALLY BOX DUMP'!$1:$1,'ACH CALC'!J$2,'TALLY BOX DUMP'!115:115)+AB116)</f>
        <v/>
      </c>
      <c r="K116" s="21" t="str">
        <f>IF($D116="","",SUMIF('TALLY BOX DUMP'!$1:$1,'ACH CALC'!K$2,'TALLY BOX DUMP'!115:115)+AC116)</f>
        <v/>
      </c>
      <c r="L116" s="21" t="str">
        <f>IF($D116="","",SUMIF('TALLY BOX DUMP'!$1:$1,'ACH CALC'!L$2,'TALLY BOX DUMP'!115:115))</f>
        <v/>
      </c>
      <c r="M116" s="21" t="str">
        <f>IF($D116="","",SUMIF('TALLY BOX DUMP'!$1:$1,'ACH CALC'!M$2,'TALLY BOX DUMP'!115:115)+AD116)</f>
        <v/>
      </c>
      <c r="N116" s="21" t="str">
        <f>IF($D116="","",SUMIF('TALLY BOX DUMP'!$1:$1,'ACH CALC'!N$2,'TALLY BOX DUMP'!115:115))</f>
        <v/>
      </c>
      <c r="O116" s="21" t="str">
        <f>IF($D116="","",SUMIF('TALLY BOX DUMP'!$1:$1,'ACH CALC'!O$2,'TALLY BOX DUMP'!115:115))</f>
        <v/>
      </c>
      <c r="P116" s="21" t="str">
        <f>IF($D116="","",SUMIF('TALLY BOX DUMP'!$1:$1,'ACH CALC'!P$2,'TALLY BOX DUMP'!115:115))</f>
        <v/>
      </c>
      <c r="Q116" s="21" t="str">
        <f t="shared" si="4"/>
        <v/>
      </c>
      <c r="R116" s="21" t="str">
        <f>IF($D116="","",SUMIF('TALLY BOX DUMP'!$1:$1,'ACH CALC'!R$2,'TALLY BOX DUMP'!115:115))</f>
        <v/>
      </c>
      <c r="S116" s="21" t="str">
        <f>IF($D116="","",SUMIF('TALLY BOX DUMP'!$1:$1,'ACH CALC'!S$2,'TALLY BOX DUMP'!115:115))</f>
        <v/>
      </c>
      <c r="T116" s="21" t="str">
        <f>IF($D116="","",SUMIF('TALLY BOX DUMP'!$1:$1,'ACH CALC'!T$2,'TALLY BOX DUMP'!115:115))</f>
        <v/>
      </c>
      <c r="U116" s="21" t="str">
        <f>IF($D116="","",SUMIF('TALLY BOX DUMP'!$1:$1,'ACH CALC'!U$2,'TALLY BOX DUMP'!115:115))</f>
        <v/>
      </c>
      <c r="V116" s="21" t="str">
        <f>IF($D116="","",SUMIF('TALLY BOX DUMP'!$1:$1,'ACH CALC'!V$2,'TALLY BOX DUMP'!115:115))</f>
        <v/>
      </c>
      <c r="W116" s="21" t="str">
        <f>IF($D116="","",SUMIF('TALLY BOX DUMP'!$1:$1,'ACH CALC'!W$2,'TALLY BOX DUMP'!115:115))</f>
        <v/>
      </c>
      <c r="X116" s="21" t="str">
        <f>IF($D116="","",SUMIF('TALLY BOX DUMP'!$1:$1,'ACH CALC'!X$2,'TALLY BOX DUMP'!115:115))</f>
        <v/>
      </c>
      <c r="Y116" s="21" t="str">
        <f>IF($D116="","",SUMIF('TALLY BOX DUMP'!$1:$1,'ACH CALC'!Y$2,'TALLY BOX DUMP'!115:115))</f>
        <v/>
      </c>
      <c r="Z116" s="21" t="str">
        <f>IF($D116="","",SUMIF('TALLY BOX DUMP'!$1:$1,'ACH CALC'!Z$2,'TALLY BOX DUMP'!115:115)+AE116)</f>
        <v/>
      </c>
      <c r="AA116" s="21" t="str">
        <f>IF($D116="","",SUMIF('TALLY BOX DUMP'!$1:$1,'ACH CALC'!AA$2,'TALLY BOX DUMP'!115:115))</f>
        <v/>
      </c>
      <c r="AB116" s="21" t="str">
        <f>IF($D116="","",SUMIF('TALLY BOX DUMP'!$1:$1,'ACH CALC'!AB$2,'TALLY BOX DUMP'!115:115))</f>
        <v/>
      </c>
      <c r="AC116" s="21" t="str">
        <f>IF($D116="","",SUMIF('TALLY BOX DUMP'!$1:$1,'ACH CALC'!AC$2,'TALLY BOX DUMP'!115:115))</f>
        <v/>
      </c>
      <c r="AD116" s="21" t="str">
        <f>IF($D116="","",SUMIF('TALLY BOX DUMP'!$1:$1,'ACH CALC'!AD$2,'TALLY BOX DUMP'!115:115))</f>
        <v/>
      </c>
      <c r="AE116" s="21" t="str">
        <f>IF($D116="","",SUMIF('TALLY BOX DUMP'!$1:$1,'ACH CALC'!AE$2,'TALLY BOX DUMP'!115:115))</f>
        <v/>
      </c>
      <c r="AF116" s="21" t="str">
        <f>IF($D116="","",SUMIF('TALLY BOX DUMP'!$1:$1,'ACH CALC'!AF$2,'TALLY BOX DUMP'!115:115))</f>
        <v/>
      </c>
      <c r="AG116" s="21" t="str">
        <f>IF($D116="","",SUMIF('TALLY BOX DUMP'!$1:$1,'ACH CALC'!AG$2,'TALLY BOX DUMP'!115:115))</f>
        <v/>
      </c>
      <c r="AH116" s="21" t="str">
        <f>IF($D116="","",SUMIF('TALLY BOX DUMP'!$1:$1,'ACH CALC'!AH$2,'TALLY BOX DUMP'!115:115))</f>
        <v/>
      </c>
      <c r="AI116" s="21" t="str">
        <f>IF($D116="","",SUMIF('TALLY BOX DUMP'!$1:$1,'ACH CALC'!AI$2,'TALLY BOX DUMP'!115:115))</f>
        <v/>
      </c>
      <c r="AJ116" s="21" t="str">
        <f>IF($D116="","",SUMIF('TALLY BOX DUMP'!$1:$1,'ACH CALC'!AJ$2,'TALLY BOX DUMP'!115:115))</f>
        <v/>
      </c>
      <c r="AK116" s="21" t="str">
        <f>IF($D116="","",SUMIF('TALLY BOX DUMP'!$1:$1,'ACH CALC'!AK$2,'TALLY BOX DUMP'!115:115))</f>
        <v/>
      </c>
      <c r="AL116" s="21" t="str">
        <f>IF($D116="","",ROUND(SUMIF('TALLY KG DUMP'!$1:$1,'ACH CALC'!AL$2,'TALLY KG DUMP'!115:115)/30,1))</f>
        <v/>
      </c>
      <c r="AM116" s="21" t="str">
        <f>IF($D116="","",SUMIF('TALLY BOX DUMP'!$1:$1,'ACH CALC'!AM$2,'TALLY BOX DUMP'!115:115))</f>
        <v/>
      </c>
      <c r="AN116" s="21" t="str">
        <f>IF($D116="","",SUMIF('TALLY BOX DUMP'!$1:$1,'ACH CALC'!AN$2,'TALLY BOX DUMP'!115:115))</f>
        <v/>
      </c>
      <c r="AO116" s="21" t="str">
        <f>IF($D116="","",SUMIF('TALLY BOX DUMP'!$1:$1,'ACH CALC'!AO$2,'TALLY BOX DUMP'!115:115))</f>
        <v/>
      </c>
      <c r="AP116" s="21" t="str">
        <f>IF($D116="","",SUMIF('TALLY BOX DUMP'!$1:$1,'ACH CALC'!AP$2,'TALLY BOX DUMP'!115:115))</f>
        <v/>
      </c>
      <c r="AQ116" s="21" t="str">
        <f>IF($D116="","",ROUND(SUMIF('TALLY KG DUMP'!$1:$1,'ACH CALC'!AQ$2,'TALLY KG DUMP'!115:115)/30,1))</f>
        <v/>
      </c>
      <c r="AR116" s="21" t="str">
        <f>IF($D116="","",SUMIF('TALLY BOX DUMP'!$1:$1,'ACH CALC'!AR$2,'TALLY BOX DUMP'!115:115))</f>
        <v/>
      </c>
      <c r="AS116" s="21" t="str">
        <f>IF($D116="","",SUMIF('TALLY BOX DUMP'!$1:$1,'ACH CALC'!AS$2,'TALLY BOX DUMP'!115:115))</f>
        <v/>
      </c>
      <c r="AT116" s="21" t="str">
        <f>IF($D116="","",SUMIF('TALLY BOX DUMP'!$1:$1,'ACH CALC'!AT$2,'TALLY BOX DUMP'!115:115))</f>
        <v/>
      </c>
      <c r="AU116" s="21" t="str">
        <f>IF($D116="","",SUMIF('TALLY BOX DUMP'!$1:$1,'ACH CALC'!AU$2,'TALLY BOX DUMP'!115:115))</f>
        <v/>
      </c>
      <c r="AV116" s="21" t="str">
        <f>IF($D116="","",SUMIF('TALLY BOX DUMP'!$1:$1,'ACH CALC'!AV$2,'TALLY BOX DUMP'!115:115))</f>
        <v/>
      </c>
      <c r="AW116" s="21" t="str">
        <f>IF($D116="","",SUMIF('TALLY BOX DUMP'!$1:$1,'ACH CALC'!AW$2,'TALLY BOX DUMP'!115:115))</f>
        <v/>
      </c>
      <c r="AX116" s="21" t="str">
        <f>IF($D116="","",SUMIF('TALLY BOX DUMP'!$1:$1,'ACH CALC'!AX$2,'TALLY BOX DUMP'!115:115))</f>
        <v/>
      </c>
      <c r="AY116" s="21" t="str">
        <f>IF($D116="","",SUMIF('TALLY BOX DUMP'!$1:$1,'ACH CALC'!AY$2,'TALLY BOX DUMP'!115:115))</f>
        <v/>
      </c>
      <c r="AZ116" s="21" t="str">
        <f>IF($D116="","",SUMIF('TALLY BOX DUMP'!$1:$1,'ACH CALC'!AZ$2,'TALLY BOX DUMP'!115:115))</f>
        <v/>
      </c>
      <c r="BA116" s="69">
        <f>(SUMIF('TALLY KG DUMP'!$2:$2,"Qty",'TALLY KG DUMP'!115:115)/1000)-(SUMIF('TALLY KG DUMP'!$1:$1,"GL",'TALLY KG DUMP'!115:115)/1000)</f>
        <v>0</v>
      </c>
      <c r="BB116" s="21" t="b">
        <f t="shared" si="5"/>
        <v>0</v>
      </c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</row>
    <row r="117" spans="2:75" x14ac:dyDescent="0.25">
      <c r="B117" s="21"/>
      <c r="C117" s="21"/>
      <c r="D117" s="21"/>
      <c r="E117" s="21" t="str">
        <f>IF($D117="","",(SUMIF('TALLY KG DUMP'!$2:$2,"Qty",'TALLY KG DUMP'!116:116)/1000)-(SUMIF('TALLY KG DUMP'!$1:$1,"GL",'TALLY KG DUMP'!116:116)/1000))</f>
        <v/>
      </c>
      <c r="F117" s="21" t="str">
        <f>IF($D117="","",(SUMIF('TALLY KG DUMP'!$1:$1,'ACH CALC'!F$2,'TALLY KG DUMP'!116:116)/1000))</f>
        <v/>
      </c>
      <c r="G117" s="21" t="str">
        <f>IF($D117="","",SUMIF('TALLY BOX DUMP'!$1:$1,'ACH CALC'!G$2,'TALLY BOX DUMP'!116:116)+Y117)</f>
        <v/>
      </c>
      <c r="H117" s="21" t="str">
        <f t="shared" si="3"/>
        <v/>
      </c>
      <c r="I117" s="21" t="str">
        <f>IF($D117="","",SUMIF('TALLY BOX DUMP'!$1:$1,'ACH CALC'!I$2,'TALLY BOX DUMP'!116:116)+AA117)</f>
        <v/>
      </c>
      <c r="J117" s="21" t="str">
        <f>IF($D117="","",SUMIF('TALLY BOX DUMP'!$1:$1,'ACH CALC'!J$2,'TALLY BOX DUMP'!116:116)+AB117)</f>
        <v/>
      </c>
      <c r="K117" s="21" t="str">
        <f>IF($D117="","",SUMIF('TALLY BOX DUMP'!$1:$1,'ACH CALC'!K$2,'TALLY BOX DUMP'!116:116)+AC117)</f>
        <v/>
      </c>
      <c r="L117" s="21" t="str">
        <f>IF($D117="","",SUMIF('TALLY BOX DUMP'!$1:$1,'ACH CALC'!L$2,'TALLY BOX DUMP'!116:116))</f>
        <v/>
      </c>
      <c r="M117" s="21" t="str">
        <f>IF($D117="","",SUMIF('TALLY BOX DUMP'!$1:$1,'ACH CALC'!M$2,'TALLY BOX DUMP'!116:116)+AD117)</f>
        <v/>
      </c>
      <c r="N117" s="21" t="str">
        <f>IF($D117="","",SUMIF('TALLY BOX DUMP'!$1:$1,'ACH CALC'!N$2,'TALLY BOX DUMP'!116:116))</f>
        <v/>
      </c>
      <c r="O117" s="21" t="str">
        <f>IF($D117="","",SUMIF('TALLY BOX DUMP'!$1:$1,'ACH CALC'!O$2,'TALLY BOX DUMP'!116:116))</f>
        <v/>
      </c>
      <c r="P117" s="21" t="str">
        <f>IF($D117="","",SUMIF('TALLY BOX DUMP'!$1:$1,'ACH CALC'!P$2,'TALLY BOX DUMP'!116:116))</f>
        <v/>
      </c>
      <c r="Q117" s="21" t="str">
        <f t="shared" si="4"/>
        <v/>
      </c>
      <c r="R117" s="21" t="str">
        <f>IF($D117="","",SUMIF('TALLY BOX DUMP'!$1:$1,'ACH CALC'!R$2,'TALLY BOX DUMP'!116:116))</f>
        <v/>
      </c>
      <c r="S117" s="21" t="str">
        <f>IF($D117="","",SUMIF('TALLY BOX DUMP'!$1:$1,'ACH CALC'!S$2,'TALLY BOX DUMP'!116:116))</f>
        <v/>
      </c>
      <c r="T117" s="21" t="str">
        <f>IF($D117="","",SUMIF('TALLY BOX DUMP'!$1:$1,'ACH CALC'!T$2,'TALLY BOX DUMP'!116:116))</f>
        <v/>
      </c>
      <c r="U117" s="21" t="str">
        <f>IF($D117="","",SUMIF('TALLY BOX DUMP'!$1:$1,'ACH CALC'!U$2,'TALLY BOX DUMP'!116:116))</f>
        <v/>
      </c>
      <c r="V117" s="21" t="str">
        <f>IF($D117="","",SUMIF('TALLY BOX DUMP'!$1:$1,'ACH CALC'!V$2,'TALLY BOX DUMP'!116:116))</f>
        <v/>
      </c>
      <c r="W117" s="21" t="str">
        <f>IF($D117="","",SUMIF('TALLY BOX DUMP'!$1:$1,'ACH CALC'!W$2,'TALLY BOX DUMP'!116:116))</f>
        <v/>
      </c>
      <c r="X117" s="21" t="str">
        <f>IF($D117="","",SUMIF('TALLY BOX DUMP'!$1:$1,'ACH CALC'!X$2,'TALLY BOX DUMP'!116:116))</f>
        <v/>
      </c>
      <c r="Y117" s="21" t="str">
        <f>IF($D117="","",SUMIF('TALLY BOX DUMP'!$1:$1,'ACH CALC'!Y$2,'TALLY BOX DUMP'!116:116))</f>
        <v/>
      </c>
      <c r="Z117" s="21" t="str">
        <f>IF($D117="","",SUMIF('TALLY BOX DUMP'!$1:$1,'ACH CALC'!Z$2,'TALLY BOX DUMP'!116:116)+AE117)</f>
        <v/>
      </c>
      <c r="AA117" s="21" t="str">
        <f>IF($D117="","",SUMIF('TALLY BOX DUMP'!$1:$1,'ACH CALC'!AA$2,'TALLY BOX DUMP'!116:116))</f>
        <v/>
      </c>
      <c r="AB117" s="21" t="str">
        <f>IF($D117="","",SUMIF('TALLY BOX DUMP'!$1:$1,'ACH CALC'!AB$2,'TALLY BOX DUMP'!116:116))</f>
        <v/>
      </c>
      <c r="AC117" s="21" t="str">
        <f>IF($D117="","",SUMIF('TALLY BOX DUMP'!$1:$1,'ACH CALC'!AC$2,'TALLY BOX DUMP'!116:116))</f>
        <v/>
      </c>
      <c r="AD117" s="21" t="str">
        <f>IF($D117="","",SUMIF('TALLY BOX DUMP'!$1:$1,'ACH CALC'!AD$2,'TALLY BOX DUMP'!116:116))</f>
        <v/>
      </c>
      <c r="AE117" s="21" t="str">
        <f>IF($D117="","",SUMIF('TALLY BOX DUMP'!$1:$1,'ACH CALC'!AE$2,'TALLY BOX DUMP'!116:116))</f>
        <v/>
      </c>
      <c r="AF117" s="21" t="str">
        <f>IF($D117="","",SUMIF('TALLY BOX DUMP'!$1:$1,'ACH CALC'!AF$2,'TALLY BOX DUMP'!116:116))</f>
        <v/>
      </c>
      <c r="AG117" s="21" t="str">
        <f>IF($D117="","",SUMIF('TALLY BOX DUMP'!$1:$1,'ACH CALC'!AG$2,'TALLY BOX DUMP'!116:116))</f>
        <v/>
      </c>
      <c r="AH117" s="21" t="str">
        <f>IF($D117="","",SUMIF('TALLY BOX DUMP'!$1:$1,'ACH CALC'!AH$2,'TALLY BOX DUMP'!116:116))</f>
        <v/>
      </c>
      <c r="AI117" s="21" t="str">
        <f>IF($D117="","",SUMIF('TALLY BOX DUMP'!$1:$1,'ACH CALC'!AI$2,'TALLY BOX DUMP'!116:116))</f>
        <v/>
      </c>
      <c r="AJ117" s="21" t="str">
        <f>IF($D117="","",SUMIF('TALLY BOX DUMP'!$1:$1,'ACH CALC'!AJ$2,'TALLY BOX DUMP'!116:116))</f>
        <v/>
      </c>
      <c r="AK117" s="21" t="str">
        <f>IF($D117="","",SUMIF('TALLY BOX DUMP'!$1:$1,'ACH CALC'!AK$2,'TALLY BOX DUMP'!116:116))</f>
        <v/>
      </c>
      <c r="AL117" s="21" t="str">
        <f>IF($D117="","",ROUND(SUMIF('TALLY KG DUMP'!$1:$1,'ACH CALC'!AL$2,'TALLY KG DUMP'!116:116)/30,1))</f>
        <v/>
      </c>
      <c r="AM117" s="21" t="str">
        <f>IF($D117="","",SUMIF('TALLY BOX DUMP'!$1:$1,'ACH CALC'!AM$2,'TALLY BOX DUMP'!116:116))</f>
        <v/>
      </c>
      <c r="AN117" s="21" t="str">
        <f>IF($D117="","",SUMIF('TALLY BOX DUMP'!$1:$1,'ACH CALC'!AN$2,'TALLY BOX DUMP'!116:116))</f>
        <v/>
      </c>
      <c r="AO117" s="21" t="str">
        <f>IF($D117="","",SUMIF('TALLY BOX DUMP'!$1:$1,'ACH CALC'!AO$2,'TALLY BOX DUMP'!116:116))</f>
        <v/>
      </c>
      <c r="AP117" s="21" t="str">
        <f>IF($D117="","",SUMIF('TALLY BOX DUMP'!$1:$1,'ACH CALC'!AP$2,'TALLY BOX DUMP'!116:116))</f>
        <v/>
      </c>
      <c r="AQ117" s="21" t="str">
        <f>IF($D117="","",ROUND(SUMIF('TALLY KG DUMP'!$1:$1,'ACH CALC'!AQ$2,'TALLY KG DUMP'!116:116)/30,1))</f>
        <v/>
      </c>
      <c r="AR117" s="21" t="str">
        <f>IF($D117="","",SUMIF('TALLY BOX DUMP'!$1:$1,'ACH CALC'!AR$2,'TALLY BOX DUMP'!116:116))</f>
        <v/>
      </c>
      <c r="AS117" s="21" t="str">
        <f>IF($D117="","",SUMIF('TALLY BOX DUMP'!$1:$1,'ACH CALC'!AS$2,'TALLY BOX DUMP'!116:116))</f>
        <v/>
      </c>
      <c r="AT117" s="21" t="str">
        <f>IF($D117="","",SUMIF('TALLY BOX DUMP'!$1:$1,'ACH CALC'!AT$2,'TALLY BOX DUMP'!116:116))</f>
        <v/>
      </c>
      <c r="AU117" s="21" t="str">
        <f>IF($D117="","",SUMIF('TALLY BOX DUMP'!$1:$1,'ACH CALC'!AU$2,'TALLY BOX DUMP'!116:116))</f>
        <v/>
      </c>
      <c r="AV117" s="21" t="str">
        <f>IF($D117="","",SUMIF('TALLY BOX DUMP'!$1:$1,'ACH CALC'!AV$2,'TALLY BOX DUMP'!116:116))</f>
        <v/>
      </c>
      <c r="AW117" s="21" t="str">
        <f>IF($D117="","",SUMIF('TALLY BOX DUMP'!$1:$1,'ACH CALC'!AW$2,'TALLY BOX DUMP'!116:116))</f>
        <v/>
      </c>
      <c r="AX117" s="21" t="str">
        <f>IF($D117="","",SUMIF('TALLY BOX DUMP'!$1:$1,'ACH CALC'!AX$2,'TALLY BOX DUMP'!116:116))</f>
        <v/>
      </c>
      <c r="AY117" s="21" t="str">
        <f>IF($D117="","",SUMIF('TALLY BOX DUMP'!$1:$1,'ACH CALC'!AY$2,'TALLY BOX DUMP'!116:116))</f>
        <v/>
      </c>
      <c r="AZ117" s="21" t="str">
        <f>IF($D117="","",SUMIF('TALLY BOX DUMP'!$1:$1,'ACH CALC'!AZ$2,'TALLY BOX DUMP'!116:116))</f>
        <v/>
      </c>
      <c r="BA117" s="69">
        <f>(SUMIF('TALLY KG DUMP'!$2:$2,"Qty",'TALLY KG DUMP'!116:116)/1000)-(SUMIF('TALLY KG DUMP'!$1:$1,"GL",'TALLY KG DUMP'!116:116)/1000)</f>
        <v>0</v>
      </c>
      <c r="BB117" s="21" t="b">
        <f t="shared" si="5"/>
        <v>0</v>
      </c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</row>
    <row r="118" spans="2:75" x14ac:dyDescent="0.25">
      <c r="B118" s="21"/>
      <c r="C118" s="21"/>
      <c r="D118" s="21"/>
      <c r="E118" s="21" t="str">
        <f>IF($D118="","",(SUMIF('TALLY KG DUMP'!$2:$2,"Qty",'TALLY KG DUMP'!117:117)/1000)-(SUMIF('TALLY KG DUMP'!$1:$1,"GL",'TALLY KG DUMP'!117:117)/1000))</f>
        <v/>
      </c>
      <c r="F118" s="21" t="str">
        <f>IF($D118="","",(SUMIF('TALLY KG DUMP'!$1:$1,'ACH CALC'!F$2,'TALLY KG DUMP'!117:117)/1000))</f>
        <v/>
      </c>
      <c r="G118" s="21" t="str">
        <f>IF($D118="","",SUMIF('TALLY BOX DUMP'!$1:$1,'ACH CALC'!G$2,'TALLY BOX DUMP'!117:117)+Y118)</f>
        <v/>
      </c>
      <c r="H118" s="21" t="str">
        <f t="shared" si="3"/>
        <v/>
      </c>
      <c r="I118" s="21" t="str">
        <f>IF($D118="","",SUMIF('TALLY BOX DUMP'!$1:$1,'ACH CALC'!I$2,'TALLY BOX DUMP'!117:117)+AA118)</f>
        <v/>
      </c>
      <c r="J118" s="21" t="str">
        <f>IF($D118="","",SUMIF('TALLY BOX DUMP'!$1:$1,'ACH CALC'!J$2,'TALLY BOX DUMP'!117:117)+AB118)</f>
        <v/>
      </c>
      <c r="K118" s="21" t="str">
        <f>IF($D118="","",SUMIF('TALLY BOX DUMP'!$1:$1,'ACH CALC'!K$2,'TALLY BOX DUMP'!117:117)+AC118)</f>
        <v/>
      </c>
      <c r="L118" s="21" t="str">
        <f>IF($D118="","",SUMIF('TALLY BOX DUMP'!$1:$1,'ACH CALC'!L$2,'TALLY BOX DUMP'!117:117))</f>
        <v/>
      </c>
      <c r="M118" s="21" t="str">
        <f>IF($D118="","",SUMIF('TALLY BOX DUMP'!$1:$1,'ACH CALC'!M$2,'TALLY BOX DUMP'!117:117)+AD118)</f>
        <v/>
      </c>
      <c r="N118" s="21" t="str">
        <f>IF($D118="","",SUMIF('TALLY BOX DUMP'!$1:$1,'ACH CALC'!N$2,'TALLY BOX DUMP'!117:117))</f>
        <v/>
      </c>
      <c r="O118" s="21" t="str">
        <f>IF($D118="","",SUMIF('TALLY BOX DUMP'!$1:$1,'ACH CALC'!O$2,'TALLY BOX DUMP'!117:117))</f>
        <v/>
      </c>
      <c r="P118" s="21" t="str">
        <f>IF($D118="","",SUMIF('TALLY BOX DUMP'!$1:$1,'ACH CALC'!P$2,'TALLY BOX DUMP'!117:117))</f>
        <v/>
      </c>
      <c r="Q118" s="21" t="str">
        <f t="shared" si="4"/>
        <v/>
      </c>
      <c r="R118" s="21" t="str">
        <f>IF($D118="","",SUMIF('TALLY BOX DUMP'!$1:$1,'ACH CALC'!R$2,'TALLY BOX DUMP'!117:117))</f>
        <v/>
      </c>
      <c r="S118" s="21" t="str">
        <f>IF($D118="","",SUMIF('TALLY BOX DUMP'!$1:$1,'ACH CALC'!S$2,'TALLY BOX DUMP'!117:117))</f>
        <v/>
      </c>
      <c r="T118" s="21" t="str">
        <f>IF($D118="","",SUMIF('TALLY BOX DUMP'!$1:$1,'ACH CALC'!T$2,'TALLY BOX DUMP'!117:117))</f>
        <v/>
      </c>
      <c r="U118" s="21" t="str">
        <f>IF($D118="","",SUMIF('TALLY BOX DUMP'!$1:$1,'ACH CALC'!U$2,'TALLY BOX DUMP'!117:117))</f>
        <v/>
      </c>
      <c r="V118" s="21" t="str">
        <f>IF($D118="","",SUMIF('TALLY BOX DUMP'!$1:$1,'ACH CALC'!V$2,'TALLY BOX DUMP'!117:117))</f>
        <v/>
      </c>
      <c r="W118" s="21" t="str">
        <f>IF($D118="","",SUMIF('TALLY BOX DUMP'!$1:$1,'ACH CALC'!W$2,'TALLY BOX DUMP'!117:117))</f>
        <v/>
      </c>
      <c r="X118" s="21" t="str">
        <f>IF($D118="","",SUMIF('TALLY BOX DUMP'!$1:$1,'ACH CALC'!X$2,'TALLY BOX DUMP'!117:117))</f>
        <v/>
      </c>
      <c r="Y118" s="21" t="str">
        <f>IF($D118="","",SUMIF('TALLY BOX DUMP'!$1:$1,'ACH CALC'!Y$2,'TALLY BOX DUMP'!117:117))</f>
        <v/>
      </c>
      <c r="Z118" s="21" t="str">
        <f>IF($D118="","",SUMIF('TALLY BOX DUMP'!$1:$1,'ACH CALC'!Z$2,'TALLY BOX DUMP'!117:117)+AE118)</f>
        <v/>
      </c>
      <c r="AA118" s="21" t="str">
        <f>IF($D118="","",SUMIF('TALLY BOX DUMP'!$1:$1,'ACH CALC'!AA$2,'TALLY BOX DUMP'!117:117))</f>
        <v/>
      </c>
      <c r="AB118" s="21" t="str">
        <f>IF($D118="","",SUMIF('TALLY BOX DUMP'!$1:$1,'ACH CALC'!AB$2,'TALLY BOX DUMP'!117:117))</f>
        <v/>
      </c>
      <c r="AC118" s="21" t="str">
        <f>IF($D118="","",SUMIF('TALLY BOX DUMP'!$1:$1,'ACH CALC'!AC$2,'TALLY BOX DUMP'!117:117))</f>
        <v/>
      </c>
      <c r="AD118" s="21" t="str">
        <f>IF($D118="","",SUMIF('TALLY BOX DUMP'!$1:$1,'ACH CALC'!AD$2,'TALLY BOX DUMP'!117:117))</f>
        <v/>
      </c>
      <c r="AE118" s="21" t="str">
        <f>IF($D118="","",SUMIF('TALLY BOX DUMP'!$1:$1,'ACH CALC'!AE$2,'TALLY BOX DUMP'!117:117))</f>
        <v/>
      </c>
      <c r="AF118" s="21" t="str">
        <f>IF($D118="","",SUMIF('TALLY BOX DUMP'!$1:$1,'ACH CALC'!AF$2,'TALLY BOX DUMP'!117:117))</f>
        <v/>
      </c>
      <c r="AG118" s="21" t="str">
        <f>IF($D118="","",SUMIF('TALLY BOX DUMP'!$1:$1,'ACH CALC'!AG$2,'TALLY BOX DUMP'!117:117))</f>
        <v/>
      </c>
      <c r="AH118" s="21" t="str">
        <f>IF($D118="","",SUMIF('TALLY BOX DUMP'!$1:$1,'ACH CALC'!AH$2,'TALLY BOX DUMP'!117:117))</f>
        <v/>
      </c>
      <c r="AI118" s="21" t="str">
        <f>IF($D118="","",SUMIF('TALLY BOX DUMP'!$1:$1,'ACH CALC'!AI$2,'TALLY BOX DUMP'!117:117))</f>
        <v/>
      </c>
      <c r="AJ118" s="21" t="str">
        <f>IF($D118="","",SUMIF('TALLY BOX DUMP'!$1:$1,'ACH CALC'!AJ$2,'TALLY BOX DUMP'!117:117))</f>
        <v/>
      </c>
      <c r="AK118" s="21" t="str">
        <f>IF($D118="","",SUMIF('TALLY BOX DUMP'!$1:$1,'ACH CALC'!AK$2,'TALLY BOX DUMP'!117:117))</f>
        <v/>
      </c>
      <c r="AL118" s="21" t="str">
        <f>IF($D118="","",ROUND(SUMIF('TALLY KG DUMP'!$1:$1,'ACH CALC'!AL$2,'TALLY KG DUMP'!117:117)/30,1))</f>
        <v/>
      </c>
      <c r="AM118" s="21" t="str">
        <f>IF($D118="","",SUMIF('TALLY BOX DUMP'!$1:$1,'ACH CALC'!AM$2,'TALLY BOX DUMP'!117:117))</f>
        <v/>
      </c>
      <c r="AN118" s="21" t="str">
        <f>IF($D118="","",SUMIF('TALLY BOX DUMP'!$1:$1,'ACH CALC'!AN$2,'TALLY BOX DUMP'!117:117))</f>
        <v/>
      </c>
      <c r="AO118" s="21" t="str">
        <f>IF($D118="","",SUMIF('TALLY BOX DUMP'!$1:$1,'ACH CALC'!AO$2,'TALLY BOX DUMP'!117:117))</f>
        <v/>
      </c>
      <c r="AP118" s="21" t="str">
        <f>IF($D118="","",SUMIF('TALLY BOX DUMP'!$1:$1,'ACH CALC'!AP$2,'TALLY BOX DUMP'!117:117))</f>
        <v/>
      </c>
      <c r="AQ118" s="21" t="str">
        <f>IF($D118="","",ROUND(SUMIF('TALLY KG DUMP'!$1:$1,'ACH CALC'!AQ$2,'TALLY KG DUMP'!117:117)/30,1))</f>
        <v/>
      </c>
      <c r="AR118" s="21" t="str">
        <f>IF($D118="","",SUMIF('TALLY BOX DUMP'!$1:$1,'ACH CALC'!AR$2,'TALLY BOX DUMP'!117:117))</f>
        <v/>
      </c>
      <c r="AS118" s="21" t="str">
        <f>IF($D118="","",SUMIF('TALLY BOX DUMP'!$1:$1,'ACH CALC'!AS$2,'TALLY BOX DUMP'!117:117))</f>
        <v/>
      </c>
      <c r="AT118" s="21" t="str">
        <f>IF($D118="","",SUMIF('TALLY BOX DUMP'!$1:$1,'ACH CALC'!AT$2,'TALLY BOX DUMP'!117:117))</f>
        <v/>
      </c>
      <c r="AU118" s="21" t="str">
        <f>IF($D118="","",SUMIF('TALLY BOX DUMP'!$1:$1,'ACH CALC'!AU$2,'TALLY BOX DUMP'!117:117))</f>
        <v/>
      </c>
      <c r="AV118" s="21" t="str">
        <f>IF($D118="","",SUMIF('TALLY BOX DUMP'!$1:$1,'ACH CALC'!AV$2,'TALLY BOX DUMP'!117:117))</f>
        <v/>
      </c>
      <c r="AW118" s="21" t="str">
        <f>IF($D118="","",SUMIF('TALLY BOX DUMP'!$1:$1,'ACH CALC'!AW$2,'TALLY BOX DUMP'!117:117))</f>
        <v/>
      </c>
      <c r="AX118" s="21" t="str">
        <f>IF($D118="","",SUMIF('TALLY BOX DUMP'!$1:$1,'ACH CALC'!AX$2,'TALLY BOX DUMP'!117:117))</f>
        <v/>
      </c>
      <c r="AY118" s="21" t="str">
        <f>IF($D118="","",SUMIF('TALLY BOX DUMP'!$1:$1,'ACH CALC'!AY$2,'TALLY BOX DUMP'!117:117))</f>
        <v/>
      </c>
      <c r="AZ118" s="21" t="str">
        <f>IF($D118="","",SUMIF('TALLY BOX DUMP'!$1:$1,'ACH CALC'!AZ$2,'TALLY BOX DUMP'!117:117))</f>
        <v/>
      </c>
      <c r="BA118" s="69">
        <f>(SUMIF('TALLY KG DUMP'!$2:$2,"Qty",'TALLY KG DUMP'!117:117)/1000)-(SUMIF('TALLY KG DUMP'!$1:$1,"GL",'TALLY KG DUMP'!117:117)/1000)</f>
        <v>0</v>
      </c>
      <c r="BB118" s="21" t="b">
        <f t="shared" si="5"/>
        <v>0</v>
      </c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</row>
    <row r="119" spans="2:75" x14ac:dyDescent="0.25">
      <c r="B119" s="21"/>
      <c r="C119" s="21"/>
      <c r="D119" s="21"/>
      <c r="E119" s="21" t="str">
        <f>IF($D119="","",(SUMIF('TALLY KG DUMP'!$2:$2,"Qty",'TALLY KG DUMP'!118:118)/1000)-(SUMIF('TALLY KG DUMP'!$1:$1,"GL",'TALLY KG DUMP'!118:118)/1000))</f>
        <v/>
      </c>
      <c r="F119" s="21" t="str">
        <f>IF($D119="","",(SUMIF('TALLY KG DUMP'!$1:$1,'ACH CALC'!F$2,'TALLY KG DUMP'!118:118)/1000))</f>
        <v/>
      </c>
      <c r="G119" s="21" t="str">
        <f>IF($D119="","",SUMIF('TALLY BOX DUMP'!$1:$1,'ACH CALC'!G$2,'TALLY BOX DUMP'!118:118)+Y119)</f>
        <v/>
      </c>
      <c r="H119" s="21" t="str">
        <f t="shared" si="3"/>
        <v/>
      </c>
      <c r="I119" s="21" t="str">
        <f>IF($D119="","",SUMIF('TALLY BOX DUMP'!$1:$1,'ACH CALC'!I$2,'TALLY BOX DUMP'!118:118)+AA119)</f>
        <v/>
      </c>
      <c r="J119" s="21" t="str">
        <f>IF($D119="","",SUMIF('TALLY BOX DUMP'!$1:$1,'ACH CALC'!J$2,'TALLY BOX DUMP'!118:118)+AB119)</f>
        <v/>
      </c>
      <c r="K119" s="21" t="str">
        <f>IF($D119="","",SUMIF('TALLY BOX DUMP'!$1:$1,'ACH CALC'!K$2,'TALLY BOX DUMP'!118:118)+AC119)</f>
        <v/>
      </c>
      <c r="L119" s="21" t="str">
        <f>IF($D119="","",SUMIF('TALLY BOX DUMP'!$1:$1,'ACH CALC'!L$2,'TALLY BOX DUMP'!118:118))</f>
        <v/>
      </c>
      <c r="M119" s="21" t="str">
        <f>IF($D119="","",SUMIF('TALLY BOX DUMP'!$1:$1,'ACH CALC'!M$2,'TALLY BOX DUMP'!118:118)+AD119)</f>
        <v/>
      </c>
      <c r="N119" s="21" t="str">
        <f>IF($D119="","",SUMIF('TALLY BOX DUMP'!$1:$1,'ACH CALC'!N$2,'TALLY BOX DUMP'!118:118))</f>
        <v/>
      </c>
      <c r="O119" s="21" t="str">
        <f>IF($D119="","",SUMIF('TALLY BOX DUMP'!$1:$1,'ACH CALC'!O$2,'TALLY BOX DUMP'!118:118))</f>
        <v/>
      </c>
      <c r="P119" s="21" t="str">
        <f>IF($D119="","",SUMIF('TALLY BOX DUMP'!$1:$1,'ACH CALC'!P$2,'TALLY BOX DUMP'!118:118))</f>
        <v/>
      </c>
      <c r="Q119" s="21" t="str">
        <f t="shared" si="4"/>
        <v/>
      </c>
      <c r="R119" s="21" t="str">
        <f>IF($D119="","",SUMIF('TALLY BOX DUMP'!$1:$1,'ACH CALC'!R$2,'TALLY BOX DUMP'!118:118))</f>
        <v/>
      </c>
      <c r="S119" s="21" t="str">
        <f>IF($D119="","",SUMIF('TALLY BOX DUMP'!$1:$1,'ACH CALC'!S$2,'TALLY BOX DUMP'!118:118))</f>
        <v/>
      </c>
      <c r="T119" s="21" t="str">
        <f>IF($D119="","",SUMIF('TALLY BOX DUMP'!$1:$1,'ACH CALC'!T$2,'TALLY BOX DUMP'!118:118))</f>
        <v/>
      </c>
      <c r="U119" s="21" t="str">
        <f>IF($D119="","",SUMIF('TALLY BOX DUMP'!$1:$1,'ACH CALC'!U$2,'TALLY BOX DUMP'!118:118))</f>
        <v/>
      </c>
      <c r="V119" s="21" t="str">
        <f>IF($D119="","",SUMIF('TALLY BOX DUMP'!$1:$1,'ACH CALC'!V$2,'TALLY BOX DUMP'!118:118))</f>
        <v/>
      </c>
      <c r="W119" s="21" t="str">
        <f>IF($D119="","",SUMIF('TALLY BOX DUMP'!$1:$1,'ACH CALC'!W$2,'TALLY BOX DUMP'!118:118))</f>
        <v/>
      </c>
      <c r="X119" s="21" t="str">
        <f>IF($D119="","",SUMIF('TALLY BOX DUMP'!$1:$1,'ACH CALC'!X$2,'TALLY BOX DUMP'!118:118))</f>
        <v/>
      </c>
      <c r="Y119" s="21" t="str">
        <f>IF($D119="","",SUMIF('TALLY BOX DUMP'!$1:$1,'ACH CALC'!Y$2,'TALLY BOX DUMP'!118:118))</f>
        <v/>
      </c>
      <c r="Z119" s="21" t="str">
        <f>IF($D119="","",SUMIF('TALLY BOX DUMP'!$1:$1,'ACH CALC'!Z$2,'TALLY BOX DUMP'!118:118)+AE119)</f>
        <v/>
      </c>
      <c r="AA119" s="21" t="str">
        <f>IF($D119="","",SUMIF('TALLY BOX DUMP'!$1:$1,'ACH CALC'!AA$2,'TALLY BOX DUMP'!118:118))</f>
        <v/>
      </c>
      <c r="AB119" s="21" t="str">
        <f>IF($D119="","",SUMIF('TALLY BOX DUMP'!$1:$1,'ACH CALC'!AB$2,'TALLY BOX DUMP'!118:118))</f>
        <v/>
      </c>
      <c r="AC119" s="21" t="str">
        <f>IF($D119="","",SUMIF('TALLY BOX DUMP'!$1:$1,'ACH CALC'!AC$2,'TALLY BOX DUMP'!118:118))</f>
        <v/>
      </c>
      <c r="AD119" s="21" t="str">
        <f>IF($D119="","",SUMIF('TALLY BOX DUMP'!$1:$1,'ACH CALC'!AD$2,'TALLY BOX DUMP'!118:118))</f>
        <v/>
      </c>
      <c r="AE119" s="21" t="str">
        <f>IF($D119="","",SUMIF('TALLY BOX DUMP'!$1:$1,'ACH CALC'!AE$2,'TALLY BOX DUMP'!118:118))</f>
        <v/>
      </c>
      <c r="AF119" s="21" t="str">
        <f>IF($D119="","",SUMIF('TALLY BOX DUMP'!$1:$1,'ACH CALC'!AF$2,'TALLY BOX DUMP'!118:118))</f>
        <v/>
      </c>
      <c r="AG119" s="21" t="str">
        <f>IF($D119="","",SUMIF('TALLY BOX DUMP'!$1:$1,'ACH CALC'!AG$2,'TALLY BOX DUMP'!118:118))</f>
        <v/>
      </c>
      <c r="AH119" s="21" t="str">
        <f>IF($D119="","",SUMIF('TALLY BOX DUMP'!$1:$1,'ACH CALC'!AH$2,'TALLY BOX DUMP'!118:118))</f>
        <v/>
      </c>
      <c r="AI119" s="21" t="str">
        <f>IF($D119="","",SUMIF('TALLY BOX DUMP'!$1:$1,'ACH CALC'!AI$2,'TALLY BOX DUMP'!118:118))</f>
        <v/>
      </c>
      <c r="AJ119" s="21" t="str">
        <f>IF($D119="","",SUMIF('TALLY BOX DUMP'!$1:$1,'ACH CALC'!AJ$2,'TALLY BOX DUMP'!118:118))</f>
        <v/>
      </c>
      <c r="AK119" s="21" t="str">
        <f>IF($D119="","",SUMIF('TALLY BOX DUMP'!$1:$1,'ACH CALC'!AK$2,'TALLY BOX DUMP'!118:118))</f>
        <v/>
      </c>
      <c r="AL119" s="21" t="str">
        <f>IF($D119="","",ROUND(SUMIF('TALLY KG DUMP'!$1:$1,'ACH CALC'!AL$2,'TALLY KG DUMP'!118:118)/30,1))</f>
        <v/>
      </c>
      <c r="AM119" s="21" t="str">
        <f>IF($D119="","",SUMIF('TALLY BOX DUMP'!$1:$1,'ACH CALC'!AM$2,'TALLY BOX DUMP'!118:118))</f>
        <v/>
      </c>
      <c r="AN119" s="21" t="str">
        <f>IF($D119="","",SUMIF('TALLY BOX DUMP'!$1:$1,'ACH CALC'!AN$2,'TALLY BOX DUMP'!118:118))</f>
        <v/>
      </c>
      <c r="AO119" s="21" t="str">
        <f>IF($D119="","",SUMIF('TALLY BOX DUMP'!$1:$1,'ACH CALC'!AO$2,'TALLY BOX DUMP'!118:118))</f>
        <v/>
      </c>
      <c r="AP119" s="21" t="str">
        <f>IF($D119="","",SUMIF('TALLY BOX DUMP'!$1:$1,'ACH CALC'!AP$2,'TALLY BOX DUMP'!118:118))</f>
        <v/>
      </c>
      <c r="AQ119" s="21" t="str">
        <f>IF($D119="","",ROUND(SUMIF('TALLY KG DUMP'!$1:$1,'ACH CALC'!AQ$2,'TALLY KG DUMP'!118:118)/30,1))</f>
        <v/>
      </c>
      <c r="AR119" s="21" t="str">
        <f>IF($D119="","",SUMIF('TALLY BOX DUMP'!$1:$1,'ACH CALC'!AR$2,'TALLY BOX DUMP'!118:118))</f>
        <v/>
      </c>
      <c r="AS119" s="21" t="str">
        <f>IF($D119="","",SUMIF('TALLY BOX DUMP'!$1:$1,'ACH CALC'!AS$2,'TALLY BOX DUMP'!118:118))</f>
        <v/>
      </c>
      <c r="AT119" s="21" t="str">
        <f>IF($D119="","",SUMIF('TALLY BOX DUMP'!$1:$1,'ACH CALC'!AT$2,'TALLY BOX DUMP'!118:118))</f>
        <v/>
      </c>
      <c r="AU119" s="21" t="str">
        <f>IF($D119="","",SUMIF('TALLY BOX DUMP'!$1:$1,'ACH CALC'!AU$2,'TALLY BOX DUMP'!118:118))</f>
        <v/>
      </c>
      <c r="AV119" s="21" t="str">
        <f>IF($D119="","",SUMIF('TALLY BOX DUMP'!$1:$1,'ACH CALC'!AV$2,'TALLY BOX DUMP'!118:118))</f>
        <v/>
      </c>
      <c r="AW119" s="21" t="str">
        <f>IF($D119="","",SUMIF('TALLY BOX DUMP'!$1:$1,'ACH CALC'!AW$2,'TALLY BOX DUMP'!118:118))</f>
        <v/>
      </c>
      <c r="AX119" s="21" t="str">
        <f>IF($D119="","",SUMIF('TALLY BOX DUMP'!$1:$1,'ACH CALC'!AX$2,'TALLY BOX DUMP'!118:118))</f>
        <v/>
      </c>
      <c r="AY119" s="21" t="str">
        <f>IF($D119="","",SUMIF('TALLY BOX DUMP'!$1:$1,'ACH CALC'!AY$2,'TALLY BOX DUMP'!118:118))</f>
        <v/>
      </c>
      <c r="AZ119" s="21" t="str">
        <f>IF($D119="","",SUMIF('TALLY BOX DUMP'!$1:$1,'ACH CALC'!AZ$2,'TALLY BOX DUMP'!118:118))</f>
        <v/>
      </c>
      <c r="BA119" s="69">
        <f>(SUMIF('TALLY KG DUMP'!$2:$2,"Qty",'TALLY KG DUMP'!118:118)/1000)-(SUMIF('TALLY KG DUMP'!$1:$1,"GL",'TALLY KG DUMP'!118:118)/1000)</f>
        <v>0</v>
      </c>
      <c r="BB119" s="21" t="b">
        <f t="shared" si="5"/>
        <v>0</v>
      </c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</row>
    <row r="120" spans="2:75" x14ac:dyDescent="0.25">
      <c r="B120" s="21"/>
      <c r="C120" s="21"/>
      <c r="D120" s="21"/>
      <c r="E120" s="21" t="str">
        <f>IF($D120="","",(SUMIF('TALLY KG DUMP'!$2:$2,"Qty",'TALLY KG DUMP'!119:119)/1000)-(SUMIF('TALLY KG DUMP'!$1:$1,"GL",'TALLY KG DUMP'!119:119)/1000))</f>
        <v/>
      </c>
      <c r="F120" s="21" t="str">
        <f>IF($D120="","",(SUMIF('TALLY KG DUMP'!$1:$1,'ACH CALC'!F$2,'TALLY KG DUMP'!119:119)/1000))</f>
        <v/>
      </c>
      <c r="G120" s="21" t="str">
        <f>IF($D120="","",SUMIF('TALLY BOX DUMP'!$1:$1,'ACH CALC'!G$2,'TALLY BOX DUMP'!119:119)+Y120)</f>
        <v/>
      </c>
      <c r="H120" s="21" t="str">
        <f t="shared" si="3"/>
        <v/>
      </c>
      <c r="I120" s="21" t="str">
        <f>IF($D120="","",SUMIF('TALLY BOX DUMP'!$1:$1,'ACH CALC'!I$2,'TALLY BOX DUMP'!119:119)+AA120)</f>
        <v/>
      </c>
      <c r="J120" s="21" t="str">
        <f>IF($D120="","",SUMIF('TALLY BOX DUMP'!$1:$1,'ACH CALC'!J$2,'TALLY BOX DUMP'!119:119)+AB120)</f>
        <v/>
      </c>
      <c r="K120" s="21" t="str">
        <f>IF($D120="","",SUMIF('TALLY BOX DUMP'!$1:$1,'ACH CALC'!K$2,'TALLY BOX DUMP'!119:119)+AC120)</f>
        <v/>
      </c>
      <c r="L120" s="21" t="str">
        <f>IF($D120="","",SUMIF('TALLY BOX DUMP'!$1:$1,'ACH CALC'!L$2,'TALLY BOX DUMP'!119:119))</f>
        <v/>
      </c>
      <c r="M120" s="21" t="str">
        <f>IF($D120="","",SUMIF('TALLY BOX DUMP'!$1:$1,'ACH CALC'!M$2,'TALLY BOX DUMP'!119:119)+AD120)</f>
        <v/>
      </c>
      <c r="N120" s="21" t="str">
        <f>IF($D120="","",SUMIF('TALLY BOX DUMP'!$1:$1,'ACH CALC'!N$2,'TALLY BOX DUMP'!119:119))</f>
        <v/>
      </c>
      <c r="O120" s="21" t="str">
        <f>IF($D120="","",SUMIF('TALLY BOX DUMP'!$1:$1,'ACH CALC'!O$2,'TALLY BOX DUMP'!119:119))</f>
        <v/>
      </c>
      <c r="P120" s="21" t="str">
        <f>IF($D120="","",SUMIF('TALLY BOX DUMP'!$1:$1,'ACH CALC'!P$2,'TALLY BOX DUMP'!119:119))</f>
        <v/>
      </c>
      <c r="Q120" s="21" t="str">
        <f t="shared" si="4"/>
        <v/>
      </c>
      <c r="R120" s="21" t="str">
        <f>IF($D120="","",SUMIF('TALLY BOX DUMP'!$1:$1,'ACH CALC'!R$2,'TALLY BOX DUMP'!119:119))</f>
        <v/>
      </c>
      <c r="S120" s="21" t="str">
        <f>IF($D120="","",SUMIF('TALLY BOX DUMP'!$1:$1,'ACH CALC'!S$2,'TALLY BOX DUMP'!119:119))</f>
        <v/>
      </c>
      <c r="T120" s="21" t="str">
        <f>IF($D120="","",SUMIF('TALLY BOX DUMP'!$1:$1,'ACH CALC'!T$2,'TALLY BOX DUMP'!119:119))</f>
        <v/>
      </c>
      <c r="U120" s="21" t="str">
        <f>IF($D120="","",SUMIF('TALLY BOX DUMP'!$1:$1,'ACH CALC'!U$2,'TALLY BOX DUMP'!119:119))</f>
        <v/>
      </c>
      <c r="V120" s="21" t="str">
        <f>IF($D120="","",SUMIF('TALLY BOX DUMP'!$1:$1,'ACH CALC'!V$2,'TALLY BOX DUMP'!119:119))</f>
        <v/>
      </c>
      <c r="W120" s="21" t="str">
        <f>IF($D120="","",SUMIF('TALLY BOX DUMP'!$1:$1,'ACH CALC'!W$2,'TALLY BOX DUMP'!119:119))</f>
        <v/>
      </c>
      <c r="X120" s="21" t="str">
        <f>IF($D120="","",SUMIF('TALLY BOX DUMP'!$1:$1,'ACH CALC'!X$2,'TALLY BOX DUMP'!119:119))</f>
        <v/>
      </c>
      <c r="Y120" s="21" t="str">
        <f>IF($D120="","",SUMIF('TALLY BOX DUMP'!$1:$1,'ACH CALC'!Y$2,'TALLY BOX DUMP'!119:119))</f>
        <v/>
      </c>
      <c r="Z120" s="21" t="str">
        <f>IF($D120="","",SUMIF('TALLY BOX DUMP'!$1:$1,'ACH CALC'!Z$2,'TALLY BOX DUMP'!119:119)+AE120)</f>
        <v/>
      </c>
      <c r="AA120" s="21" t="str">
        <f>IF($D120="","",SUMIF('TALLY BOX DUMP'!$1:$1,'ACH CALC'!AA$2,'TALLY BOX DUMP'!119:119))</f>
        <v/>
      </c>
      <c r="AB120" s="21" t="str">
        <f>IF($D120="","",SUMIF('TALLY BOX DUMP'!$1:$1,'ACH CALC'!AB$2,'TALLY BOX DUMP'!119:119))</f>
        <v/>
      </c>
      <c r="AC120" s="21" t="str">
        <f>IF($D120="","",SUMIF('TALLY BOX DUMP'!$1:$1,'ACH CALC'!AC$2,'TALLY BOX DUMP'!119:119))</f>
        <v/>
      </c>
      <c r="AD120" s="21" t="str">
        <f>IF($D120="","",SUMIF('TALLY BOX DUMP'!$1:$1,'ACH CALC'!AD$2,'TALLY BOX DUMP'!119:119))</f>
        <v/>
      </c>
      <c r="AE120" s="21" t="str">
        <f>IF($D120="","",SUMIF('TALLY BOX DUMP'!$1:$1,'ACH CALC'!AE$2,'TALLY BOX DUMP'!119:119))</f>
        <v/>
      </c>
      <c r="AF120" s="21" t="str">
        <f>IF($D120="","",SUMIF('TALLY BOX DUMP'!$1:$1,'ACH CALC'!AF$2,'TALLY BOX DUMP'!119:119))</f>
        <v/>
      </c>
      <c r="AG120" s="21" t="str">
        <f>IF($D120="","",SUMIF('TALLY BOX DUMP'!$1:$1,'ACH CALC'!AG$2,'TALLY BOX DUMP'!119:119))</f>
        <v/>
      </c>
      <c r="AH120" s="21" t="str">
        <f>IF($D120="","",SUMIF('TALLY BOX DUMP'!$1:$1,'ACH CALC'!AH$2,'TALLY BOX DUMP'!119:119))</f>
        <v/>
      </c>
      <c r="AI120" s="21" t="str">
        <f>IF($D120="","",SUMIF('TALLY BOX DUMP'!$1:$1,'ACH CALC'!AI$2,'TALLY BOX DUMP'!119:119))</f>
        <v/>
      </c>
      <c r="AJ120" s="21" t="str">
        <f>IF($D120="","",SUMIF('TALLY BOX DUMP'!$1:$1,'ACH CALC'!AJ$2,'TALLY BOX DUMP'!119:119))</f>
        <v/>
      </c>
      <c r="AK120" s="21" t="str">
        <f>IF($D120="","",SUMIF('TALLY BOX DUMP'!$1:$1,'ACH CALC'!AK$2,'TALLY BOX DUMP'!119:119))</f>
        <v/>
      </c>
      <c r="AL120" s="21" t="str">
        <f>IF($D120="","",ROUND(SUMIF('TALLY KG DUMP'!$1:$1,'ACH CALC'!AL$2,'TALLY KG DUMP'!119:119)/30,1))</f>
        <v/>
      </c>
      <c r="AM120" s="21" t="str">
        <f>IF($D120="","",SUMIF('TALLY BOX DUMP'!$1:$1,'ACH CALC'!AM$2,'TALLY BOX DUMP'!119:119))</f>
        <v/>
      </c>
      <c r="AN120" s="21" t="str">
        <f>IF($D120="","",SUMIF('TALLY BOX DUMP'!$1:$1,'ACH CALC'!AN$2,'TALLY BOX DUMP'!119:119))</f>
        <v/>
      </c>
      <c r="AO120" s="21" t="str">
        <f>IF($D120="","",SUMIF('TALLY BOX DUMP'!$1:$1,'ACH CALC'!AO$2,'TALLY BOX DUMP'!119:119))</f>
        <v/>
      </c>
      <c r="AP120" s="21" t="str">
        <f>IF($D120="","",SUMIF('TALLY BOX DUMP'!$1:$1,'ACH CALC'!AP$2,'TALLY BOX DUMP'!119:119))</f>
        <v/>
      </c>
      <c r="AQ120" s="21" t="str">
        <f>IF($D120="","",ROUND(SUMIF('TALLY KG DUMP'!$1:$1,'ACH CALC'!AQ$2,'TALLY KG DUMP'!119:119)/30,1))</f>
        <v/>
      </c>
      <c r="AR120" s="21" t="str">
        <f>IF($D120="","",SUMIF('TALLY BOX DUMP'!$1:$1,'ACH CALC'!AR$2,'TALLY BOX DUMP'!119:119))</f>
        <v/>
      </c>
      <c r="AS120" s="21" t="str">
        <f>IF($D120="","",SUMIF('TALLY BOX DUMP'!$1:$1,'ACH CALC'!AS$2,'TALLY BOX DUMP'!119:119))</f>
        <v/>
      </c>
      <c r="AT120" s="21" t="str">
        <f>IF($D120="","",SUMIF('TALLY BOX DUMP'!$1:$1,'ACH CALC'!AT$2,'TALLY BOX DUMP'!119:119))</f>
        <v/>
      </c>
      <c r="AU120" s="21" t="str">
        <f>IF($D120="","",SUMIF('TALLY BOX DUMP'!$1:$1,'ACH CALC'!AU$2,'TALLY BOX DUMP'!119:119))</f>
        <v/>
      </c>
      <c r="AV120" s="21" t="str">
        <f>IF($D120="","",SUMIF('TALLY BOX DUMP'!$1:$1,'ACH CALC'!AV$2,'TALLY BOX DUMP'!119:119))</f>
        <v/>
      </c>
      <c r="AW120" s="21" t="str">
        <f>IF($D120="","",SUMIF('TALLY BOX DUMP'!$1:$1,'ACH CALC'!AW$2,'TALLY BOX DUMP'!119:119))</f>
        <v/>
      </c>
      <c r="AX120" s="21" t="str">
        <f>IF($D120="","",SUMIF('TALLY BOX DUMP'!$1:$1,'ACH CALC'!AX$2,'TALLY BOX DUMP'!119:119))</f>
        <v/>
      </c>
      <c r="AY120" s="21" t="str">
        <f>IF($D120="","",SUMIF('TALLY BOX DUMP'!$1:$1,'ACH CALC'!AY$2,'TALLY BOX DUMP'!119:119))</f>
        <v/>
      </c>
      <c r="AZ120" s="21" t="str">
        <f>IF($D120="","",SUMIF('TALLY BOX DUMP'!$1:$1,'ACH CALC'!AZ$2,'TALLY BOX DUMP'!119:119))</f>
        <v/>
      </c>
      <c r="BA120" s="69">
        <f>(SUMIF('TALLY KG DUMP'!$2:$2,"Qty",'TALLY KG DUMP'!119:119)/1000)-(SUMIF('TALLY KG DUMP'!$1:$1,"GL",'TALLY KG DUMP'!119:119)/1000)</f>
        <v>0</v>
      </c>
      <c r="BB120" s="21" t="b">
        <f t="shared" si="5"/>
        <v>0</v>
      </c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</row>
    <row r="121" spans="2:75" x14ac:dyDescent="0.25">
      <c r="B121" s="21"/>
      <c r="C121" s="21"/>
      <c r="D121" s="21"/>
      <c r="E121" s="21" t="str">
        <f>IF($D121="","",(SUMIF('TALLY KG DUMP'!$2:$2,"Qty",'TALLY KG DUMP'!120:120)/1000)-(SUMIF('TALLY KG DUMP'!$1:$1,"GL",'TALLY KG DUMP'!120:120)/1000))</f>
        <v/>
      </c>
      <c r="F121" s="21" t="str">
        <f>IF($D121="","",(SUMIF('TALLY KG DUMP'!$1:$1,'ACH CALC'!F$2,'TALLY KG DUMP'!120:120)/1000))</f>
        <v/>
      </c>
      <c r="G121" s="21" t="str">
        <f>IF($D121="","",SUMIF('TALLY BOX DUMP'!$1:$1,'ACH CALC'!G$2,'TALLY BOX DUMP'!120:120)+Y121)</f>
        <v/>
      </c>
      <c r="H121" s="21" t="str">
        <f t="shared" si="3"/>
        <v/>
      </c>
      <c r="I121" s="21" t="str">
        <f>IF($D121="","",SUMIF('TALLY BOX DUMP'!$1:$1,'ACH CALC'!I$2,'TALLY BOX DUMP'!120:120)+AA121)</f>
        <v/>
      </c>
      <c r="J121" s="21" t="str">
        <f>IF($D121="","",SUMIF('TALLY BOX DUMP'!$1:$1,'ACH CALC'!J$2,'TALLY BOX DUMP'!120:120)+AB121)</f>
        <v/>
      </c>
      <c r="K121" s="21" t="str">
        <f>IF($D121="","",SUMIF('TALLY BOX DUMP'!$1:$1,'ACH CALC'!K$2,'TALLY BOX DUMP'!120:120)+AC121)</f>
        <v/>
      </c>
      <c r="L121" s="21" t="str">
        <f>IF($D121="","",SUMIF('TALLY BOX DUMP'!$1:$1,'ACH CALC'!L$2,'TALLY BOX DUMP'!120:120))</f>
        <v/>
      </c>
      <c r="M121" s="21" t="str">
        <f>IF($D121="","",SUMIF('TALLY BOX DUMP'!$1:$1,'ACH CALC'!M$2,'TALLY BOX DUMP'!120:120)+AD121)</f>
        <v/>
      </c>
      <c r="N121" s="21" t="str">
        <f>IF($D121="","",SUMIF('TALLY BOX DUMP'!$1:$1,'ACH CALC'!N$2,'TALLY BOX DUMP'!120:120))</f>
        <v/>
      </c>
      <c r="O121" s="21" t="str">
        <f>IF($D121="","",SUMIF('TALLY BOX DUMP'!$1:$1,'ACH CALC'!O$2,'TALLY BOX DUMP'!120:120))</f>
        <v/>
      </c>
      <c r="P121" s="21" t="str">
        <f>IF($D121="","",SUMIF('TALLY BOX DUMP'!$1:$1,'ACH CALC'!P$2,'TALLY BOX DUMP'!120:120))</f>
        <v/>
      </c>
      <c r="Q121" s="21" t="str">
        <f t="shared" si="4"/>
        <v/>
      </c>
      <c r="R121" s="21" t="str">
        <f>IF($D121="","",SUMIF('TALLY BOX DUMP'!$1:$1,'ACH CALC'!R$2,'TALLY BOX DUMP'!120:120))</f>
        <v/>
      </c>
      <c r="S121" s="21" t="str">
        <f>IF($D121="","",SUMIF('TALLY BOX DUMP'!$1:$1,'ACH CALC'!S$2,'TALLY BOX DUMP'!120:120))</f>
        <v/>
      </c>
      <c r="T121" s="21" t="str">
        <f>IF($D121="","",SUMIF('TALLY BOX DUMP'!$1:$1,'ACH CALC'!T$2,'TALLY BOX DUMP'!120:120))</f>
        <v/>
      </c>
      <c r="U121" s="21" t="str">
        <f>IF($D121="","",SUMIF('TALLY BOX DUMP'!$1:$1,'ACH CALC'!U$2,'TALLY BOX DUMP'!120:120))</f>
        <v/>
      </c>
      <c r="V121" s="21" t="str">
        <f>IF($D121="","",SUMIF('TALLY BOX DUMP'!$1:$1,'ACH CALC'!V$2,'TALLY BOX DUMP'!120:120))</f>
        <v/>
      </c>
      <c r="W121" s="21" t="str">
        <f>IF($D121="","",SUMIF('TALLY BOX DUMP'!$1:$1,'ACH CALC'!W$2,'TALLY BOX DUMP'!120:120))</f>
        <v/>
      </c>
      <c r="X121" s="21" t="str">
        <f>IF($D121="","",SUMIF('TALLY BOX DUMP'!$1:$1,'ACH CALC'!X$2,'TALLY BOX DUMP'!120:120))</f>
        <v/>
      </c>
      <c r="Y121" s="21" t="str">
        <f>IF($D121="","",SUMIF('TALLY BOX DUMP'!$1:$1,'ACH CALC'!Y$2,'TALLY BOX DUMP'!120:120))</f>
        <v/>
      </c>
      <c r="Z121" s="21" t="str">
        <f>IF($D121="","",SUMIF('TALLY BOX DUMP'!$1:$1,'ACH CALC'!Z$2,'TALLY BOX DUMP'!120:120)+AE121)</f>
        <v/>
      </c>
      <c r="AA121" s="21" t="str">
        <f>IF($D121="","",SUMIF('TALLY BOX DUMP'!$1:$1,'ACH CALC'!AA$2,'TALLY BOX DUMP'!120:120))</f>
        <v/>
      </c>
      <c r="AB121" s="21" t="str">
        <f>IF($D121="","",SUMIF('TALLY BOX DUMP'!$1:$1,'ACH CALC'!AB$2,'TALLY BOX DUMP'!120:120))</f>
        <v/>
      </c>
      <c r="AC121" s="21" t="str">
        <f>IF($D121="","",SUMIF('TALLY BOX DUMP'!$1:$1,'ACH CALC'!AC$2,'TALLY BOX DUMP'!120:120))</f>
        <v/>
      </c>
      <c r="AD121" s="21" t="str">
        <f>IF($D121="","",SUMIF('TALLY BOX DUMP'!$1:$1,'ACH CALC'!AD$2,'TALLY BOX DUMP'!120:120))</f>
        <v/>
      </c>
      <c r="AE121" s="21" t="str">
        <f>IF($D121="","",SUMIF('TALLY BOX DUMP'!$1:$1,'ACH CALC'!AE$2,'TALLY BOX DUMP'!120:120))</f>
        <v/>
      </c>
      <c r="AF121" s="21" t="str">
        <f>IF($D121="","",SUMIF('TALLY BOX DUMP'!$1:$1,'ACH CALC'!AF$2,'TALLY BOX DUMP'!120:120))</f>
        <v/>
      </c>
      <c r="AG121" s="21" t="str">
        <f>IF($D121="","",SUMIF('TALLY BOX DUMP'!$1:$1,'ACH CALC'!AG$2,'TALLY BOX DUMP'!120:120))</f>
        <v/>
      </c>
      <c r="AH121" s="21" t="str">
        <f>IF($D121="","",SUMIF('TALLY BOX DUMP'!$1:$1,'ACH CALC'!AH$2,'TALLY BOX DUMP'!120:120))</f>
        <v/>
      </c>
      <c r="AI121" s="21" t="str">
        <f>IF($D121="","",SUMIF('TALLY BOX DUMP'!$1:$1,'ACH CALC'!AI$2,'TALLY BOX DUMP'!120:120))</f>
        <v/>
      </c>
      <c r="AJ121" s="21" t="str">
        <f>IF($D121="","",SUMIF('TALLY BOX DUMP'!$1:$1,'ACH CALC'!AJ$2,'TALLY BOX DUMP'!120:120))</f>
        <v/>
      </c>
      <c r="AK121" s="21" t="str">
        <f>IF($D121="","",SUMIF('TALLY BOX DUMP'!$1:$1,'ACH CALC'!AK$2,'TALLY BOX DUMP'!120:120))</f>
        <v/>
      </c>
      <c r="AL121" s="21" t="str">
        <f>IF($D121="","",ROUND(SUMIF('TALLY KG DUMP'!$1:$1,'ACH CALC'!AL$2,'TALLY KG DUMP'!120:120)/30,1))</f>
        <v/>
      </c>
      <c r="AM121" s="21" t="str">
        <f>IF($D121="","",SUMIF('TALLY BOX DUMP'!$1:$1,'ACH CALC'!AM$2,'TALLY BOX DUMP'!120:120))</f>
        <v/>
      </c>
      <c r="AN121" s="21" t="str">
        <f>IF($D121="","",SUMIF('TALLY BOX DUMP'!$1:$1,'ACH CALC'!AN$2,'TALLY BOX DUMP'!120:120))</f>
        <v/>
      </c>
      <c r="AO121" s="21" t="str">
        <f>IF($D121="","",SUMIF('TALLY BOX DUMP'!$1:$1,'ACH CALC'!AO$2,'TALLY BOX DUMP'!120:120))</f>
        <v/>
      </c>
      <c r="AP121" s="21" t="str">
        <f>IF($D121="","",SUMIF('TALLY BOX DUMP'!$1:$1,'ACH CALC'!AP$2,'TALLY BOX DUMP'!120:120))</f>
        <v/>
      </c>
      <c r="AQ121" s="21" t="str">
        <f>IF($D121="","",ROUND(SUMIF('TALLY KG DUMP'!$1:$1,'ACH CALC'!AQ$2,'TALLY KG DUMP'!120:120)/30,1))</f>
        <v/>
      </c>
      <c r="AR121" s="21" t="str">
        <f>IF($D121="","",SUMIF('TALLY BOX DUMP'!$1:$1,'ACH CALC'!AR$2,'TALLY BOX DUMP'!120:120))</f>
        <v/>
      </c>
      <c r="AS121" s="21" t="str">
        <f>IF($D121="","",SUMIF('TALLY BOX DUMP'!$1:$1,'ACH CALC'!AS$2,'TALLY BOX DUMP'!120:120))</f>
        <v/>
      </c>
      <c r="AT121" s="21" t="str">
        <f>IF($D121="","",SUMIF('TALLY BOX DUMP'!$1:$1,'ACH CALC'!AT$2,'TALLY BOX DUMP'!120:120))</f>
        <v/>
      </c>
      <c r="AU121" s="21" t="str">
        <f>IF($D121="","",SUMIF('TALLY BOX DUMP'!$1:$1,'ACH CALC'!AU$2,'TALLY BOX DUMP'!120:120))</f>
        <v/>
      </c>
      <c r="AV121" s="21" t="str">
        <f>IF($D121="","",SUMIF('TALLY BOX DUMP'!$1:$1,'ACH CALC'!AV$2,'TALLY BOX DUMP'!120:120))</f>
        <v/>
      </c>
      <c r="AW121" s="21" t="str">
        <f>IF($D121="","",SUMIF('TALLY BOX DUMP'!$1:$1,'ACH CALC'!AW$2,'TALLY BOX DUMP'!120:120))</f>
        <v/>
      </c>
      <c r="AX121" s="21" t="str">
        <f>IF($D121="","",SUMIF('TALLY BOX DUMP'!$1:$1,'ACH CALC'!AX$2,'TALLY BOX DUMP'!120:120))</f>
        <v/>
      </c>
      <c r="AY121" s="21" t="str">
        <f>IF($D121="","",SUMIF('TALLY BOX DUMP'!$1:$1,'ACH CALC'!AY$2,'TALLY BOX DUMP'!120:120))</f>
        <v/>
      </c>
      <c r="AZ121" s="21" t="str">
        <f>IF($D121="","",SUMIF('TALLY BOX DUMP'!$1:$1,'ACH CALC'!AZ$2,'TALLY BOX DUMP'!120:120))</f>
        <v/>
      </c>
      <c r="BA121" s="69">
        <f>(SUMIF('TALLY KG DUMP'!$2:$2,"Qty",'TALLY KG DUMP'!120:120)/1000)-(SUMIF('TALLY KG DUMP'!$1:$1,"GL",'TALLY KG DUMP'!120:120)/1000)</f>
        <v>0</v>
      </c>
      <c r="BB121" s="21" t="b">
        <f t="shared" si="5"/>
        <v>0</v>
      </c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</row>
    <row r="122" spans="2:75" x14ac:dyDescent="0.25">
      <c r="B122" s="21"/>
      <c r="C122" s="21"/>
      <c r="D122" s="21"/>
      <c r="E122" s="21" t="str">
        <f>IF($D122="","",(SUMIF('TALLY KG DUMP'!$2:$2,"Qty",'TALLY KG DUMP'!121:121)/1000)-(SUMIF('TALLY KG DUMP'!$1:$1,"GL",'TALLY KG DUMP'!121:121)/1000))</f>
        <v/>
      </c>
      <c r="F122" s="21" t="str">
        <f>IF($D122="","",(SUMIF('TALLY KG DUMP'!$1:$1,'ACH CALC'!F$2,'TALLY KG DUMP'!121:121)/1000))</f>
        <v/>
      </c>
      <c r="G122" s="21" t="str">
        <f>IF($D122="","",SUMIF('TALLY BOX DUMP'!$1:$1,'ACH CALC'!G$2,'TALLY BOX DUMP'!121:121)+Y122)</f>
        <v/>
      </c>
      <c r="H122" s="21" t="str">
        <f t="shared" si="3"/>
        <v/>
      </c>
      <c r="I122" s="21" t="str">
        <f>IF($D122="","",SUMIF('TALLY BOX DUMP'!$1:$1,'ACH CALC'!I$2,'TALLY BOX DUMP'!121:121)+AA122)</f>
        <v/>
      </c>
      <c r="J122" s="21" t="str">
        <f>IF($D122="","",SUMIF('TALLY BOX DUMP'!$1:$1,'ACH CALC'!J$2,'TALLY BOX DUMP'!121:121)+AB122)</f>
        <v/>
      </c>
      <c r="K122" s="21" t="str">
        <f>IF($D122="","",SUMIF('TALLY BOX DUMP'!$1:$1,'ACH CALC'!K$2,'TALLY BOX DUMP'!121:121)+AC122)</f>
        <v/>
      </c>
      <c r="L122" s="21" t="str">
        <f>IF($D122="","",SUMIF('TALLY BOX DUMP'!$1:$1,'ACH CALC'!L$2,'TALLY BOX DUMP'!121:121))</f>
        <v/>
      </c>
      <c r="M122" s="21" t="str">
        <f>IF($D122="","",SUMIF('TALLY BOX DUMP'!$1:$1,'ACH CALC'!M$2,'TALLY BOX DUMP'!121:121)+AD122)</f>
        <v/>
      </c>
      <c r="N122" s="21" t="str">
        <f>IF($D122="","",SUMIF('TALLY BOX DUMP'!$1:$1,'ACH CALC'!N$2,'TALLY BOX DUMP'!121:121))</f>
        <v/>
      </c>
      <c r="O122" s="21" t="str">
        <f>IF($D122="","",SUMIF('TALLY BOX DUMP'!$1:$1,'ACH CALC'!O$2,'TALLY BOX DUMP'!121:121))</f>
        <v/>
      </c>
      <c r="P122" s="21" t="str">
        <f>IF($D122="","",SUMIF('TALLY BOX DUMP'!$1:$1,'ACH CALC'!P$2,'TALLY BOX DUMP'!121:121))</f>
        <v/>
      </c>
      <c r="Q122" s="21" t="str">
        <f t="shared" si="4"/>
        <v/>
      </c>
      <c r="R122" s="21" t="str">
        <f>IF($D122="","",SUMIF('TALLY BOX DUMP'!$1:$1,'ACH CALC'!R$2,'TALLY BOX DUMP'!121:121))</f>
        <v/>
      </c>
      <c r="S122" s="21" t="str">
        <f>IF($D122="","",SUMIF('TALLY BOX DUMP'!$1:$1,'ACH CALC'!S$2,'TALLY BOX DUMP'!121:121))</f>
        <v/>
      </c>
      <c r="T122" s="21" t="str">
        <f>IF($D122="","",SUMIF('TALLY BOX DUMP'!$1:$1,'ACH CALC'!T$2,'TALLY BOX DUMP'!121:121))</f>
        <v/>
      </c>
      <c r="U122" s="21" t="str">
        <f>IF($D122="","",SUMIF('TALLY BOX DUMP'!$1:$1,'ACH CALC'!U$2,'TALLY BOX DUMP'!121:121))</f>
        <v/>
      </c>
      <c r="V122" s="21" t="str">
        <f>IF($D122="","",SUMIF('TALLY BOX DUMP'!$1:$1,'ACH CALC'!V$2,'TALLY BOX DUMP'!121:121))</f>
        <v/>
      </c>
      <c r="W122" s="21" t="str">
        <f>IF($D122="","",SUMIF('TALLY BOX DUMP'!$1:$1,'ACH CALC'!W$2,'TALLY BOX DUMP'!121:121))</f>
        <v/>
      </c>
      <c r="X122" s="21" t="str">
        <f>IF($D122="","",SUMIF('TALLY BOX DUMP'!$1:$1,'ACH CALC'!X$2,'TALLY BOX DUMP'!121:121))</f>
        <v/>
      </c>
      <c r="Y122" s="21" t="str">
        <f>IF($D122="","",SUMIF('TALLY BOX DUMP'!$1:$1,'ACH CALC'!Y$2,'TALLY BOX DUMP'!121:121))</f>
        <v/>
      </c>
      <c r="Z122" s="21" t="str">
        <f>IF($D122="","",SUMIF('TALLY BOX DUMP'!$1:$1,'ACH CALC'!Z$2,'TALLY BOX DUMP'!121:121)+AE122)</f>
        <v/>
      </c>
      <c r="AA122" s="21" t="str">
        <f>IF($D122="","",SUMIF('TALLY BOX DUMP'!$1:$1,'ACH CALC'!AA$2,'TALLY BOX DUMP'!121:121))</f>
        <v/>
      </c>
      <c r="AB122" s="21" t="str">
        <f>IF($D122="","",SUMIF('TALLY BOX DUMP'!$1:$1,'ACH CALC'!AB$2,'TALLY BOX DUMP'!121:121))</f>
        <v/>
      </c>
      <c r="AC122" s="21" t="str">
        <f>IF($D122="","",SUMIF('TALLY BOX DUMP'!$1:$1,'ACH CALC'!AC$2,'TALLY BOX DUMP'!121:121))</f>
        <v/>
      </c>
      <c r="AD122" s="21" t="str">
        <f>IF($D122="","",SUMIF('TALLY BOX DUMP'!$1:$1,'ACH CALC'!AD$2,'TALLY BOX DUMP'!121:121))</f>
        <v/>
      </c>
      <c r="AE122" s="21" t="str">
        <f>IF($D122="","",SUMIF('TALLY BOX DUMP'!$1:$1,'ACH CALC'!AE$2,'TALLY BOX DUMP'!121:121))</f>
        <v/>
      </c>
      <c r="AF122" s="21" t="str">
        <f>IF($D122="","",SUMIF('TALLY BOX DUMP'!$1:$1,'ACH CALC'!AF$2,'TALLY BOX DUMP'!121:121))</f>
        <v/>
      </c>
      <c r="AG122" s="21" t="str">
        <f>IF($D122="","",SUMIF('TALLY BOX DUMP'!$1:$1,'ACH CALC'!AG$2,'TALLY BOX DUMP'!121:121))</f>
        <v/>
      </c>
      <c r="AH122" s="21" t="str">
        <f>IF($D122="","",SUMIF('TALLY BOX DUMP'!$1:$1,'ACH CALC'!AH$2,'TALLY BOX DUMP'!121:121))</f>
        <v/>
      </c>
      <c r="AI122" s="21" t="str">
        <f>IF($D122="","",SUMIF('TALLY BOX DUMP'!$1:$1,'ACH CALC'!AI$2,'TALLY BOX DUMP'!121:121))</f>
        <v/>
      </c>
      <c r="AJ122" s="21" t="str">
        <f>IF($D122="","",SUMIF('TALLY BOX DUMP'!$1:$1,'ACH CALC'!AJ$2,'TALLY BOX DUMP'!121:121))</f>
        <v/>
      </c>
      <c r="AK122" s="21" t="str">
        <f>IF($D122="","",SUMIF('TALLY BOX DUMP'!$1:$1,'ACH CALC'!AK$2,'TALLY BOX DUMP'!121:121))</f>
        <v/>
      </c>
      <c r="AL122" s="21" t="str">
        <f>IF($D122="","",ROUND(SUMIF('TALLY KG DUMP'!$1:$1,'ACH CALC'!AL$2,'TALLY KG DUMP'!121:121)/30,1))</f>
        <v/>
      </c>
      <c r="AM122" s="21" t="str">
        <f>IF($D122="","",SUMIF('TALLY BOX DUMP'!$1:$1,'ACH CALC'!AM$2,'TALLY BOX DUMP'!121:121))</f>
        <v/>
      </c>
      <c r="AN122" s="21" t="str">
        <f>IF($D122="","",SUMIF('TALLY BOX DUMP'!$1:$1,'ACH CALC'!AN$2,'TALLY BOX DUMP'!121:121))</f>
        <v/>
      </c>
      <c r="AO122" s="21" t="str">
        <f>IF($D122="","",SUMIF('TALLY BOX DUMP'!$1:$1,'ACH CALC'!AO$2,'TALLY BOX DUMP'!121:121))</f>
        <v/>
      </c>
      <c r="AP122" s="21" t="str">
        <f>IF($D122="","",SUMIF('TALLY BOX DUMP'!$1:$1,'ACH CALC'!AP$2,'TALLY BOX DUMP'!121:121))</f>
        <v/>
      </c>
      <c r="AQ122" s="21" t="str">
        <f>IF($D122="","",ROUND(SUMIF('TALLY KG DUMP'!$1:$1,'ACH CALC'!AQ$2,'TALLY KG DUMP'!121:121)/30,1))</f>
        <v/>
      </c>
      <c r="AR122" s="21" t="str">
        <f>IF($D122="","",SUMIF('TALLY BOX DUMP'!$1:$1,'ACH CALC'!AR$2,'TALLY BOX DUMP'!121:121))</f>
        <v/>
      </c>
      <c r="AS122" s="21" t="str">
        <f>IF($D122="","",SUMIF('TALLY BOX DUMP'!$1:$1,'ACH CALC'!AS$2,'TALLY BOX DUMP'!121:121))</f>
        <v/>
      </c>
      <c r="AT122" s="21" t="str">
        <f>IF($D122="","",SUMIF('TALLY BOX DUMP'!$1:$1,'ACH CALC'!AT$2,'TALLY BOX DUMP'!121:121))</f>
        <v/>
      </c>
      <c r="AU122" s="21" t="str">
        <f>IF($D122="","",SUMIF('TALLY BOX DUMP'!$1:$1,'ACH CALC'!AU$2,'TALLY BOX DUMP'!121:121))</f>
        <v/>
      </c>
      <c r="AV122" s="21" t="str">
        <f>IF($D122="","",SUMIF('TALLY BOX DUMP'!$1:$1,'ACH CALC'!AV$2,'TALLY BOX DUMP'!121:121))</f>
        <v/>
      </c>
      <c r="AW122" s="21" t="str">
        <f>IF($D122="","",SUMIF('TALLY BOX DUMP'!$1:$1,'ACH CALC'!AW$2,'TALLY BOX DUMP'!121:121))</f>
        <v/>
      </c>
      <c r="AX122" s="21" t="str">
        <f>IF($D122="","",SUMIF('TALLY BOX DUMP'!$1:$1,'ACH CALC'!AX$2,'TALLY BOX DUMP'!121:121))</f>
        <v/>
      </c>
      <c r="AY122" s="21" t="str">
        <f>IF($D122="","",SUMIF('TALLY BOX DUMP'!$1:$1,'ACH CALC'!AY$2,'TALLY BOX DUMP'!121:121))</f>
        <v/>
      </c>
      <c r="AZ122" s="21" t="str">
        <f>IF($D122="","",SUMIF('TALLY BOX DUMP'!$1:$1,'ACH CALC'!AZ$2,'TALLY BOX DUMP'!121:121))</f>
        <v/>
      </c>
      <c r="BA122" s="69">
        <f>(SUMIF('TALLY KG DUMP'!$2:$2,"Qty",'TALLY KG DUMP'!121:121)/1000)-(SUMIF('TALLY KG DUMP'!$1:$1,"GL",'TALLY KG DUMP'!121:121)/1000)</f>
        <v>0</v>
      </c>
      <c r="BB122" s="21" t="b">
        <f t="shared" si="5"/>
        <v>0</v>
      </c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</row>
    <row r="123" spans="2:75" x14ac:dyDescent="0.25">
      <c r="B123" s="21"/>
      <c r="C123" s="21"/>
      <c r="D123" s="21"/>
      <c r="E123" s="21" t="str">
        <f>IF($D123="","",(SUMIF('TALLY KG DUMP'!$2:$2,"Qty",'TALLY KG DUMP'!122:122)/1000)-(SUMIF('TALLY KG DUMP'!$1:$1,"GL",'TALLY KG DUMP'!122:122)/1000))</f>
        <v/>
      </c>
      <c r="F123" s="21" t="str">
        <f>IF($D123="","",(SUMIF('TALLY KG DUMP'!$1:$1,'ACH CALC'!F$2,'TALLY KG DUMP'!122:122)/1000))</f>
        <v/>
      </c>
      <c r="G123" s="21" t="str">
        <f>IF($D123="","",SUMIF('TALLY BOX DUMP'!$1:$1,'ACH CALC'!G$2,'TALLY BOX DUMP'!122:122)+Y123)</f>
        <v/>
      </c>
      <c r="H123" s="21" t="str">
        <f t="shared" si="3"/>
        <v/>
      </c>
      <c r="I123" s="21" t="str">
        <f>IF($D123="","",SUMIF('TALLY BOX DUMP'!$1:$1,'ACH CALC'!I$2,'TALLY BOX DUMP'!122:122)+AA123)</f>
        <v/>
      </c>
      <c r="J123" s="21" t="str">
        <f>IF($D123="","",SUMIF('TALLY BOX DUMP'!$1:$1,'ACH CALC'!J$2,'TALLY BOX DUMP'!122:122)+AB123)</f>
        <v/>
      </c>
      <c r="K123" s="21" t="str">
        <f>IF($D123="","",SUMIF('TALLY BOX DUMP'!$1:$1,'ACH CALC'!K$2,'TALLY BOX DUMP'!122:122)+AC123)</f>
        <v/>
      </c>
      <c r="L123" s="21" t="str">
        <f>IF($D123="","",SUMIF('TALLY BOX DUMP'!$1:$1,'ACH CALC'!L$2,'TALLY BOX DUMP'!122:122))</f>
        <v/>
      </c>
      <c r="M123" s="21" t="str">
        <f>IF($D123="","",SUMIF('TALLY BOX DUMP'!$1:$1,'ACH CALC'!M$2,'TALLY BOX DUMP'!122:122)+AD123)</f>
        <v/>
      </c>
      <c r="N123" s="21" t="str">
        <f>IF($D123="","",SUMIF('TALLY BOX DUMP'!$1:$1,'ACH CALC'!N$2,'TALLY BOX DUMP'!122:122))</f>
        <v/>
      </c>
      <c r="O123" s="21" t="str">
        <f>IF($D123="","",SUMIF('TALLY BOX DUMP'!$1:$1,'ACH CALC'!O$2,'TALLY BOX DUMP'!122:122))</f>
        <v/>
      </c>
      <c r="P123" s="21" t="str">
        <f>IF($D123="","",SUMIF('TALLY BOX DUMP'!$1:$1,'ACH CALC'!P$2,'TALLY BOX DUMP'!122:122))</f>
        <v/>
      </c>
      <c r="Q123" s="21" t="str">
        <f t="shared" si="4"/>
        <v/>
      </c>
      <c r="R123" s="21" t="str">
        <f>IF($D123="","",SUMIF('TALLY BOX DUMP'!$1:$1,'ACH CALC'!R$2,'TALLY BOX DUMP'!122:122))</f>
        <v/>
      </c>
      <c r="S123" s="21" t="str">
        <f>IF($D123="","",SUMIF('TALLY BOX DUMP'!$1:$1,'ACH CALC'!S$2,'TALLY BOX DUMP'!122:122))</f>
        <v/>
      </c>
      <c r="T123" s="21" t="str">
        <f>IF($D123="","",SUMIF('TALLY BOX DUMP'!$1:$1,'ACH CALC'!T$2,'TALLY BOX DUMP'!122:122))</f>
        <v/>
      </c>
      <c r="U123" s="21" t="str">
        <f>IF($D123="","",SUMIF('TALLY BOX DUMP'!$1:$1,'ACH CALC'!U$2,'TALLY BOX DUMP'!122:122))</f>
        <v/>
      </c>
      <c r="V123" s="21" t="str">
        <f>IF($D123="","",SUMIF('TALLY BOX DUMP'!$1:$1,'ACH CALC'!V$2,'TALLY BOX DUMP'!122:122))</f>
        <v/>
      </c>
      <c r="W123" s="21" t="str">
        <f>IF($D123="","",SUMIF('TALLY BOX DUMP'!$1:$1,'ACH CALC'!W$2,'TALLY BOX DUMP'!122:122))</f>
        <v/>
      </c>
      <c r="X123" s="21" t="str">
        <f>IF($D123="","",SUMIF('TALLY BOX DUMP'!$1:$1,'ACH CALC'!X$2,'TALLY BOX DUMP'!122:122))</f>
        <v/>
      </c>
      <c r="Y123" s="21" t="str">
        <f>IF($D123="","",SUMIF('TALLY BOX DUMP'!$1:$1,'ACH CALC'!Y$2,'TALLY BOX DUMP'!122:122))</f>
        <v/>
      </c>
      <c r="Z123" s="21" t="str">
        <f>IF($D123="","",SUMIF('TALLY BOX DUMP'!$1:$1,'ACH CALC'!Z$2,'TALLY BOX DUMP'!122:122)+AE123)</f>
        <v/>
      </c>
      <c r="AA123" s="21" t="str">
        <f>IF($D123="","",SUMIF('TALLY BOX DUMP'!$1:$1,'ACH CALC'!AA$2,'TALLY BOX DUMP'!122:122))</f>
        <v/>
      </c>
      <c r="AB123" s="21" t="str">
        <f>IF($D123="","",SUMIF('TALLY BOX DUMP'!$1:$1,'ACH CALC'!AB$2,'TALLY BOX DUMP'!122:122))</f>
        <v/>
      </c>
      <c r="AC123" s="21" t="str">
        <f>IF($D123="","",SUMIF('TALLY BOX DUMP'!$1:$1,'ACH CALC'!AC$2,'TALLY BOX DUMP'!122:122))</f>
        <v/>
      </c>
      <c r="AD123" s="21" t="str">
        <f>IF($D123="","",SUMIF('TALLY BOX DUMP'!$1:$1,'ACH CALC'!AD$2,'TALLY BOX DUMP'!122:122))</f>
        <v/>
      </c>
      <c r="AE123" s="21" t="str">
        <f>IF($D123="","",SUMIF('TALLY BOX DUMP'!$1:$1,'ACH CALC'!AE$2,'TALLY BOX DUMP'!122:122))</f>
        <v/>
      </c>
      <c r="AF123" s="21" t="str">
        <f>IF($D123="","",SUMIF('TALLY BOX DUMP'!$1:$1,'ACH CALC'!AF$2,'TALLY BOX DUMP'!122:122))</f>
        <v/>
      </c>
      <c r="AG123" s="21" t="str">
        <f>IF($D123="","",SUMIF('TALLY BOX DUMP'!$1:$1,'ACH CALC'!AG$2,'TALLY BOX DUMP'!122:122))</f>
        <v/>
      </c>
      <c r="AH123" s="21" t="str">
        <f>IF($D123="","",SUMIF('TALLY BOX DUMP'!$1:$1,'ACH CALC'!AH$2,'TALLY BOX DUMP'!122:122))</f>
        <v/>
      </c>
      <c r="AI123" s="21" t="str">
        <f>IF($D123="","",SUMIF('TALLY BOX DUMP'!$1:$1,'ACH CALC'!AI$2,'TALLY BOX DUMP'!122:122))</f>
        <v/>
      </c>
      <c r="AJ123" s="21" t="str">
        <f>IF($D123="","",SUMIF('TALLY BOX DUMP'!$1:$1,'ACH CALC'!AJ$2,'TALLY BOX DUMP'!122:122))</f>
        <v/>
      </c>
      <c r="AK123" s="21" t="str">
        <f>IF($D123="","",SUMIF('TALLY BOX DUMP'!$1:$1,'ACH CALC'!AK$2,'TALLY BOX DUMP'!122:122))</f>
        <v/>
      </c>
      <c r="AL123" s="21" t="str">
        <f>IF($D123="","",ROUND(SUMIF('TALLY KG DUMP'!$1:$1,'ACH CALC'!AL$2,'TALLY KG DUMP'!122:122)/30,1))</f>
        <v/>
      </c>
      <c r="AM123" s="21" t="str">
        <f>IF($D123="","",SUMIF('TALLY BOX DUMP'!$1:$1,'ACH CALC'!AM$2,'TALLY BOX DUMP'!122:122))</f>
        <v/>
      </c>
      <c r="AN123" s="21" t="str">
        <f>IF($D123="","",SUMIF('TALLY BOX DUMP'!$1:$1,'ACH CALC'!AN$2,'TALLY BOX DUMP'!122:122))</f>
        <v/>
      </c>
      <c r="AO123" s="21" t="str">
        <f>IF($D123="","",SUMIF('TALLY BOX DUMP'!$1:$1,'ACH CALC'!AO$2,'TALLY BOX DUMP'!122:122))</f>
        <v/>
      </c>
      <c r="AP123" s="21" t="str">
        <f>IF($D123="","",SUMIF('TALLY BOX DUMP'!$1:$1,'ACH CALC'!AP$2,'TALLY BOX DUMP'!122:122))</f>
        <v/>
      </c>
      <c r="AQ123" s="21" t="str">
        <f>IF($D123="","",ROUND(SUMIF('TALLY KG DUMP'!$1:$1,'ACH CALC'!AQ$2,'TALLY KG DUMP'!122:122)/30,1))</f>
        <v/>
      </c>
      <c r="AR123" s="21" t="str">
        <f>IF($D123="","",SUMIF('TALLY BOX DUMP'!$1:$1,'ACH CALC'!AR$2,'TALLY BOX DUMP'!122:122))</f>
        <v/>
      </c>
      <c r="AS123" s="21" t="str">
        <f>IF($D123="","",SUMIF('TALLY BOX DUMP'!$1:$1,'ACH CALC'!AS$2,'TALLY BOX DUMP'!122:122))</f>
        <v/>
      </c>
      <c r="AT123" s="21" t="str">
        <f>IF($D123="","",SUMIF('TALLY BOX DUMP'!$1:$1,'ACH CALC'!AT$2,'TALLY BOX DUMP'!122:122))</f>
        <v/>
      </c>
      <c r="AU123" s="21" t="str">
        <f>IF($D123="","",SUMIF('TALLY BOX DUMP'!$1:$1,'ACH CALC'!AU$2,'TALLY BOX DUMP'!122:122))</f>
        <v/>
      </c>
      <c r="AV123" s="21" t="str">
        <f>IF($D123="","",SUMIF('TALLY BOX DUMP'!$1:$1,'ACH CALC'!AV$2,'TALLY BOX DUMP'!122:122))</f>
        <v/>
      </c>
      <c r="AW123" s="21" t="str">
        <f>IF($D123="","",SUMIF('TALLY BOX DUMP'!$1:$1,'ACH CALC'!AW$2,'TALLY BOX DUMP'!122:122))</f>
        <v/>
      </c>
      <c r="AX123" s="21" t="str">
        <f>IF($D123="","",SUMIF('TALLY BOX DUMP'!$1:$1,'ACH CALC'!AX$2,'TALLY BOX DUMP'!122:122))</f>
        <v/>
      </c>
      <c r="AY123" s="21" t="str">
        <f>IF($D123="","",SUMIF('TALLY BOX DUMP'!$1:$1,'ACH CALC'!AY$2,'TALLY BOX DUMP'!122:122))</f>
        <v/>
      </c>
      <c r="AZ123" s="21" t="str">
        <f>IF($D123="","",SUMIF('TALLY BOX DUMP'!$1:$1,'ACH CALC'!AZ$2,'TALLY BOX DUMP'!122:122))</f>
        <v/>
      </c>
      <c r="BA123" s="69">
        <f>(SUMIF('TALLY KG DUMP'!$2:$2,"Qty",'TALLY KG DUMP'!122:122)/1000)-(SUMIF('TALLY KG DUMP'!$1:$1,"GL",'TALLY KG DUMP'!122:122)/1000)</f>
        <v>0</v>
      </c>
      <c r="BB123" s="21" t="b">
        <f t="shared" si="5"/>
        <v>0</v>
      </c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</row>
    <row r="124" spans="2:75" x14ac:dyDescent="0.25">
      <c r="B124" s="21"/>
      <c r="C124" s="21"/>
      <c r="D124" s="21"/>
      <c r="E124" s="21" t="str">
        <f>IF($D124="","",(SUMIF('TALLY KG DUMP'!$2:$2,"Qty",'TALLY KG DUMP'!123:123)/1000)-(SUMIF('TALLY KG DUMP'!$1:$1,"GL",'TALLY KG DUMP'!123:123)/1000))</f>
        <v/>
      </c>
      <c r="F124" s="21" t="str">
        <f>IF($D124="","",(SUMIF('TALLY KG DUMP'!$1:$1,'ACH CALC'!F$2,'TALLY KG DUMP'!123:123)/1000))</f>
        <v/>
      </c>
      <c r="G124" s="21" t="str">
        <f>IF($D124="","",SUMIF('TALLY BOX DUMP'!$1:$1,'ACH CALC'!G$2,'TALLY BOX DUMP'!123:123)+Y124)</f>
        <v/>
      </c>
      <c r="H124" s="21" t="str">
        <f t="shared" si="3"/>
        <v/>
      </c>
      <c r="I124" s="21" t="str">
        <f>IF($D124="","",SUMIF('TALLY BOX DUMP'!$1:$1,'ACH CALC'!I$2,'TALLY BOX DUMP'!123:123)+AA124)</f>
        <v/>
      </c>
      <c r="J124" s="21" t="str">
        <f>IF($D124="","",SUMIF('TALLY BOX DUMP'!$1:$1,'ACH CALC'!J$2,'TALLY BOX DUMP'!123:123)+AB124)</f>
        <v/>
      </c>
      <c r="K124" s="21" t="str">
        <f>IF($D124="","",SUMIF('TALLY BOX DUMP'!$1:$1,'ACH CALC'!K$2,'TALLY BOX DUMP'!123:123)+AC124)</f>
        <v/>
      </c>
      <c r="L124" s="21" t="str">
        <f>IF($D124="","",SUMIF('TALLY BOX DUMP'!$1:$1,'ACH CALC'!L$2,'TALLY BOX DUMP'!123:123))</f>
        <v/>
      </c>
      <c r="M124" s="21" t="str">
        <f>IF($D124="","",SUMIF('TALLY BOX DUMP'!$1:$1,'ACH CALC'!M$2,'TALLY BOX DUMP'!123:123)+AD124)</f>
        <v/>
      </c>
      <c r="N124" s="21" t="str">
        <f>IF($D124="","",SUMIF('TALLY BOX DUMP'!$1:$1,'ACH CALC'!N$2,'TALLY BOX DUMP'!123:123))</f>
        <v/>
      </c>
      <c r="O124" s="21" t="str">
        <f>IF($D124="","",SUMIF('TALLY BOX DUMP'!$1:$1,'ACH CALC'!O$2,'TALLY BOX DUMP'!123:123))</f>
        <v/>
      </c>
      <c r="P124" s="21" t="str">
        <f>IF($D124="","",SUMIF('TALLY BOX DUMP'!$1:$1,'ACH CALC'!P$2,'TALLY BOX DUMP'!123:123))</f>
        <v/>
      </c>
      <c r="Q124" s="21" t="str">
        <f t="shared" si="4"/>
        <v/>
      </c>
      <c r="R124" s="21" t="str">
        <f>IF($D124="","",SUMIF('TALLY BOX DUMP'!$1:$1,'ACH CALC'!R$2,'TALLY BOX DUMP'!123:123))</f>
        <v/>
      </c>
      <c r="S124" s="21" t="str">
        <f>IF($D124="","",SUMIF('TALLY BOX DUMP'!$1:$1,'ACH CALC'!S$2,'TALLY BOX DUMP'!123:123))</f>
        <v/>
      </c>
      <c r="T124" s="21" t="str">
        <f>IF($D124="","",SUMIF('TALLY BOX DUMP'!$1:$1,'ACH CALC'!T$2,'TALLY BOX DUMP'!123:123))</f>
        <v/>
      </c>
      <c r="U124" s="21" t="str">
        <f>IF($D124="","",SUMIF('TALLY BOX DUMP'!$1:$1,'ACH CALC'!U$2,'TALLY BOX DUMP'!123:123))</f>
        <v/>
      </c>
      <c r="V124" s="21" t="str">
        <f>IF($D124="","",SUMIF('TALLY BOX DUMP'!$1:$1,'ACH CALC'!V$2,'TALLY BOX DUMP'!123:123))</f>
        <v/>
      </c>
      <c r="W124" s="21" t="str">
        <f>IF($D124="","",SUMIF('TALLY BOX DUMP'!$1:$1,'ACH CALC'!W$2,'TALLY BOX DUMP'!123:123))</f>
        <v/>
      </c>
      <c r="X124" s="21" t="str">
        <f>IF($D124="","",SUMIF('TALLY BOX DUMP'!$1:$1,'ACH CALC'!X$2,'TALLY BOX DUMP'!123:123))</f>
        <v/>
      </c>
      <c r="Y124" s="21" t="str">
        <f>IF($D124="","",SUMIF('TALLY BOX DUMP'!$1:$1,'ACH CALC'!Y$2,'TALLY BOX DUMP'!123:123))</f>
        <v/>
      </c>
      <c r="Z124" s="21" t="str">
        <f>IF($D124="","",SUMIF('TALLY BOX DUMP'!$1:$1,'ACH CALC'!Z$2,'TALLY BOX DUMP'!123:123)+AE124)</f>
        <v/>
      </c>
      <c r="AA124" s="21" t="str">
        <f>IF($D124="","",SUMIF('TALLY BOX DUMP'!$1:$1,'ACH CALC'!AA$2,'TALLY BOX DUMP'!123:123))</f>
        <v/>
      </c>
      <c r="AB124" s="21" t="str">
        <f>IF($D124="","",SUMIF('TALLY BOX DUMP'!$1:$1,'ACH CALC'!AB$2,'TALLY BOX DUMP'!123:123))</f>
        <v/>
      </c>
      <c r="AC124" s="21" t="str">
        <f>IF($D124="","",SUMIF('TALLY BOX DUMP'!$1:$1,'ACH CALC'!AC$2,'TALLY BOX DUMP'!123:123))</f>
        <v/>
      </c>
      <c r="AD124" s="21" t="str">
        <f>IF($D124="","",SUMIF('TALLY BOX DUMP'!$1:$1,'ACH CALC'!AD$2,'TALLY BOX DUMP'!123:123))</f>
        <v/>
      </c>
      <c r="AE124" s="21" t="str">
        <f>IF($D124="","",SUMIF('TALLY BOX DUMP'!$1:$1,'ACH CALC'!AE$2,'TALLY BOX DUMP'!123:123))</f>
        <v/>
      </c>
      <c r="AF124" s="21" t="str">
        <f>IF($D124="","",SUMIF('TALLY BOX DUMP'!$1:$1,'ACH CALC'!AF$2,'TALLY BOX DUMP'!123:123))</f>
        <v/>
      </c>
      <c r="AG124" s="21" t="str">
        <f>IF($D124="","",SUMIF('TALLY BOX DUMP'!$1:$1,'ACH CALC'!AG$2,'TALLY BOX DUMP'!123:123))</f>
        <v/>
      </c>
      <c r="AH124" s="21" t="str">
        <f>IF($D124="","",SUMIF('TALLY BOX DUMP'!$1:$1,'ACH CALC'!AH$2,'TALLY BOX DUMP'!123:123))</f>
        <v/>
      </c>
      <c r="AI124" s="21" t="str">
        <f>IF($D124="","",SUMIF('TALLY BOX DUMP'!$1:$1,'ACH CALC'!AI$2,'TALLY BOX DUMP'!123:123))</f>
        <v/>
      </c>
      <c r="AJ124" s="21" t="str">
        <f>IF($D124="","",SUMIF('TALLY BOX DUMP'!$1:$1,'ACH CALC'!AJ$2,'TALLY BOX DUMP'!123:123))</f>
        <v/>
      </c>
      <c r="AK124" s="21" t="str">
        <f>IF($D124="","",SUMIF('TALLY BOX DUMP'!$1:$1,'ACH CALC'!AK$2,'TALLY BOX DUMP'!123:123))</f>
        <v/>
      </c>
      <c r="AL124" s="21" t="str">
        <f>IF($D124="","",ROUND(SUMIF('TALLY KG DUMP'!$1:$1,'ACH CALC'!AL$2,'TALLY KG DUMP'!123:123)/30,1))</f>
        <v/>
      </c>
      <c r="AM124" s="21" t="str">
        <f>IF($D124="","",SUMIF('TALLY BOX DUMP'!$1:$1,'ACH CALC'!AM$2,'TALLY BOX DUMP'!123:123))</f>
        <v/>
      </c>
      <c r="AN124" s="21" t="str">
        <f>IF($D124="","",SUMIF('TALLY BOX DUMP'!$1:$1,'ACH CALC'!AN$2,'TALLY BOX DUMP'!123:123))</f>
        <v/>
      </c>
      <c r="AO124" s="21" t="str">
        <f>IF($D124="","",SUMIF('TALLY BOX DUMP'!$1:$1,'ACH CALC'!AO$2,'TALLY BOX DUMP'!123:123))</f>
        <v/>
      </c>
      <c r="AP124" s="21" t="str">
        <f>IF($D124="","",SUMIF('TALLY BOX DUMP'!$1:$1,'ACH CALC'!AP$2,'TALLY BOX DUMP'!123:123))</f>
        <v/>
      </c>
      <c r="AQ124" s="21" t="str">
        <f>IF($D124="","",ROUND(SUMIF('TALLY KG DUMP'!$1:$1,'ACH CALC'!AQ$2,'TALLY KG DUMP'!123:123)/30,1))</f>
        <v/>
      </c>
      <c r="AR124" s="21" t="str">
        <f>IF($D124="","",SUMIF('TALLY BOX DUMP'!$1:$1,'ACH CALC'!AR$2,'TALLY BOX DUMP'!123:123))</f>
        <v/>
      </c>
      <c r="AS124" s="21" t="str">
        <f>IF($D124="","",SUMIF('TALLY BOX DUMP'!$1:$1,'ACH CALC'!AS$2,'TALLY BOX DUMP'!123:123))</f>
        <v/>
      </c>
      <c r="AT124" s="21" t="str">
        <f>IF($D124="","",SUMIF('TALLY BOX DUMP'!$1:$1,'ACH CALC'!AT$2,'TALLY BOX DUMP'!123:123))</f>
        <v/>
      </c>
      <c r="AU124" s="21" t="str">
        <f>IF($D124="","",SUMIF('TALLY BOX DUMP'!$1:$1,'ACH CALC'!AU$2,'TALLY BOX DUMP'!123:123))</f>
        <v/>
      </c>
      <c r="AV124" s="21" t="str">
        <f>IF($D124="","",SUMIF('TALLY BOX DUMP'!$1:$1,'ACH CALC'!AV$2,'TALLY BOX DUMP'!123:123))</f>
        <v/>
      </c>
      <c r="AW124" s="21" t="str">
        <f>IF($D124="","",SUMIF('TALLY BOX DUMP'!$1:$1,'ACH CALC'!AW$2,'TALLY BOX DUMP'!123:123))</f>
        <v/>
      </c>
      <c r="AX124" s="21" t="str">
        <f>IF($D124="","",SUMIF('TALLY BOX DUMP'!$1:$1,'ACH CALC'!AX$2,'TALLY BOX DUMP'!123:123))</f>
        <v/>
      </c>
      <c r="AY124" s="21" t="str">
        <f>IF($D124="","",SUMIF('TALLY BOX DUMP'!$1:$1,'ACH CALC'!AY$2,'TALLY BOX DUMP'!123:123))</f>
        <v/>
      </c>
      <c r="AZ124" s="21" t="str">
        <f>IF($D124="","",SUMIF('TALLY BOX DUMP'!$1:$1,'ACH CALC'!AZ$2,'TALLY BOX DUMP'!123:123))</f>
        <v/>
      </c>
      <c r="BA124" s="69">
        <f>(SUMIF('TALLY KG DUMP'!$2:$2,"Qty",'TALLY KG DUMP'!123:123)/1000)-(SUMIF('TALLY KG DUMP'!$1:$1,"GL",'TALLY KG DUMP'!123:123)/1000)</f>
        <v>0</v>
      </c>
      <c r="BB124" s="21" t="b">
        <f t="shared" si="5"/>
        <v>0</v>
      </c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</row>
    <row r="125" spans="2:75" x14ac:dyDescent="0.25">
      <c r="B125" s="21"/>
      <c r="C125" s="21"/>
      <c r="D125" s="21"/>
      <c r="E125" s="21" t="str">
        <f>IF($D125="","",(SUMIF('TALLY KG DUMP'!$2:$2,"Qty",'TALLY KG DUMP'!124:124)/1000)-(SUMIF('TALLY KG DUMP'!$1:$1,"GL",'TALLY KG DUMP'!124:124)/1000))</f>
        <v/>
      </c>
      <c r="F125" s="21" t="str">
        <f>IF($D125="","",(SUMIF('TALLY KG DUMP'!$1:$1,'ACH CALC'!F$2,'TALLY KG DUMP'!124:124)/1000))</f>
        <v/>
      </c>
      <c r="G125" s="21" t="str">
        <f>IF($D125="","",SUMIF('TALLY BOX DUMP'!$1:$1,'ACH CALC'!G$2,'TALLY BOX DUMP'!124:124)+Y125)</f>
        <v/>
      </c>
      <c r="H125" s="21" t="str">
        <f t="shared" si="3"/>
        <v/>
      </c>
      <c r="I125" s="21" t="str">
        <f>IF($D125="","",SUMIF('TALLY BOX DUMP'!$1:$1,'ACH CALC'!I$2,'TALLY BOX DUMP'!124:124)+AA125)</f>
        <v/>
      </c>
      <c r="J125" s="21" t="str">
        <f>IF($D125="","",SUMIF('TALLY BOX DUMP'!$1:$1,'ACH CALC'!J$2,'TALLY BOX DUMP'!124:124)+AB125)</f>
        <v/>
      </c>
      <c r="K125" s="21" t="str">
        <f>IF($D125="","",SUMIF('TALLY BOX DUMP'!$1:$1,'ACH CALC'!K$2,'TALLY BOX DUMP'!124:124)+AC125)</f>
        <v/>
      </c>
      <c r="L125" s="21" t="str">
        <f>IF($D125="","",SUMIF('TALLY BOX DUMP'!$1:$1,'ACH CALC'!L$2,'TALLY BOX DUMP'!124:124))</f>
        <v/>
      </c>
      <c r="M125" s="21" t="str">
        <f>IF($D125="","",SUMIF('TALLY BOX DUMP'!$1:$1,'ACH CALC'!M$2,'TALLY BOX DUMP'!124:124)+AD125)</f>
        <v/>
      </c>
      <c r="N125" s="21" t="str">
        <f>IF($D125="","",SUMIF('TALLY BOX DUMP'!$1:$1,'ACH CALC'!N$2,'TALLY BOX DUMP'!124:124))</f>
        <v/>
      </c>
      <c r="O125" s="21" t="str">
        <f>IF($D125="","",SUMIF('TALLY BOX DUMP'!$1:$1,'ACH CALC'!O$2,'TALLY BOX DUMP'!124:124))</f>
        <v/>
      </c>
      <c r="P125" s="21" t="str">
        <f>IF($D125="","",SUMIF('TALLY BOX DUMP'!$1:$1,'ACH CALC'!P$2,'TALLY BOX DUMP'!124:124))</f>
        <v/>
      </c>
      <c r="Q125" s="21" t="str">
        <f t="shared" si="4"/>
        <v/>
      </c>
      <c r="R125" s="21" t="str">
        <f>IF($D125="","",SUMIF('TALLY BOX DUMP'!$1:$1,'ACH CALC'!R$2,'TALLY BOX DUMP'!124:124))</f>
        <v/>
      </c>
      <c r="S125" s="21" t="str">
        <f>IF($D125="","",SUMIF('TALLY BOX DUMP'!$1:$1,'ACH CALC'!S$2,'TALLY BOX DUMP'!124:124))</f>
        <v/>
      </c>
      <c r="T125" s="21" t="str">
        <f>IF($D125="","",SUMIF('TALLY BOX DUMP'!$1:$1,'ACH CALC'!T$2,'TALLY BOX DUMP'!124:124))</f>
        <v/>
      </c>
      <c r="U125" s="21" t="str">
        <f>IF($D125="","",SUMIF('TALLY BOX DUMP'!$1:$1,'ACH CALC'!U$2,'TALLY BOX DUMP'!124:124))</f>
        <v/>
      </c>
      <c r="V125" s="21" t="str">
        <f>IF($D125="","",SUMIF('TALLY BOX DUMP'!$1:$1,'ACH CALC'!V$2,'TALLY BOX DUMP'!124:124))</f>
        <v/>
      </c>
      <c r="W125" s="21" t="str">
        <f>IF($D125="","",SUMIF('TALLY BOX DUMP'!$1:$1,'ACH CALC'!W$2,'TALLY BOX DUMP'!124:124))</f>
        <v/>
      </c>
      <c r="X125" s="21" t="str">
        <f>IF($D125="","",SUMIF('TALLY BOX DUMP'!$1:$1,'ACH CALC'!X$2,'TALLY BOX DUMP'!124:124))</f>
        <v/>
      </c>
      <c r="Y125" s="21" t="str">
        <f>IF($D125="","",SUMIF('TALLY BOX DUMP'!$1:$1,'ACH CALC'!Y$2,'TALLY BOX DUMP'!124:124))</f>
        <v/>
      </c>
      <c r="Z125" s="21" t="str">
        <f>IF($D125="","",SUMIF('TALLY BOX DUMP'!$1:$1,'ACH CALC'!Z$2,'TALLY BOX DUMP'!124:124)+AE125)</f>
        <v/>
      </c>
      <c r="AA125" s="21" t="str">
        <f>IF($D125="","",SUMIF('TALLY BOX DUMP'!$1:$1,'ACH CALC'!AA$2,'TALLY BOX DUMP'!124:124))</f>
        <v/>
      </c>
      <c r="AB125" s="21" t="str">
        <f>IF($D125="","",SUMIF('TALLY BOX DUMP'!$1:$1,'ACH CALC'!AB$2,'TALLY BOX DUMP'!124:124))</f>
        <v/>
      </c>
      <c r="AC125" s="21" t="str">
        <f>IF($D125="","",SUMIF('TALLY BOX DUMP'!$1:$1,'ACH CALC'!AC$2,'TALLY BOX DUMP'!124:124))</f>
        <v/>
      </c>
      <c r="AD125" s="21" t="str">
        <f>IF($D125="","",SUMIF('TALLY BOX DUMP'!$1:$1,'ACH CALC'!AD$2,'TALLY BOX DUMP'!124:124))</f>
        <v/>
      </c>
      <c r="AE125" s="21" t="str">
        <f>IF($D125="","",SUMIF('TALLY BOX DUMP'!$1:$1,'ACH CALC'!AE$2,'TALLY BOX DUMP'!124:124))</f>
        <v/>
      </c>
      <c r="AF125" s="21" t="str">
        <f>IF($D125="","",SUMIF('TALLY BOX DUMP'!$1:$1,'ACH CALC'!AF$2,'TALLY BOX DUMP'!124:124))</f>
        <v/>
      </c>
      <c r="AG125" s="21" t="str">
        <f>IF($D125="","",SUMIF('TALLY BOX DUMP'!$1:$1,'ACH CALC'!AG$2,'TALLY BOX DUMP'!124:124))</f>
        <v/>
      </c>
      <c r="AH125" s="21" t="str">
        <f>IF($D125="","",SUMIF('TALLY BOX DUMP'!$1:$1,'ACH CALC'!AH$2,'TALLY BOX DUMP'!124:124))</f>
        <v/>
      </c>
      <c r="AI125" s="21" t="str">
        <f>IF($D125="","",SUMIF('TALLY BOX DUMP'!$1:$1,'ACH CALC'!AI$2,'TALLY BOX DUMP'!124:124))</f>
        <v/>
      </c>
      <c r="AJ125" s="21" t="str">
        <f>IF($D125="","",SUMIF('TALLY BOX DUMP'!$1:$1,'ACH CALC'!AJ$2,'TALLY BOX DUMP'!124:124))</f>
        <v/>
      </c>
      <c r="AK125" s="21" t="str">
        <f>IF($D125="","",SUMIF('TALLY BOX DUMP'!$1:$1,'ACH CALC'!AK$2,'TALLY BOX DUMP'!124:124))</f>
        <v/>
      </c>
      <c r="AL125" s="21" t="str">
        <f>IF($D125="","",ROUND(SUMIF('TALLY KG DUMP'!$1:$1,'ACH CALC'!AL$2,'TALLY KG DUMP'!124:124)/30,1))</f>
        <v/>
      </c>
      <c r="AM125" s="21" t="str">
        <f>IF($D125="","",SUMIF('TALLY BOX DUMP'!$1:$1,'ACH CALC'!AM$2,'TALLY BOX DUMP'!124:124))</f>
        <v/>
      </c>
      <c r="AN125" s="21" t="str">
        <f>IF($D125="","",SUMIF('TALLY BOX DUMP'!$1:$1,'ACH CALC'!AN$2,'TALLY BOX DUMP'!124:124))</f>
        <v/>
      </c>
      <c r="AO125" s="21" t="str">
        <f>IF($D125="","",SUMIF('TALLY BOX DUMP'!$1:$1,'ACH CALC'!AO$2,'TALLY BOX DUMP'!124:124))</f>
        <v/>
      </c>
      <c r="AP125" s="21" t="str">
        <f>IF($D125="","",SUMIF('TALLY BOX DUMP'!$1:$1,'ACH CALC'!AP$2,'TALLY BOX DUMP'!124:124))</f>
        <v/>
      </c>
      <c r="AQ125" s="21" t="str">
        <f>IF($D125="","",ROUND(SUMIF('TALLY KG DUMP'!$1:$1,'ACH CALC'!AQ$2,'TALLY KG DUMP'!124:124)/30,1))</f>
        <v/>
      </c>
      <c r="AR125" s="21" t="str">
        <f>IF($D125="","",SUMIF('TALLY BOX DUMP'!$1:$1,'ACH CALC'!AR$2,'TALLY BOX DUMP'!124:124))</f>
        <v/>
      </c>
      <c r="AS125" s="21" t="str">
        <f>IF($D125="","",SUMIF('TALLY BOX DUMP'!$1:$1,'ACH CALC'!AS$2,'TALLY BOX DUMP'!124:124))</f>
        <v/>
      </c>
      <c r="AT125" s="21" t="str">
        <f>IF($D125="","",SUMIF('TALLY BOX DUMP'!$1:$1,'ACH CALC'!AT$2,'TALLY BOX DUMP'!124:124))</f>
        <v/>
      </c>
      <c r="AU125" s="21" t="str">
        <f>IF($D125="","",SUMIF('TALLY BOX DUMP'!$1:$1,'ACH CALC'!AU$2,'TALLY BOX DUMP'!124:124))</f>
        <v/>
      </c>
      <c r="AV125" s="21" t="str">
        <f>IF($D125="","",SUMIF('TALLY BOX DUMP'!$1:$1,'ACH CALC'!AV$2,'TALLY BOX DUMP'!124:124))</f>
        <v/>
      </c>
      <c r="AW125" s="21" t="str">
        <f>IF($D125="","",SUMIF('TALLY BOX DUMP'!$1:$1,'ACH CALC'!AW$2,'TALLY BOX DUMP'!124:124))</f>
        <v/>
      </c>
      <c r="AX125" s="21" t="str">
        <f>IF($D125="","",SUMIF('TALLY BOX DUMP'!$1:$1,'ACH CALC'!AX$2,'TALLY BOX DUMP'!124:124))</f>
        <v/>
      </c>
      <c r="AY125" s="21" t="str">
        <f>IF($D125="","",SUMIF('TALLY BOX DUMP'!$1:$1,'ACH CALC'!AY$2,'TALLY BOX DUMP'!124:124))</f>
        <v/>
      </c>
      <c r="AZ125" s="21" t="str">
        <f>IF($D125="","",SUMIF('TALLY BOX DUMP'!$1:$1,'ACH CALC'!AZ$2,'TALLY BOX DUMP'!124:124))</f>
        <v/>
      </c>
      <c r="BA125" s="69">
        <f>(SUMIF('TALLY KG DUMP'!$2:$2,"Qty",'TALLY KG DUMP'!124:124)/1000)-(SUMIF('TALLY KG DUMP'!$1:$1,"GL",'TALLY KG DUMP'!124:124)/1000)</f>
        <v>0</v>
      </c>
      <c r="BB125" s="21" t="b">
        <f t="shared" si="5"/>
        <v>0</v>
      </c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</row>
    <row r="126" spans="2:75" x14ac:dyDescent="0.25">
      <c r="B126" s="21"/>
      <c r="C126" s="21"/>
      <c r="D126" s="21"/>
      <c r="E126" s="21" t="str">
        <f>IF($D126="","",(SUMIF('TALLY KG DUMP'!$2:$2,"Qty",'TALLY KG DUMP'!125:125)/1000)-(SUMIF('TALLY KG DUMP'!$1:$1,"GL",'TALLY KG DUMP'!125:125)/1000))</f>
        <v/>
      </c>
      <c r="F126" s="21" t="str">
        <f>IF($D126="","",(SUMIF('TALLY KG DUMP'!$1:$1,'ACH CALC'!F$2,'TALLY KG DUMP'!125:125)/1000))</f>
        <v/>
      </c>
      <c r="G126" s="21" t="str">
        <f>IF($D126="","",SUMIF('TALLY BOX DUMP'!$1:$1,'ACH CALC'!G$2,'TALLY BOX DUMP'!125:125)+Y126)</f>
        <v/>
      </c>
      <c r="H126" s="21" t="str">
        <f t="shared" si="3"/>
        <v/>
      </c>
      <c r="I126" s="21" t="str">
        <f>IF($D126="","",SUMIF('TALLY BOX DUMP'!$1:$1,'ACH CALC'!I$2,'TALLY BOX DUMP'!125:125)+AA126)</f>
        <v/>
      </c>
      <c r="J126" s="21" t="str">
        <f>IF($D126="","",SUMIF('TALLY BOX DUMP'!$1:$1,'ACH CALC'!J$2,'TALLY BOX DUMP'!125:125)+AB126)</f>
        <v/>
      </c>
      <c r="K126" s="21" t="str">
        <f>IF($D126="","",SUMIF('TALLY BOX DUMP'!$1:$1,'ACH CALC'!K$2,'TALLY BOX DUMP'!125:125)+AC126)</f>
        <v/>
      </c>
      <c r="L126" s="21" t="str">
        <f>IF($D126="","",SUMIF('TALLY BOX DUMP'!$1:$1,'ACH CALC'!L$2,'TALLY BOX DUMP'!125:125))</f>
        <v/>
      </c>
      <c r="M126" s="21" t="str">
        <f>IF($D126="","",SUMIF('TALLY BOX DUMP'!$1:$1,'ACH CALC'!M$2,'TALLY BOX DUMP'!125:125)+AD126)</f>
        <v/>
      </c>
      <c r="N126" s="21" t="str">
        <f>IF($D126="","",SUMIF('TALLY BOX DUMP'!$1:$1,'ACH CALC'!N$2,'TALLY BOX DUMP'!125:125))</f>
        <v/>
      </c>
      <c r="O126" s="21" t="str">
        <f>IF($D126="","",SUMIF('TALLY BOX DUMP'!$1:$1,'ACH CALC'!O$2,'TALLY BOX DUMP'!125:125))</f>
        <v/>
      </c>
      <c r="P126" s="21" t="str">
        <f>IF($D126="","",SUMIF('TALLY BOX DUMP'!$1:$1,'ACH CALC'!P$2,'TALLY BOX DUMP'!125:125))</f>
        <v/>
      </c>
      <c r="Q126" s="21" t="str">
        <f t="shared" si="4"/>
        <v/>
      </c>
      <c r="R126" s="21" t="str">
        <f>IF($D126="","",SUMIF('TALLY BOX DUMP'!$1:$1,'ACH CALC'!R$2,'TALLY BOX DUMP'!125:125))</f>
        <v/>
      </c>
      <c r="S126" s="21" t="str">
        <f>IF($D126="","",SUMIF('TALLY BOX DUMP'!$1:$1,'ACH CALC'!S$2,'TALLY BOX DUMP'!125:125))</f>
        <v/>
      </c>
      <c r="T126" s="21" t="str">
        <f>IF($D126="","",SUMIF('TALLY BOX DUMP'!$1:$1,'ACH CALC'!T$2,'TALLY BOX DUMP'!125:125))</f>
        <v/>
      </c>
      <c r="U126" s="21" t="str">
        <f>IF($D126="","",SUMIF('TALLY BOX DUMP'!$1:$1,'ACH CALC'!U$2,'TALLY BOX DUMP'!125:125))</f>
        <v/>
      </c>
      <c r="V126" s="21" t="str">
        <f>IF($D126="","",SUMIF('TALLY BOX DUMP'!$1:$1,'ACH CALC'!V$2,'TALLY BOX DUMP'!125:125))</f>
        <v/>
      </c>
      <c r="W126" s="21" t="str">
        <f>IF($D126="","",SUMIF('TALLY BOX DUMP'!$1:$1,'ACH CALC'!W$2,'TALLY BOX DUMP'!125:125))</f>
        <v/>
      </c>
      <c r="X126" s="21" t="str">
        <f>IF($D126="","",SUMIF('TALLY BOX DUMP'!$1:$1,'ACH CALC'!X$2,'TALLY BOX DUMP'!125:125))</f>
        <v/>
      </c>
      <c r="Y126" s="21" t="str">
        <f>IF($D126="","",SUMIF('TALLY BOX DUMP'!$1:$1,'ACH CALC'!Y$2,'TALLY BOX DUMP'!125:125))</f>
        <v/>
      </c>
      <c r="Z126" s="21" t="str">
        <f>IF($D126="","",SUMIF('TALLY BOX DUMP'!$1:$1,'ACH CALC'!Z$2,'TALLY BOX DUMP'!125:125)+AE126)</f>
        <v/>
      </c>
      <c r="AA126" s="21" t="str">
        <f>IF($D126="","",SUMIF('TALLY BOX DUMP'!$1:$1,'ACH CALC'!AA$2,'TALLY BOX DUMP'!125:125))</f>
        <v/>
      </c>
      <c r="AB126" s="21" t="str">
        <f>IF($D126="","",SUMIF('TALLY BOX DUMP'!$1:$1,'ACH CALC'!AB$2,'TALLY BOX DUMP'!125:125))</f>
        <v/>
      </c>
      <c r="AC126" s="21" t="str">
        <f>IF($D126="","",SUMIF('TALLY BOX DUMP'!$1:$1,'ACH CALC'!AC$2,'TALLY BOX DUMP'!125:125))</f>
        <v/>
      </c>
      <c r="AD126" s="21" t="str">
        <f>IF($D126="","",SUMIF('TALLY BOX DUMP'!$1:$1,'ACH CALC'!AD$2,'TALLY BOX DUMP'!125:125))</f>
        <v/>
      </c>
      <c r="AE126" s="21" t="str">
        <f>IF($D126="","",SUMIF('TALLY BOX DUMP'!$1:$1,'ACH CALC'!AE$2,'TALLY BOX DUMP'!125:125))</f>
        <v/>
      </c>
      <c r="AF126" s="21" t="str">
        <f>IF($D126="","",SUMIF('TALLY BOX DUMP'!$1:$1,'ACH CALC'!AF$2,'TALLY BOX DUMP'!125:125))</f>
        <v/>
      </c>
      <c r="AG126" s="21" t="str">
        <f>IF($D126="","",SUMIF('TALLY BOX DUMP'!$1:$1,'ACH CALC'!AG$2,'TALLY BOX DUMP'!125:125))</f>
        <v/>
      </c>
      <c r="AH126" s="21" t="str">
        <f>IF($D126="","",SUMIF('TALLY BOX DUMP'!$1:$1,'ACH CALC'!AH$2,'TALLY BOX DUMP'!125:125))</f>
        <v/>
      </c>
      <c r="AI126" s="21" t="str">
        <f>IF($D126="","",SUMIF('TALLY BOX DUMP'!$1:$1,'ACH CALC'!AI$2,'TALLY BOX DUMP'!125:125))</f>
        <v/>
      </c>
      <c r="AJ126" s="21" t="str">
        <f>IF($D126="","",SUMIF('TALLY BOX DUMP'!$1:$1,'ACH CALC'!AJ$2,'TALLY BOX DUMP'!125:125))</f>
        <v/>
      </c>
      <c r="AK126" s="21" t="str">
        <f>IF($D126="","",SUMIF('TALLY BOX DUMP'!$1:$1,'ACH CALC'!AK$2,'TALLY BOX DUMP'!125:125))</f>
        <v/>
      </c>
      <c r="AL126" s="21" t="str">
        <f>IF($D126="","",ROUND(SUMIF('TALLY KG DUMP'!$1:$1,'ACH CALC'!AL$2,'TALLY KG DUMP'!125:125)/30,1))</f>
        <v/>
      </c>
      <c r="AM126" s="21" t="str">
        <f>IF($D126="","",SUMIF('TALLY BOX DUMP'!$1:$1,'ACH CALC'!AM$2,'TALLY BOX DUMP'!125:125))</f>
        <v/>
      </c>
      <c r="AN126" s="21" t="str">
        <f>IF($D126="","",SUMIF('TALLY BOX DUMP'!$1:$1,'ACH CALC'!AN$2,'TALLY BOX DUMP'!125:125))</f>
        <v/>
      </c>
      <c r="AO126" s="21" t="str">
        <f>IF($D126="","",SUMIF('TALLY BOX DUMP'!$1:$1,'ACH CALC'!AO$2,'TALLY BOX DUMP'!125:125))</f>
        <v/>
      </c>
      <c r="AP126" s="21" t="str">
        <f>IF($D126="","",SUMIF('TALLY BOX DUMP'!$1:$1,'ACH CALC'!AP$2,'TALLY BOX DUMP'!125:125))</f>
        <v/>
      </c>
      <c r="AQ126" s="21" t="str">
        <f>IF($D126="","",ROUND(SUMIF('TALLY KG DUMP'!$1:$1,'ACH CALC'!AQ$2,'TALLY KG DUMP'!125:125)/30,1))</f>
        <v/>
      </c>
      <c r="AR126" s="21" t="str">
        <f>IF($D126="","",SUMIF('TALLY BOX DUMP'!$1:$1,'ACH CALC'!AR$2,'TALLY BOX DUMP'!125:125))</f>
        <v/>
      </c>
      <c r="AS126" s="21" t="str">
        <f>IF($D126="","",SUMIF('TALLY BOX DUMP'!$1:$1,'ACH CALC'!AS$2,'TALLY BOX DUMP'!125:125))</f>
        <v/>
      </c>
      <c r="AT126" s="21" t="str">
        <f>IF($D126="","",SUMIF('TALLY BOX DUMP'!$1:$1,'ACH CALC'!AT$2,'TALLY BOX DUMP'!125:125))</f>
        <v/>
      </c>
      <c r="AU126" s="21" t="str">
        <f>IF($D126="","",SUMIF('TALLY BOX DUMP'!$1:$1,'ACH CALC'!AU$2,'TALLY BOX DUMP'!125:125))</f>
        <v/>
      </c>
      <c r="AV126" s="21" t="str">
        <f>IF($D126="","",SUMIF('TALLY BOX DUMP'!$1:$1,'ACH CALC'!AV$2,'TALLY BOX DUMP'!125:125))</f>
        <v/>
      </c>
      <c r="AW126" s="21" t="str">
        <f>IF($D126="","",SUMIF('TALLY BOX DUMP'!$1:$1,'ACH CALC'!AW$2,'TALLY BOX DUMP'!125:125))</f>
        <v/>
      </c>
      <c r="AX126" s="21" t="str">
        <f>IF($D126="","",SUMIF('TALLY BOX DUMP'!$1:$1,'ACH CALC'!AX$2,'TALLY BOX DUMP'!125:125))</f>
        <v/>
      </c>
      <c r="AY126" s="21" t="str">
        <f>IF($D126="","",SUMIF('TALLY BOX DUMP'!$1:$1,'ACH CALC'!AY$2,'TALLY BOX DUMP'!125:125))</f>
        <v/>
      </c>
      <c r="AZ126" s="21" t="str">
        <f>IF($D126="","",SUMIF('TALLY BOX DUMP'!$1:$1,'ACH CALC'!AZ$2,'TALLY BOX DUMP'!125:125))</f>
        <v/>
      </c>
      <c r="BA126" s="69">
        <f>(SUMIF('TALLY KG DUMP'!$2:$2,"Qty",'TALLY KG DUMP'!125:125)/1000)-(SUMIF('TALLY KG DUMP'!$1:$1,"GL",'TALLY KG DUMP'!125:125)/1000)</f>
        <v>0</v>
      </c>
      <c r="BB126" s="21" t="b">
        <f t="shared" si="5"/>
        <v>0</v>
      </c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</row>
    <row r="127" spans="2:75" x14ac:dyDescent="0.25">
      <c r="B127" s="21"/>
      <c r="C127" s="21"/>
      <c r="D127" s="21"/>
      <c r="E127" s="21" t="str">
        <f>IF($D127="","",(SUMIF('TALLY KG DUMP'!$2:$2,"Qty",'TALLY KG DUMP'!126:126)/1000)-(SUMIF('TALLY KG DUMP'!$1:$1,"GL",'TALLY KG DUMP'!126:126)/1000))</f>
        <v/>
      </c>
      <c r="F127" s="21" t="str">
        <f>IF($D127="","",(SUMIF('TALLY KG DUMP'!$1:$1,'ACH CALC'!F$2,'TALLY KG DUMP'!126:126)/1000))</f>
        <v/>
      </c>
      <c r="G127" s="21" t="str">
        <f>IF($D127="","",SUMIF('TALLY BOX DUMP'!$1:$1,'ACH CALC'!G$2,'TALLY BOX DUMP'!126:126)+Y127)</f>
        <v/>
      </c>
      <c r="H127" s="21" t="str">
        <f t="shared" si="3"/>
        <v/>
      </c>
      <c r="I127" s="21" t="str">
        <f>IF($D127="","",SUMIF('TALLY BOX DUMP'!$1:$1,'ACH CALC'!I$2,'TALLY BOX DUMP'!126:126)+AA127)</f>
        <v/>
      </c>
      <c r="J127" s="21" t="str">
        <f>IF($D127="","",SUMIF('TALLY BOX DUMP'!$1:$1,'ACH CALC'!J$2,'TALLY BOX DUMP'!126:126)+AB127)</f>
        <v/>
      </c>
      <c r="K127" s="21" t="str">
        <f>IF($D127="","",SUMIF('TALLY BOX DUMP'!$1:$1,'ACH CALC'!K$2,'TALLY BOX DUMP'!126:126)+AC127)</f>
        <v/>
      </c>
      <c r="L127" s="21" t="str">
        <f>IF($D127="","",SUMIF('TALLY BOX DUMP'!$1:$1,'ACH CALC'!L$2,'TALLY BOX DUMP'!126:126))</f>
        <v/>
      </c>
      <c r="M127" s="21" t="str">
        <f>IF($D127="","",SUMIF('TALLY BOX DUMP'!$1:$1,'ACH CALC'!M$2,'TALLY BOX DUMP'!126:126)+AD127)</f>
        <v/>
      </c>
      <c r="N127" s="21" t="str">
        <f>IF($D127="","",SUMIF('TALLY BOX DUMP'!$1:$1,'ACH CALC'!N$2,'TALLY BOX DUMP'!126:126))</f>
        <v/>
      </c>
      <c r="O127" s="21" t="str">
        <f>IF($D127="","",SUMIF('TALLY BOX DUMP'!$1:$1,'ACH CALC'!O$2,'TALLY BOX DUMP'!126:126))</f>
        <v/>
      </c>
      <c r="P127" s="21" t="str">
        <f>IF($D127="","",SUMIF('TALLY BOX DUMP'!$1:$1,'ACH CALC'!P$2,'TALLY BOX DUMP'!126:126))</f>
        <v/>
      </c>
      <c r="Q127" s="21" t="str">
        <f t="shared" si="4"/>
        <v/>
      </c>
      <c r="R127" s="21" t="str">
        <f>IF($D127="","",SUMIF('TALLY BOX DUMP'!$1:$1,'ACH CALC'!R$2,'TALLY BOX DUMP'!126:126))</f>
        <v/>
      </c>
      <c r="S127" s="21" t="str">
        <f>IF($D127="","",SUMIF('TALLY BOX DUMP'!$1:$1,'ACH CALC'!S$2,'TALLY BOX DUMP'!126:126))</f>
        <v/>
      </c>
      <c r="T127" s="21" t="str">
        <f>IF($D127="","",SUMIF('TALLY BOX DUMP'!$1:$1,'ACH CALC'!T$2,'TALLY BOX DUMP'!126:126))</f>
        <v/>
      </c>
      <c r="U127" s="21" t="str">
        <f>IF($D127="","",SUMIF('TALLY BOX DUMP'!$1:$1,'ACH CALC'!U$2,'TALLY BOX DUMP'!126:126))</f>
        <v/>
      </c>
      <c r="V127" s="21" t="str">
        <f>IF($D127="","",SUMIF('TALLY BOX DUMP'!$1:$1,'ACH CALC'!V$2,'TALLY BOX DUMP'!126:126))</f>
        <v/>
      </c>
      <c r="W127" s="21" t="str">
        <f>IF($D127="","",SUMIF('TALLY BOX DUMP'!$1:$1,'ACH CALC'!W$2,'TALLY BOX DUMP'!126:126))</f>
        <v/>
      </c>
      <c r="X127" s="21" t="str">
        <f>IF($D127="","",SUMIF('TALLY BOX DUMP'!$1:$1,'ACH CALC'!X$2,'TALLY BOX DUMP'!126:126))</f>
        <v/>
      </c>
      <c r="Y127" s="21" t="str">
        <f>IF($D127="","",SUMIF('TALLY BOX DUMP'!$1:$1,'ACH CALC'!Y$2,'TALLY BOX DUMP'!126:126))</f>
        <v/>
      </c>
      <c r="Z127" s="21" t="str">
        <f>IF($D127="","",SUMIF('TALLY BOX DUMP'!$1:$1,'ACH CALC'!Z$2,'TALLY BOX DUMP'!126:126)+AE127)</f>
        <v/>
      </c>
      <c r="AA127" s="21" t="str">
        <f>IF($D127="","",SUMIF('TALLY BOX DUMP'!$1:$1,'ACH CALC'!AA$2,'TALLY BOX DUMP'!126:126))</f>
        <v/>
      </c>
      <c r="AB127" s="21" t="str">
        <f>IF($D127="","",SUMIF('TALLY BOX DUMP'!$1:$1,'ACH CALC'!AB$2,'TALLY BOX DUMP'!126:126))</f>
        <v/>
      </c>
      <c r="AC127" s="21" t="str">
        <f>IF($D127="","",SUMIF('TALLY BOX DUMP'!$1:$1,'ACH CALC'!AC$2,'TALLY BOX DUMP'!126:126))</f>
        <v/>
      </c>
      <c r="AD127" s="21" t="str">
        <f>IF($D127="","",SUMIF('TALLY BOX DUMP'!$1:$1,'ACH CALC'!AD$2,'TALLY BOX DUMP'!126:126))</f>
        <v/>
      </c>
      <c r="AE127" s="21" t="str">
        <f>IF($D127="","",SUMIF('TALLY BOX DUMP'!$1:$1,'ACH CALC'!AE$2,'TALLY BOX DUMP'!126:126))</f>
        <v/>
      </c>
      <c r="AF127" s="21" t="str">
        <f>IF($D127="","",SUMIF('TALLY BOX DUMP'!$1:$1,'ACH CALC'!AF$2,'TALLY BOX DUMP'!126:126))</f>
        <v/>
      </c>
      <c r="AG127" s="21" t="str">
        <f>IF($D127="","",SUMIF('TALLY BOX DUMP'!$1:$1,'ACH CALC'!AG$2,'TALLY BOX DUMP'!126:126))</f>
        <v/>
      </c>
      <c r="AH127" s="21" t="str">
        <f>IF($D127="","",SUMIF('TALLY BOX DUMP'!$1:$1,'ACH CALC'!AH$2,'TALLY BOX DUMP'!126:126))</f>
        <v/>
      </c>
      <c r="AI127" s="21" t="str">
        <f>IF($D127="","",SUMIF('TALLY BOX DUMP'!$1:$1,'ACH CALC'!AI$2,'TALLY BOX DUMP'!126:126))</f>
        <v/>
      </c>
      <c r="AJ127" s="21" t="str">
        <f>IF($D127="","",SUMIF('TALLY BOX DUMP'!$1:$1,'ACH CALC'!AJ$2,'TALLY BOX DUMP'!126:126))</f>
        <v/>
      </c>
      <c r="AK127" s="21" t="str">
        <f>IF($D127="","",SUMIF('TALLY BOX DUMP'!$1:$1,'ACH CALC'!AK$2,'TALLY BOX DUMP'!126:126))</f>
        <v/>
      </c>
      <c r="AL127" s="21" t="str">
        <f>IF($D127="","",ROUND(SUMIF('TALLY KG DUMP'!$1:$1,'ACH CALC'!AL$2,'TALLY KG DUMP'!126:126)/30,1))</f>
        <v/>
      </c>
      <c r="AM127" s="21" t="str">
        <f>IF($D127="","",SUMIF('TALLY BOX DUMP'!$1:$1,'ACH CALC'!AM$2,'TALLY BOX DUMP'!126:126))</f>
        <v/>
      </c>
      <c r="AN127" s="21" t="str">
        <f>IF($D127="","",SUMIF('TALLY BOX DUMP'!$1:$1,'ACH CALC'!AN$2,'TALLY BOX DUMP'!126:126))</f>
        <v/>
      </c>
      <c r="AO127" s="21" t="str">
        <f>IF($D127="","",SUMIF('TALLY BOX DUMP'!$1:$1,'ACH CALC'!AO$2,'TALLY BOX DUMP'!126:126))</f>
        <v/>
      </c>
      <c r="AP127" s="21" t="str">
        <f>IF($D127="","",SUMIF('TALLY BOX DUMP'!$1:$1,'ACH CALC'!AP$2,'TALLY BOX DUMP'!126:126))</f>
        <v/>
      </c>
      <c r="AQ127" s="21" t="str">
        <f>IF($D127="","",ROUND(SUMIF('TALLY KG DUMP'!$1:$1,'ACH CALC'!AQ$2,'TALLY KG DUMP'!126:126)/30,1))</f>
        <v/>
      </c>
      <c r="AR127" s="21" t="str">
        <f>IF($D127="","",SUMIF('TALLY BOX DUMP'!$1:$1,'ACH CALC'!AR$2,'TALLY BOX DUMP'!126:126))</f>
        <v/>
      </c>
      <c r="AS127" s="21" t="str">
        <f>IF($D127="","",SUMIF('TALLY BOX DUMP'!$1:$1,'ACH CALC'!AS$2,'TALLY BOX DUMP'!126:126))</f>
        <v/>
      </c>
      <c r="AT127" s="21" t="str">
        <f>IF($D127="","",SUMIF('TALLY BOX DUMP'!$1:$1,'ACH CALC'!AT$2,'TALLY BOX DUMP'!126:126))</f>
        <v/>
      </c>
      <c r="AU127" s="21" t="str">
        <f>IF($D127="","",SUMIF('TALLY BOX DUMP'!$1:$1,'ACH CALC'!AU$2,'TALLY BOX DUMP'!126:126))</f>
        <v/>
      </c>
      <c r="AV127" s="21" t="str">
        <f>IF($D127="","",SUMIF('TALLY BOX DUMP'!$1:$1,'ACH CALC'!AV$2,'TALLY BOX DUMP'!126:126))</f>
        <v/>
      </c>
      <c r="AW127" s="21" t="str">
        <f>IF($D127="","",SUMIF('TALLY BOX DUMP'!$1:$1,'ACH CALC'!AW$2,'TALLY BOX DUMP'!126:126))</f>
        <v/>
      </c>
      <c r="AX127" s="21" t="str">
        <f>IF($D127="","",SUMIF('TALLY BOX DUMP'!$1:$1,'ACH CALC'!AX$2,'TALLY BOX DUMP'!126:126))</f>
        <v/>
      </c>
      <c r="AY127" s="21" t="str">
        <f>IF($D127="","",SUMIF('TALLY BOX DUMP'!$1:$1,'ACH CALC'!AY$2,'TALLY BOX DUMP'!126:126))</f>
        <v/>
      </c>
      <c r="AZ127" s="21" t="str">
        <f>IF($D127="","",SUMIF('TALLY BOX DUMP'!$1:$1,'ACH CALC'!AZ$2,'TALLY BOX DUMP'!126:126))</f>
        <v/>
      </c>
      <c r="BA127" s="69">
        <f>(SUMIF('TALLY KG DUMP'!$2:$2,"Qty",'TALLY KG DUMP'!126:126)/1000)-(SUMIF('TALLY KG DUMP'!$1:$1,"GL",'TALLY KG DUMP'!126:126)/1000)</f>
        <v>0</v>
      </c>
      <c r="BB127" s="21" t="b">
        <f t="shared" si="5"/>
        <v>0</v>
      </c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</row>
    <row r="128" spans="2:75" x14ac:dyDescent="0.25">
      <c r="B128" s="21"/>
      <c r="C128" s="21"/>
      <c r="D128" s="21"/>
      <c r="E128" s="21" t="str">
        <f>IF($D128="","",(SUMIF('TALLY KG DUMP'!$2:$2,"Qty",'TALLY KG DUMP'!127:127)/1000)-(SUMIF('TALLY KG DUMP'!$1:$1,"GL",'TALLY KG DUMP'!127:127)/1000))</f>
        <v/>
      </c>
      <c r="F128" s="21" t="str">
        <f>IF($D128="","",(SUMIF('TALLY KG DUMP'!$1:$1,'ACH CALC'!F$2,'TALLY KG DUMP'!127:127)/1000))</f>
        <v/>
      </c>
      <c r="G128" s="21" t="str">
        <f>IF($D128="","",SUMIF('TALLY BOX DUMP'!$1:$1,'ACH CALC'!G$2,'TALLY BOX DUMP'!127:127)+Y128)</f>
        <v/>
      </c>
      <c r="H128" s="21" t="str">
        <f t="shared" si="3"/>
        <v/>
      </c>
      <c r="I128" s="21" t="str">
        <f>IF($D128="","",SUMIF('TALLY BOX DUMP'!$1:$1,'ACH CALC'!I$2,'TALLY BOX DUMP'!127:127)+AA128)</f>
        <v/>
      </c>
      <c r="J128" s="21" t="str">
        <f>IF($D128="","",SUMIF('TALLY BOX DUMP'!$1:$1,'ACH CALC'!J$2,'TALLY BOX DUMP'!127:127)+AB128)</f>
        <v/>
      </c>
      <c r="K128" s="21" t="str">
        <f>IF($D128="","",SUMIF('TALLY BOX DUMP'!$1:$1,'ACH CALC'!K$2,'TALLY BOX DUMP'!127:127)+AC128)</f>
        <v/>
      </c>
      <c r="L128" s="21" t="str">
        <f>IF($D128="","",SUMIF('TALLY BOX DUMP'!$1:$1,'ACH CALC'!L$2,'TALLY BOX DUMP'!127:127))</f>
        <v/>
      </c>
      <c r="M128" s="21" t="str">
        <f>IF($D128="","",SUMIF('TALLY BOX DUMP'!$1:$1,'ACH CALC'!M$2,'TALLY BOX DUMP'!127:127)+AD128)</f>
        <v/>
      </c>
      <c r="N128" s="21" t="str">
        <f>IF($D128="","",SUMIF('TALLY BOX DUMP'!$1:$1,'ACH CALC'!N$2,'TALLY BOX DUMP'!127:127))</f>
        <v/>
      </c>
      <c r="O128" s="21" t="str">
        <f>IF($D128="","",SUMIF('TALLY BOX DUMP'!$1:$1,'ACH CALC'!O$2,'TALLY BOX DUMP'!127:127))</f>
        <v/>
      </c>
      <c r="P128" s="21" t="str">
        <f>IF($D128="","",SUMIF('TALLY BOX DUMP'!$1:$1,'ACH CALC'!P$2,'TALLY BOX DUMP'!127:127))</f>
        <v/>
      </c>
      <c r="Q128" s="21" t="str">
        <f t="shared" si="4"/>
        <v/>
      </c>
      <c r="R128" s="21" t="str">
        <f>IF($D128="","",SUMIF('TALLY BOX DUMP'!$1:$1,'ACH CALC'!R$2,'TALLY BOX DUMP'!127:127))</f>
        <v/>
      </c>
      <c r="S128" s="21" t="str">
        <f>IF($D128="","",SUMIF('TALLY BOX DUMP'!$1:$1,'ACH CALC'!S$2,'TALLY BOX DUMP'!127:127))</f>
        <v/>
      </c>
      <c r="T128" s="21" t="str">
        <f>IF($D128="","",SUMIF('TALLY BOX DUMP'!$1:$1,'ACH CALC'!T$2,'TALLY BOX DUMP'!127:127))</f>
        <v/>
      </c>
      <c r="U128" s="21" t="str">
        <f>IF($D128="","",SUMIF('TALLY BOX DUMP'!$1:$1,'ACH CALC'!U$2,'TALLY BOX DUMP'!127:127))</f>
        <v/>
      </c>
      <c r="V128" s="21" t="str">
        <f>IF($D128="","",SUMIF('TALLY BOX DUMP'!$1:$1,'ACH CALC'!V$2,'TALLY BOX DUMP'!127:127))</f>
        <v/>
      </c>
      <c r="W128" s="21" t="str">
        <f>IF($D128="","",SUMIF('TALLY BOX DUMP'!$1:$1,'ACH CALC'!W$2,'TALLY BOX DUMP'!127:127))</f>
        <v/>
      </c>
      <c r="X128" s="21" t="str">
        <f>IF($D128="","",SUMIF('TALLY BOX DUMP'!$1:$1,'ACH CALC'!X$2,'TALLY BOX DUMP'!127:127))</f>
        <v/>
      </c>
      <c r="Y128" s="21" t="str">
        <f>IF($D128="","",SUMIF('TALLY BOX DUMP'!$1:$1,'ACH CALC'!Y$2,'TALLY BOX DUMP'!127:127))</f>
        <v/>
      </c>
      <c r="Z128" s="21" t="str">
        <f>IF($D128="","",SUMIF('TALLY BOX DUMP'!$1:$1,'ACH CALC'!Z$2,'TALLY BOX DUMP'!127:127)+AE128)</f>
        <v/>
      </c>
      <c r="AA128" s="21" t="str">
        <f>IF($D128="","",SUMIF('TALLY BOX DUMP'!$1:$1,'ACH CALC'!AA$2,'TALLY BOX DUMP'!127:127))</f>
        <v/>
      </c>
      <c r="AB128" s="21" t="str">
        <f>IF($D128="","",SUMIF('TALLY BOX DUMP'!$1:$1,'ACH CALC'!AB$2,'TALLY BOX DUMP'!127:127))</f>
        <v/>
      </c>
      <c r="AC128" s="21" t="str">
        <f>IF($D128="","",SUMIF('TALLY BOX DUMP'!$1:$1,'ACH CALC'!AC$2,'TALLY BOX DUMP'!127:127))</f>
        <v/>
      </c>
      <c r="AD128" s="21" t="str">
        <f>IF($D128="","",SUMIF('TALLY BOX DUMP'!$1:$1,'ACH CALC'!AD$2,'TALLY BOX DUMP'!127:127))</f>
        <v/>
      </c>
      <c r="AE128" s="21" t="str">
        <f>IF($D128="","",SUMIF('TALLY BOX DUMP'!$1:$1,'ACH CALC'!AE$2,'TALLY BOX DUMP'!127:127))</f>
        <v/>
      </c>
      <c r="AF128" s="21" t="str">
        <f>IF($D128="","",SUMIF('TALLY BOX DUMP'!$1:$1,'ACH CALC'!AF$2,'TALLY BOX DUMP'!127:127))</f>
        <v/>
      </c>
      <c r="AG128" s="21" t="str">
        <f>IF($D128="","",SUMIF('TALLY BOX DUMP'!$1:$1,'ACH CALC'!AG$2,'TALLY BOX DUMP'!127:127))</f>
        <v/>
      </c>
      <c r="AH128" s="21" t="str">
        <f>IF($D128="","",SUMIF('TALLY BOX DUMP'!$1:$1,'ACH CALC'!AH$2,'TALLY BOX DUMP'!127:127))</f>
        <v/>
      </c>
      <c r="AI128" s="21" t="str">
        <f>IF($D128="","",SUMIF('TALLY BOX DUMP'!$1:$1,'ACH CALC'!AI$2,'TALLY BOX DUMP'!127:127))</f>
        <v/>
      </c>
      <c r="AJ128" s="21" t="str">
        <f>IF($D128="","",SUMIF('TALLY BOX DUMP'!$1:$1,'ACH CALC'!AJ$2,'TALLY BOX DUMP'!127:127))</f>
        <v/>
      </c>
      <c r="AK128" s="21" t="str">
        <f>IF($D128="","",SUMIF('TALLY BOX DUMP'!$1:$1,'ACH CALC'!AK$2,'TALLY BOX DUMP'!127:127))</f>
        <v/>
      </c>
      <c r="AL128" s="21" t="str">
        <f>IF($D128="","",ROUND(SUMIF('TALLY KG DUMP'!$1:$1,'ACH CALC'!AL$2,'TALLY KG DUMP'!127:127)/30,1))</f>
        <v/>
      </c>
      <c r="AM128" s="21" t="str">
        <f>IF($D128="","",SUMIF('TALLY BOX DUMP'!$1:$1,'ACH CALC'!AM$2,'TALLY BOX DUMP'!127:127))</f>
        <v/>
      </c>
      <c r="AN128" s="21" t="str">
        <f>IF($D128="","",SUMIF('TALLY BOX DUMP'!$1:$1,'ACH CALC'!AN$2,'TALLY BOX DUMP'!127:127))</f>
        <v/>
      </c>
      <c r="AO128" s="21" t="str">
        <f>IF($D128="","",SUMIF('TALLY BOX DUMP'!$1:$1,'ACH CALC'!AO$2,'TALLY BOX DUMP'!127:127))</f>
        <v/>
      </c>
      <c r="AP128" s="21" t="str">
        <f>IF($D128="","",SUMIF('TALLY BOX DUMP'!$1:$1,'ACH CALC'!AP$2,'TALLY BOX DUMP'!127:127))</f>
        <v/>
      </c>
      <c r="AQ128" s="21" t="str">
        <f>IF($D128="","",ROUND(SUMIF('TALLY KG DUMP'!$1:$1,'ACH CALC'!AQ$2,'TALLY KG DUMP'!127:127)/30,1))</f>
        <v/>
      </c>
      <c r="AR128" s="21" t="str">
        <f>IF($D128="","",SUMIF('TALLY BOX DUMP'!$1:$1,'ACH CALC'!AR$2,'TALLY BOX DUMP'!127:127))</f>
        <v/>
      </c>
      <c r="AS128" s="21" t="str">
        <f>IF($D128="","",SUMIF('TALLY BOX DUMP'!$1:$1,'ACH CALC'!AS$2,'TALLY BOX DUMP'!127:127))</f>
        <v/>
      </c>
      <c r="AT128" s="21" t="str">
        <f>IF($D128="","",SUMIF('TALLY BOX DUMP'!$1:$1,'ACH CALC'!AT$2,'TALLY BOX DUMP'!127:127))</f>
        <v/>
      </c>
      <c r="AU128" s="21" t="str">
        <f>IF($D128="","",SUMIF('TALLY BOX DUMP'!$1:$1,'ACH CALC'!AU$2,'TALLY BOX DUMP'!127:127))</f>
        <v/>
      </c>
      <c r="AV128" s="21" t="str">
        <f>IF($D128="","",SUMIF('TALLY BOX DUMP'!$1:$1,'ACH CALC'!AV$2,'TALLY BOX DUMP'!127:127))</f>
        <v/>
      </c>
      <c r="AW128" s="21" t="str">
        <f>IF($D128="","",SUMIF('TALLY BOX DUMP'!$1:$1,'ACH CALC'!AW$2,'TALLY BOX DUMP'!127:127))</f>
        <v/>
      </c>
      <c r="AX128" s="21" t="str">
        <f>IF($D128="","",SUMIF('TALLY BOX DUMP'!$1:$1,'ACH CALC'!AX$2,'TALLY BOX DUMP'!127:127))</f>
        <v/>
      </c>
      <c r="AY128" s="21" t="str">
        <f>IF($D128="","",SUMIF('TALLY BOX DUMP'!$1:$1,'ACH CALC'!AY$2,'TALLY BOX DUMP'!127:127))</f>
        <v/>
      </c>
      <c r="AZ128" s="21" t="str">
        <f>IF($D128="","",SUMIF('TALLY BOX DUMP'!$1:$1,'ACH CALC'!AZ$2,'TALLY BOX DUMP'!127:127))</f>
        <v/>
      </c>
      <c r="BA128" s="69">
        <f>(SUMIF('TALLY KG DUMP'!$2:$2,"Qty",'TALLY KG DUMP'!127:127)/1000)-(SUMIF('TALLY KG DUMP'!$1:$1,"GL",'TALLY KG DUMP'!127:127)/1000)</f>
        <v>0</v>
      </c>
      <c r="BB128" s="21" t="b">
        <f t="shared" si="5"/>
        <v>0</v>
      </c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</row>
    <row r="129" spans="2:75" x14ac:dyDescent="0.25">
      <c r="B129" s="21"/>
      <c r="C129" s="21"/>
      <c r="D129" s="21"/>
      <c r="E129" s="21" t="str">
        <f>IF($D129="","",(SUMIF('TALLY KG DUMP'!$2:$2,"Qty",'TALLY KG DUMP'!128:128)/1000)-(SUMIF('TALLY KG DUMP'!$1:$1,"GL",'TALLY KG DUMP'!128:128)/1000))</f>
        <v/>
      </c>
      <c r="F129" s="21" t="str">
        <f>IF($D129="","",(SUMIF('TALLY KG DUMP'!$1:$1,'ACH CALC'!F$2,'TALLY KG DUMP'!128:128)/1000))</f>
        <v/>
      </c>
      <c r="G129" s="21" t="str">
        <f>IF($D129="","",SUMIF('TALLY BOX DUMP'!$1:$1,'ACH CALC'!G$2,'TALLY BOX DUMP'!128:128)+Y129)</f>
        <v/>
      </c>
      <c r="H129" s="21" t="str">
        <f t="shared" si="3"/>
        <v/>
      </c>
      <c r="I129" s="21" t="str">
        <f>IF($D129="","",SUMIF('TALLY BOX DUMP'!$1:$1,'ACH CALC'!I$2,'TALLY BOX DUMP'!128:128)+AA129)</f>
        <v/>
      </c>
      <c r="J129" s="21" t="str">
        <f>IF($D129="","",SUMIF('TALLY BOX DUMP'!$1:$1,'ACH CALC'!J$2,'TALLY BOX DUMP'!128:128)+AB129)</f>
        <v/>
      </c>
      <c r="K129" s="21" t="str">
        <f>IF($D129="","",SUMIF('TALLY BOX DUMP'!$1:$1,'ACH CALC'!K$2,'TALLY BOX DUMP'!128:128)+AC129)</f>
        <v/>
      </c>
      <c r="L129" s="21" t="str">
        <f>IF($D129="","",SUMIF('TALLY BOX DUMP'!$1:$1,'ACH CALC'!L$2,'TALLY BOX DUMP'!128:128))</f>
        <v/>
      </c>
      <c r="M129" s="21" t="str">
        <f>IF($D129="","",SUMIF('TALLY BOX DUMP'!$1:$1,'ACH CALC'!M$2,'TALLY BOX DUMP'!128:128)+AD129)</f>
        <v/>
      </c>
      <c r="N129" s="21" t="str">
        <f>IF($D129="","",SUMIF('TALLY BOX DUMP'!$1:$1,'ACH CALC'!N$2,'TALLY BOX DUMP'!128:128))</f>
        <v/>
      </c>
      <c r="O129" s="21" t="str">
        <f>IF($D129="","",SUMIF('TALLY BOX DUMP'!$1:$1,'ACH CALC'!O$2,'TALLY BOX DUMP'!128:128))</f>
        <v/>
      </c>
      <c r="P129" s="21" t="str">
        <f>IF($D129="","",SUMIF('TALLY BOX DUMP'!$1:$1,'ACH CALC'!P$2,'TALLY BOX DUMP'!128:128))</f>
        <v/>
      </c>
      <c r="Q129" s="21" t="str">
        <f t="shared" si="4"/>
        <v/>
      </c>
      <c r="R129" s="21" t="str">
        <f>IF($D129="","",SUMIF('TALLY BOX DUMP'!$1:$1,'ACH CALC'!R$2,'TALLY BOX DUMP'!128:128))</f>
        <v/>
      </c>
      <c r="S129" s="21" t="str">
        <f>IF($D129="","",SUMIF('TALLY BOX DUMP'!$1:$1,'ACH CALC'!S$2,'TALLY BOX DUMP'!128:128))</f>
        <v/>
      </c>
      <c r="T129" s="21" t="str">
        <f>IF($D129="","",SUMIF('TALLY BOX DUMP'!$1:$1,'ACH CALC'!T$2,'TALLY BOX DUMP'!128:128))</f>
        <v/>
      </c>
      <c r="U129" s="21" t="str">
        <f>IF($D129="","",SUMIF('TALLY BOX DUMP'!$1:$1,'ACH CALC'!U$2,'TALLY BOX DUMP'!128:128))</f>
        <v/>
      </c>
      <c r="V129" s="21" t="str">
        <f>IF($D129="","",SUMIF('TALLY BOX DUMP'!$1:$1,'ACH CALC'!V$2,'TALLY BOX DUMP'!128:128))</f>
        <v/>
      </c>
      <c r="W129" s="21" t="str">
        <f>IF($D129="","",SUMIF('TALLY BOX DUMP'!$1:$1,'ACH CALC'!W$2,'TALLY BOX DUMP'!128:128))</f>
        <v/>
      </c>
      <c r="X129" s="21" t="str">
        <f>IF($D129="","",SUMIF('TALLY BOX DUMP'!$1:$1,'ACH CALC'!X$2,'TALLY BOX DUMP'!128:128))</f>
        <v/>
      </c>
      <c r="Y129" s="21" t="str">
        <f>IF($D129="","",SUMIF('TALLY BOX DUMP'!$1:$1,'ACH CALC'!Y$2,'TALLY BOX DUMP'!128:128))</f>
        <v/>
      </c>
      <c r="Z129" s="21" t="str">
        <f>IF($D129="","",SUMIF('TALLY BOX DUMP'!$1:$1,'ACH CALC'!Z$2,'TALLY BOX DUMP'!128:128)+AE129)</f>
        <v/>
      </c>
      <c r="AA129" s="21" t="str">
        <f>IF($D129="","",SUMIF('TALLY BOX DUMP'!$1:$1,'ACH CALC'!AA$2,'TALLY BOX DUMP'!128:128))</f>
        <v/>
      </c>
      <c r="AB129" s="21" t="str">
        <f>IF($D129="","",SUMIF('TALLY BOX DUMP'!$1:$1,'ACH CALC'!AB$2,'TALLY BOX DUMP'!128:128))</f>
        <v/>
      </c>
      <c r="AC129" s="21" t="str">
        <f>IF($D129="","",SUMIF('TALLY BOX DUMP'!$1:$1,'ACH CALC'!AC$2,'TALLY BOX DUMP'!128:128))</f>
        <v/>
      </c>
      <c r="AD129" s="21" t="str">
        <f>IF($D129="","",SUMIF('TALLY BOX DUMP'!$1:$1,'ACH CALC'!AD$2,'TALLY BOX DUMP'!128:128))</f>
        <v/>
      </c>
      <c r="AE129" s="21" t="str">
        <f>IF($D129="","",SUMIF('TALLY BOX DUMP'!$1:$1,'ACH CALC'!AE$2,'TALLY BOX DUMP'!128:128))</f>
        <v/>
      </c>
      <c r="AF129" s="21" t="str">
        <f>IF($D129="","",SUMIF('TALLY BOX DUMP'!$1:$1,'ACH CALC'!AF$2,'TALLY BOX DUMP'!128:128))</f>
        <v/>
      </c>
      <c r="AG129" s="21" t="str">
        <f>IF($D129="","",SUMIF('TALLY BOX DUMP'!$1:$1,'ACH CALC'!AG$2,'TALLY BOX DUMP'!128:128))</f>
        <v/>
      </c>
      <c r="AH129" s="21" t="str">
        <f>IF($D129="","",SUMIF('TALLY BOX DUMP'!$1:$1,'ACH CALC'!AH$2,'TALLY BOX DUMP'!128:128))</f>
        <v/>
      </c>
      <c r="AI129" s="21" t="str">
        <f>IF($D129="","",SUMIF('TALLY BOX DUMP'!$1:$1,'ACH CALC'!AI$2,'TALLY BOX DUMP'!128:128))</f>
        <v/>
      </c>
      <c r="AJ129" s="21" t="str">
        <f>IF($D129="","",SUMIF('TALLY BOX DUMP'!$1:$1,'ACH CALC'!AJ$2,'TALLY BOX DUMP'!128:128))</f>
        <v/>
      </c>
      <c r="AK129" s="21" t="str">
        <f>IF($D129="","",SUMIF('TALLY BOX DUMP'!$1:$1,'ACH CALC'!AK$2,'TALLY BOX DUMP'!128:128))</f>
        <v/>
      </c>
      <c r="AL129" s="21" t="str">
        <f>IF($D129="","",ROUND(SUMIF('TALLY KG DUMP'!$1:$1,'ACH CALC'!AL$2,'TALLY KG DUMP'!128:128)/30,1))</f>
        <v/>
      </c>
      <c r="AM129" s="21" t="str">
        <f>IF($D129="","",SUMIF('TALLY BOX DUMP'!$1:$1,'ACH CALC'!AM$2,'TALLY BOX DUMP'!128:128))</f>
        <v/>
      </c>
      <c r="AN129" s="21" t="str">
        <f>IF($D129="","",SUMIF('TALLY BOX DUMP'!$1:$1,'ACH CALC'!AN$2,'TALLY BOX DUMP'!128:128))</f>
        <v/>
      </c>
      <c r="AO129" s="21" t="str">
        <f>IF($D129="","",SUMIF('TALLY BOX DUMP'!$1:$1,'ACH CALC'!AO$2,'TALLY BOX DUMP'!128:128))</f>
        <v/>
      </c>
      <c r="AP129" s="21" t="str">
        <f>IF($D129="","",SUMIF('TALLY BOX DUMP'!$1:$1,'ACH CALC'!AP$2,'TALLY BOX DUMP'!128:128))</f>
        <v/>
      </c>
      <c r="AQ129" s="21" t="str">
        <f>IF($D129="","",ROUND(SUMIF('TALLY KG DUMP'!$1:$1,'ACH CALC'!AQ$2,'TALLY KG DUMP'!128:128)/30,1))</f>
        <v/>
      </c>
      <c r="AR129" s="21" t="str">
        <f>IF($D129="","",SUMIF('TALLY BOX DUMP'!$1:$1,'ACH CALC'!AR$2,'TALLY BOX DUMP'!128:128))</f>
        <v/>
      </c>
      <c r="AS129" s="21" t="str">
        <f>IF($D129="","",SUMIF('TALLY BOX DUMP'!$1:$1,'ACH CALC'!AS$2,'TALLY BOX DUMP'!128:128))</f>
        <v/>
      </c>
      <c r="AT129" s="21" t="str">
        <f>IF($D129="","",SUMIF('TALLY BOX DUMP'!$1:$1,'ACH CALC'!AT$2,'TALLY BOX DUMP'!128:128))</f>
        <v/>
      </c>
      <c r="AU129" s="21" t="str">
        <f>IF($D129="","",SUMIF('TALLY BOX DUMP'!$1:$1,'ACH CALC'!AU$2,'TALLY BOX DUMP'!128:128))</f>
        <v/>
      </c>
      <c r="AV129" s="21" t="str">
        <f>IF($D129="","",SUMIF('TALLY BOX DUMP'!$1:$1,'ACH CALC'!AV$2,'TALLY BOX DUMP'!128:128))</f>
        <v/>
      </c>
      <c r="AW129" s="21" t="str">
        <f>IF($D129="","",SUMIF('TALLY BOX DUMP'!$1:$1,'ACH CALC'!AW$2,'TALLY BOX DUMP'!128:128))</f>
        <v/>
      </c>
      <c r="AX129" s="21" t="str">
        <f>IF($D129="","",SUMIF('TALLY BOX DUMP'!$1:$1,'ACH CALC'!AX$2,'TALLY BOX DUMP'!128:128))</f>
        <v/>
      </c>
      <c r="AY129" s="21" t="str">
        <f>IF($D129="","",SUMIF('TALLY BOX DUMP'!$1:$1,'ACH CALC'!AY$2,'TALLY BOX DUMP'!128:128))</f>
        <v/>
      </c>
      <c r="AZ129" s="21" t="str">
        <f>IF($D129="","",SUMIF('TALLY BOX DUMP'!$1:$1,'ACH CALC'!AZ$2,'TALLY BOX DUMP'!128:128))</f>
        <v/>
      </c>
      <c r="BA129" s="69">
        <f>(SUMIF('TALLY KG DUMP'!$2:$2,"Qty",'TALLY KG DUMP'!128:128)/1000)-(SUMIF('TALLY KG DUMP'!$1:$1,"GL",'TALLY KG DUMP'!128:128)/1000)</f>
        <v>0</v>
      </c>
      <c r="BB129" s="21" t="b">
        <f t="shared" si="5"/>
        <v>0</v>
      </c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</row>
    <row r="130" spans="2:75" x14ac:dyDescent="0.25">
      <c r="B130" s="21"/>
      <c r="C130" s="21"/>
      <c r="D130" s="21"/>
      <c r="E130" s="21" t="str">
        <f>IF($D130="","",(SUMIF('TALLY KG DUMP'!$2:$2,"Qty",'TALLY KG DUMP'!129:129)/1000)-(SUMIF('TALLY KG DUMP'!$1:$1,"GL",'TALLY KG DUMP'!129:129)/1000))</f>
        <v/>
      </c>
      <c r="F130" s="21" t="str">
        <f>IF($D130="","",(SUMIF('TALLY KG DUMP'!$1:$1,'ACH CALC'!F$2,'TALLY KG DUMP'!129:129)/1000))</f>
        <v/>
      </c>
      <c r="G130" s="21" t="str">
        <f>IF($D130="","",SUMIF('TALLY BOX DUMP'!$1:$1,'ACH CALC'!G$2,'TALLY BOX DUMP'!129:129)+Y130)</f>
        <v/>
      </c>
      <c r="H130" s="21" t="str">
        <f t="shared" si="3"/>
        <v/>
      </c>
      <c r="I130" s="21" t="str">
        <f>IF($D130="","",SUMIF('TALLY BOX DUMP'!$1:$1,'ACH CALC'!I$2,'TALLY BOX DUMP'!129:129)+AA130)</f>
        <v/>
      </c>
      <c r="J130" s="21" t="str">
        <f>IF($D130="","",SUMIF('TALLY BOX DUMP'!$1:$1,'ACH CALC'!J$2,'TALLY BOX DUMP'!129:129)+AB130)</f>
        <v/>
      </c>
      <c r="K130" s="21" t="str">
        <f>IF($D130="","",SUMIF('TALLY BOX DUMP'!$1:$1,'ACH CALC'!K$2,'TALLY BOX DUMP'!129:129)+AC130)</f>
        <v/>
      </c>
      <c r="L130" s="21" t="str">
        <f>IF($D130="","",SUMIF('TALLY BOX DUMP'!$1:$1,'ACH CALC'!L$2,'TALLY BOX DUMP'!129:129))</f>
        <v/>
      </c>
      <c r="M130" s="21" t="str">
        <f>IF($D130="","",SUMIF('TALLY BOX DUMP'!$1:$1,'ACH CALC'!M$2,'TALLY BOX DUMP'!129:129)+AD130)</f>
        <v/>
      </c>
      <c r="N130" s="21" t="str">
        <f>IF($D130="","",SUMIF('TALLY BOX DUMP'!$1:$1,'ACH CALC'!N$2,'TALLY BOX DUMP'!129:129))</f>
        <v/>
      </c>
      <c r="O130" s="21" t="str">
        <f>IF($D130="","",SUMIF('TALLY BOX DUMP'!$1:$1,'ACH CALC'!O$2,'TALLY BOX DUMP'!129:129))</f>
        <v/>
      </c>
      <c r="P130" s="21" t="str">
        <f>IF($D130="","",SUMIF('TALLY BOX DUMP'!$1:$1,'ACH CALC'!P$2,'TALLY BOX DUMP'!129:129))</f>
        <v/>
      </c>
      <c r="Q130" s="21" t="str">
        <f t="shared" si="4"/>
        <v/>
      </c>
      <c r="R130" s="21" t="str">
        <f>IF($D130="","",SUMIF('TALLY BOX DUMP'!$1:$1,'ACH CALC'!R$2,'TALLY BOX DUMP'!129:129))</f>
        <v/>
      </c>
      <c r="S130" s="21" t="str">
        <f>IF($D130="","",SUMIF('TALLY BOX DUMP'!$1:$1,'ACH CALC'!S$2,'TALLY BOX DUMP'!129:129))</f>
        <v/>
      </c>
      <c r="T130" s="21" t="str">
        <f>IF($D130="","",SUMIF('TALLY BOX DUMP'!$1:$1,'ACH CALC'!T$2,'TALLY BOX DUMP'!129:129))</f>
        <v/>
      </c>
      <c r="U130" s="21" t="str">
        <f>IF($D130="","",SUMIF('TALLY BOX DUMP'!$1:$1,'ACH CALC'!U$2,'TALLY BOX DUMP'!129:129))</f>
        <v/>
      </c>
      <c r="V130" s="21" t="str">
        <f>IF($D130="","",SUMIF('TALLY BOX DUMP'!$1:$1,'ACH CALC'!V$2,'TALLY BOX DUMP'!129:129))</f>
        <v/>
      </c>
      <c r="W130" s="21" t="str">
        <f>IF($D130="","",SUMIF('TALLY BOX DUMP'!$1:$1,'ACH CALC'!W$2,'TALLY BOX DUMP'!129:129))</f>
        <v/>
      </c>
      <c r="X130" s="21" t="str">
        <f>IF($D130="","",SUMIF('TALLY BOX DUMP'!$1:$1,'ACH CALC'!X$2,'TALLY BOX DUMP'!129:129))</f>
        <v/>
      </c>
      <c r="Y130" s="21" t="str">
        <f>IF($D130="","",SUMIF('TALLY BOX DUMP'!$1:$1,'ACH CALC'!Y$2,'TALLY BOX DUMP'!129:129))</f>
        <v/>
      </c>
      <c r="Z130" s="21" t="str">
        <f>IF($D130="","",SUMIF('TALLY BOX DUMP'!$1:$1,'ACH CALC'!Z$2,'TALLY BOX DUMP'!129:129)+AE130)</f>
        <v/>
      </c>
      <c r="AA130" s="21" t="str">
        <f>IF($D130="","",SUMIF('TALLY BOX DUMP'!$1:$1,'ACH CALC'!AA$2,'TALLY BOX DUMP'!129:129))</f>
        <v/>
      </c>
      <c r="AB130" s="21" t="str">
        <f>IF($D130="","",SUMIF('TALLY BOX DUMP'!$1:$1,'ACH CALC'!AB$2,'TALLY BOX DUMP'!129:129))</f>
        <v/>
      </c>
      <c r="AC130" s="21" t="str">
        <f>IF($D130="","",SUMIF('TALLY BOX DUMP'!$1:$1,'ACH CALC'!AC$2,'TALLY BOX DUMP'!129:129))</f>
        <v/>
      </c>
      <c r="AD130" s="21" t="str">
        <f>IF($D130="","",SUMIF('TALLY BOX DUMP'!$1:$1,'ACH CALC'!AD$2,'TALLY BOX DUMP'!129:129))</f>
        <v/>
      </c>
      <c r="AE130" s="21" t="str">
        <f>IF($D130="","",SUMIF('TALLY BOX DUMP'!$1:$1,'ACH CALC'!AE$2,'TALLY BOX DUMP'!129:129))</f>
        <v/>
      </c>
      <c r="AF130" s="21" t="str">
        <f>IF($D130="","",SUMIF('TALLY BOX DUMP'!$1:$1,'ACH CALC'!AF$2,'TALLY BOX DUMP'!129:129))</f>
        <v/>
      </c>
      <c r="AG130" s="21" t="str">
        <f>IF($D130="","",SUMIF('TALLY BOX DUMP'!$1:$1,'ACH CALC'!AG$2,'TALLY BOX DUMP'!129:129))</f>
        <v/>
      </c>
      <c r="AH130" s="21" t="str">
        <f>IF($D130="","",SUMIF('TALLY BOX DUMP'!$1:$1,'ACH CALC'!AH$2,'TALLY BOX DUMP'!129:129))</f>
        <v/>
      </c>
      <c r="AI130" s="21" t="str">
        <f>IF($D130="","",SUMIF('TALLY BOX DUMP'!$1:$1,'ACH CALC'!AI$2,'TALLY BOX DUMP'!129:129))</f>
        <v/>
      </c>
      <c r="AJ130" s="21" t="str">
        <f>IF($D130="","",SUMIF('TALLY BOX DUMP'!$1:$1,'ACH CALC'!AJ$2,'TALLY BOX DUMP'!129:129))</f>
        <v/>
      </c>
      <c r="AK130" s="21" t="str">
        <f>IF($D130="","",SUMIF('TALLY BOX DUMP'!$1:$1,'ACH CALC'!AK$2,'TALLY BOX DUMP'!129:129))</f>
        <v/>
      </c>
      <c r="AL130" s="21" t="str">
        <f>IF($D130="","",ROUND(SUMIF('TALLY KG DUMP'!$1:$1,'ACH CALC'!AL$2,'TALLY KG DUMP'!129:129)/30,1))</f>
        <v/>
      </c>
      <c r="AM130" s="21" t="str">
        <f>IF($D130="","",SUMIF('TALLY BOX DUMP'!$1:$1,'ACH CALC'!AM$2,'TALLY BOX DUMP'!129:129))</f>
        <v/>
      </c>
      <c r="AN130" s="21" t="str">
        <f>IF($D130="","",SUMIF('TALLY BOX DUMP'!$1:$1,'ACH CALC'!AN$2,'TALLY BOX DUMP'!129:129))</f>
        <v/>
      </c>
      <c r="AO130" s="21" t="str">
        <f>IF($D130="","",SUMIF('TALLY BOX DUMP'!$1:$1,'ACH CALC'!AO$2,'TALLY BOX DUMP'!129:129))</f>
        <v/>
      </c>
      <c r="AP130" s="21" t="str">
        <f>IF($D130="","",SUMIF('TALLY BOX DUMP'!$1:$1,'ACH CALC'!AP$2,'TALLY BOX DUMP'!129:129))</f>
        <v/>
      </c>
      <c r="AQ130" s="21" t="str">
        <f>IF($D130="","",ROUND(SUMIF('TALLY KG DUMP'!$1:$1,'ACH CALC'!AQ$2,'TALLY KG DUMP'!129:129)/30,1))</f>
        <v/>
      </c>
      <c r="AR130" s="21" t="str">
        <f>IF($D130="","",SUMIF('TALLY BOX DUMP'!$1:$1,'ACH CALC'!AR$2,'TALLY BOX DUMP'!129:129))</f>
        <v/>
      </c>
      <c r="AS130" s="21" t="str">
        <f>IF($D130="","",SUMIF('TALLY BOX DUMP'!$1:$1,'ACH CALC'!AS$2,'TALLY BOX DUMP'!129:129))</f>
        <v/>
      </c>
      <c r="AT130" s="21" t="str">
        <f>IF($D130="","",SUMIF('TALLY BOX DUMP'!$1:$1,'ACH CALC'!AT$2,'TALLY BOX DUMP'!129:129))</f>
        <v/>
      </c>
      <c r="AU130" s="21" t="str">
        <f>IF($D130="","",SUMIF('TALLY BOX DUMP'!$1:$1,'ACH CALC'!AU$2,'TALLY BOX DUMP'!129:129))</f>
        <v/>
      </c>
      <c r="AV130" s="21" t="str">
        <f>IF($D130="","",SUMIF('TALLY BOX DUMP'!$1:$1,'ACH CALC'!AV$2,'TALLY BOX DUMP'!129:129))</f>
        <v/>
      </c>
      <c r="AW130" s="21" t="str">
        <f>IF($D130="","",SUMIF('TALLY BOX DUMP'!$1:$1,'ACH CALC'!AW$2,'TALLY BOX DUMP'!129:129))</f>
        <v/>
      </c>
      <c r="AX130" s="21" t="str">
        <f>IF($D130="","",SUMIF('TALLY BOX DUMP'!$1:$1,'ACH CALC'!AX$2,'TALLY BOX DUMP'!129:129))</f>
        <v/>
      </c>
      <c r="AY130" s="21" t="str">
        <f>IF($D130="","",SUMIF('TALLY BOX DUMP'!$1:$1,'ACH CALC'!AY$2,'TALLY BOX DUMP'!129:129))</f>
        <v/>
      </c>
      <c r="AZ130" s="21" t="str">
        <f>IF($D130="","",SUMIF('TALLY BOX DUMP'!$1:$1,'ACH CALC'!AZ$2,'TALLY BOX DUMP'!129:129))</f>
        <v/>
      </c>
      <c r="BA130" s="69">
        <f>(SUMIF('TALLY KG DUMP'!$2:$2,"Qty",'TALLY KG DUMP'!129:129)/1000)-(SUMIF('TALLY KG DUMP'!$1:$1,"GL",'TALLY KG DUMP'!129:129)/1000)</f>
        <v>0</v>
      </c>
      <c r="BB130" s="21" t="b">
        <f t="shared" si="5"/>
        <v>0</v>
      </c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</row>
    <row r="131" spans="2:75" x14ac:dyDescent="0.25">
      <c r="B131" s="21"/>
      <c r="C131" s="21"/>
      <c r="D131" s="21"/>
      <c r="E131" s="21" t="str">
        <f>IF($D131="","",(SUMIF('TALLY KG DUMP'!$2:$2,"Qty",'TALLY KG DUMP'!130:130)/1000)-(SUMIF('TALLY KG DUMP'!$1:$1,"GL",'TALLY KG DUMP'!130:130)/1000))</f>
        <v/>
      </c>
      <c r="F131" s="21" t="str">
        <f>IF($D131="","",(SUMIF('TALLY KG DUMP'!$1:$1,'ACH CALC'!F$2,'TALLY KG DUMP'!130:130)/1000))</f>
        <v/>
      </c>
      <c r="G131" s="21" t="str">
        <f>IF($D131="","",SUMIF('TALLY BOX DUMP'!$1:$1,'ACH CALC'!G$2,'TALLY BOX DUMP'!130:130)+Y131)</f>
        <v/>
      </c>
      <c r="H131" s="21" t="str">
        <f t="shared" si="3"/>
        <v/>
      </c>
      <c r="I131" s="21" t="str">
        <f>IF($D131="","",SUMIF('TALLY BOX DUMP'!$1:$1,'ACH CALC'!I$2,'TALLY BOX DUMP'!130:130)+AA131)</f>
        <v/>
      </c>
      <c r="J131" s="21" t="str">
        <f>IF($D131="","",SUMIF('TALLY BOX DUMP'!$1:$1,'ACH CALC'!J$2,'TALLY BOX DUMP'!130:130)+AB131)</f>
        <v/>
      </c>
      <c r="K131" s="21" t="str">
        <f>IF($D131="","",SUMIF('TALLY BOX DUMP'!$1:$1,'ACH CALC'!K$2,'TALLY BOX DUMP'!130:130)+AC131)</f>
        <v/>
      </c>
      <c r="L131" s="21" t="str">
        <f>IF($D131="","",SUMIF('TALLY BOX DUMP'!$1:$1,'ACH CALC'!L$2,'TALLY BOX DUMP'!130:130))</f>
        <v/>
      </c>
      <c r="M131" s="21" t="str">
        <f>IF($D131="","",SUMIF('TALLY BOX DUMP'!$1:$1,'ACH CALC'!M$2,'TALLY BOX DUMP'!130:130)+AD131)</f>
        <v/>
      </c>
      <c r="N131" s="21" t="str">
        <f>IF($D131="","",SUMIF('TALLY BOX DUMP'!$1:$1,'ACH CALC'!N$2,'TALLY BOX DUMP'!130:130))</f>
        <v/>
      </c>
      <c r="O131" s="21" t="str">
        <f>IF($D131="","",SUMIF('TALLY BOX DUMP'!$1:$1,'ACH CALC'!O$2,'TALLY BOX DUMP'!130:130))</f>
        <v/>
      </c>
      <c r="P131" s="21" t="str">
        <f>IF($D131="","",SUMIF('TALLY BOX DUMP'!$1:$1,'ACH CALC'!P$2,'TALLY BOX DUMP'!130:130))</f>
        <v/>
      </c>
      <c r="Q131" s="21" t="str">
        <f t="shared" si="4"/>
        <v/>
      </c>
      <c r="R131" s="21" t="str">
        <f>IF($D131="","",SUMIF('TALLY BOX DUMP'!$1:$1,'ACH CALC'!R$2,'TALLY BOX DUMP'!130:130))</f>
        <v/>
      </c>
      <c r="S131" s="21" t="str">
        <f>IF($D131="","",SUMIF('TALLY BOX DUMP'!$1:$1,'ACH CALC'!S$2,'TALLY BOX DUMP'!130:130))</f>
        <v/>
      </c>
      <c r="T131" s="21" t="str">
        <f>IF($D131="","",SUMIF('TALLY BOX DUMP'!$1:$1,'ACH CALC'!T$2,'TALLY BOX DUMP'!130:130))</f>
        <v/>
      </c>
      <c r="U131" s="21" t="str">
        <f>IF($D131="","",SUMIF('TALLY BOX DUMP'!$1:$1,'ACH CALC'!U$2,'TALLY BOX DUMP'!130:130))</f>
        <v/>
      </c>
      <c r="V131" s="21" t="str">
        <f>IF($D131="","",SUMIF('TALLY BOX DUMP'!$1:$1,'ACH CALC'!V$2,'TALLY BOX DUMP'!130:130))</f>
        <v/>
      </c>
      <c r="W131" s="21" t="str">
        <f>IF($D131="","",SUMIF('TALLY BOX DUMP'!$1:$1,'ACH CALC'!W$2,'TALLY BOX DUMP'!130:130))</f>
        <v/>
      </c>
      <c r="X131" s="21" t="str">
        <f>IF($D131="","",SUMIF('TALLY BOX DUMP'!$1:$1,'ACH CALC'!X$2,'TALLY BOX DUMP'!130:130))</f>
        <v/>
      </c>
      <c r="Y131" s="21" t="str">
        <f>IF($D131="","",SUMIF('TALLY BOX DUMP'!$1:$1,'ACH CALC'!Y$2,'TALLY BOX DUMP'!130:130))</f>
        <v/>
      </c>
      <c r="Z131" s="21" t="str">
        <f>IF($D131="","",SUMIF('TALLY BOX DUMP'!$1:$1,'ACH CALC'!Z$2,'TALLY BOX DUMP'!130:130)+AE131)</f>
        <v/>
      </c>
      <c r="AA131" s="21" t="str">
        <f>IF($D131="","",SUMIF('TALLY BOX DUMP'!$1:$1,'ACH CALC'!AA$2,'TALLY BOX DUMP'!130:130))</f>
        <v/>
      </c>
      <c r="AB131" s="21" t="str">
        <f>IF($D131="","",SUMIF('TALLY BOX DUMP'!$1:$1,'ACH CALC'!AB$2,'TALLY BOX DUMP'!130:130))</f>
        <v/>
      </c>
      <c r="AC131" s="21" t="str">
        <f>IF($D131="","",SUMIF('TALLY BOX DUMP'!$1:$1,'ACH CALC'!AC$2,'TALLY BOX DUMP'!130:130))</f>
        <v/>
      </c>
      <c r="AD131" s="21" t="str">
        <f>IF($D131="","",SUMIF('TALLY BOX DUMP'!$1:$1,'ACH CALC'!AD$2,'TALLY BOX DUMP'!130:130))</f>
        <v/>
      </c>
      <c r="AE131" s="21" t="str">
        <f>IF($D131="","",SUMIF('TALLY BOX DUMP'!$1:$1,'ACH CALC'!AE$2,'TALLY BOX DUMP'!130:130))</f>
        <v/>
      </c>
      <c r="AF131" s="21" t="str">
        <f>IF($D131="","",SUMIF('TALLY BOX DUMP'!$1:$1,'ACH CALC'!AF$2,'TALLY BOX DUMP'!130:130))</f>
        <v/>
      </c>
      <c r="AG131" s="21" t="str">
        <f>IF($D131="","",SUMIF('TALLY BOX DUMP'!$1:$1,'ACH CALC'!AG$2,'TALLY BOX DUMP'!130:130))</f>
        <v/>
      </c>
      <c r="AH131" s="21" t="str">
        <f>IF($D131="","",SUMIF('TALLY BOX DUMP'!$1:$1,'ACH CALC'!AH$2,'TALLY BOX DUMP'!130:130))</f>
        <v/>
      </c>
      <c r="AI131" s="21" t="str">
        <f>IF($D131="","",SUMIF('TALLY BOX DUMP'!$1:$1,'ACH CALC'!AI$2,'TALLY BOX DUMP'!130:130))</f>
        <v/>
      </c>
      <c r="AJ131" s="21" t="str">
        <f>IF($D131="","",SUMIF('TALLY BOX DUMP'!$1:$1,'ACH CALC'!AJ$2,'TALLY BOX DUMP'!130:130))</f>
        <v/>
      </c>
      <c r="AK131" s="21" t="str">
        <f>IF($D131="","",SUMIF('TALLY BOX DUMP'!$1:$1,'ACH CALC'!AK$2,'TALLY BOX DUMP'!130:130))</f>
        <v/>
      </c>
      <c r="AL131" s="21" t="str">
        <f>IF($D131="","",ROUND(SUMIF('TALLY KG DUMP'!$1:$1,'ACH CALC'!AL$2,'TALLY KG DUMP'!130:130)/30,1))</f>
        <v/>
      </c>
      <c r="AM131" s="21" t="str">
        <f>IF($D131="","",SUMIF('TALLY BOX DUMP'!$1:$1,'ACH CALC'!AM$2,'TALLY BOX DUMP'!130:130))</f>
        <v/>
      </c>
      <c r="AN131" s="21" t="str">
        <f>IF($D131="","",SUMIF('TALLY BOX DUMP'!$1:$1,'ACH CALC'!AN$2,'TALLY BOX DUMP'!130:130))</f>
        <v/>
      </c>
      <c r="AO131" s="21" t="str">
        <f>IF($D131="","",SUMIF('TALLY BOX DUMP'!$1:$1,'ACH CALC'!AO$2,'TALLY BOX DUMP'!130:130))</f>
        <v/>
      </c>
      <c r="AP131" s="21" t="str">
        <f>IF($D131="","",SUMIF('TALLY BOX DUMP'!$1:$1,'ACH CALC'!AP$2,'TALLY BOX DUMP'!130:130))</f>
        <v/>
      </c>
      <c r="AQ131" s="21" t="str">
        <f>IF($D131="","",ROUND(SUMIF('TALLY KG DUMP'!$1:$1,'ACH CALC'!AQ$2,'TALLY KG DUMP'!130:130)/30,1))</f>
        <v/>
      </c>
      <c r="AR131" s="21" t="str">
        <f>IF($D131="","",SUMIF('TALLY BOX DUMP'!$1:$1,'ACH CALC'!AR$2,'TALLY BOX DUMP'!130:130))</f>
        <v/>
      </c>
      <c r="AS131" s="21" t="str">
        <f>IF($D131="","",SUMIF('TALLY BOX DUMP'!$1:$1,'ACH CALC'!AS$2,'TALLY BOX DUMP'!130:130))</f>
        <v/>
      </c>
      <c r="AT131" s="21" t="str">
        <f>IF($D131="","",SUMIF('TALLY BOX DUMP'!$1:$1,'ACH CALC'!AT$2,'TALLY BOX DUMP'!130:130))</f>
        <v/>
      </c>
      <c r="AU131" s="21" t="str">
        <f>IF($D131="","",SUMIF('TALLY BOX DUMP'!$1:$1,'ACH CALC'!AU$2,'TALLY BOX DUMP'!130:130))</f>
        <v/>
      </c>
      <c r="AV131" s="21" t="str">
        <f>IF($D131="","",SUMIF('TALLY BOX DUMP'!$1:$1,'ACH CALC'!AV$2,'TALLY BOX DUMP'!130:130))</f>
        <v/>
      </c>
      <c r="AW131" s="21" t="str">
        <f>IF($D131="","",SUMIF('TALLY BOX DUMP'!$1:$1,'ACH CALC'!AW$2,'TALLY BOX DUMP'!130:130))</f>
        <v/>
      </c>
      <c r="AX131" s="21" t="str">
        <f>IF($D131="","",SUMIF('TALLY BOX DUMP'!$1:$1,'ACH CALC'!AX$2,'TALLY BOX DUMP'!130:130))</f>
        <v/>
      </c>
      <c r="AY131" s="21" t="str">
        <f>IF($D131="","",SUMIF('TALLY BOX DUMP'!$1:$1,'ACH CALC'!AY$2,'TALLY BOX DUMP'!130:130))</f>
        <v/>
      </c>
      <c r="AZ131" s="21" t="str">
        <f>IF($D131="","",SUMIF('TALLY BOX DUMP'!$1:$1,'ACH CALC'!AZ$2,'TALLY BOX DUMP'!130:130))</f>
        <v/>
      </c>
      <c r="BA131" s="69">
        <f>(SUMIF('TALLY KG DUMP'!$2:$2,"Qty",'TALLY KG DUMP'!130:130)/1000)-(SUMIF('TALLY KG DUMP'!$1:$1,"GL",'TALLY KG DUMP'!130:130)/1000)</f>
        <v>0</v>
      </c>
      <c r="BB131" s="21" t="b">
        <f t="shared" si="5"/>
        <v>0</v>
      </c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</row>
    <row r="132" spans="2:75" x14ac:dyDescent="0.25">
      <c r="B132" s="21"/>
      <c r="C132" s="21"/>
      <c r="D132" s="21"/>
      <c r="E132" s="21" t="str">
        <f>IF($D132="","",(SUMIF('TALLY KG DUMP'!$2:$2,"Qty",'TALLY KG DUMP'!131:131)/1000)-(SUMIF('TALLY KG DUMP'!$1:$1,"GL",'TALLY KG DUMP'!131:131)/1000))</f>
        <v/>
      </c>
      <c r="F132" s="21" t="str">
        <f>IF($D132="","",(SUMIF('TALLY KG DUMP'!$1:$1,'ACH CALC'!F$2,'TALLY KG DUMP'!131:131)/1000))</f>
        <v/>
      </c>
      <c r="G132" s="21" t="str">
        <f>IF($D132="","",SUMIF('TALLY BOX DUMP'!$1:$1,'ACH CALC'!G$2,'TALLY BOX DUMP'!131:131)+Y132)</f>
        <v/>
      </c>
      <c r="H132" s="21" t="str">
        <f t="shared" si="3"/>
        <v/>
      </c>
      <c r="I132" s="21" t="str">
        <f>IF($D132="","",SUMIF('TALLY BOX DUMP'!$1:$1,'ACH CALC'!I$2,'TALLY BOX DUMP'!131:131)+AA132)</f>
        <v/>
      </c>
      <c r="J132" s="21" t="str">
        <f>IF($D132="","",SUMIF('TALLY BOX DUMP'!$1:$1,'ACH CALC'!J$2,'TALLY BOX DUMP'!131:131)+AB132)</f>
        <v/>
      </c>
      <c r="K132" s="21" t="str">
        <f>IF($D132="","",SUMIF('TALLY BOX DUMP'!$1:$1,'ACH CALC'!K$2,'TALLY BOX DUMP'!131:131)+AC132)</f>
        <v/>
      </c>
      <c r="L132" s="21" t="str">
        <f>IF($D132="","",SUMIF('TALLY BOX DUMP'!$1:$1,'ACH CALC'!L$2,'TALLY BOX DUMP'!131:131))</f>
        <v/>
      </c>
      <c r="M132" s="21" t="str">
        <f>IF($D132="","",SUMIF('TALLY BOX DUMP'!$1:$1,'ACH CALC'!M$2,'TALLY BOX DUMP'!131:131)+AD132)</f>
        <v/>
      </c>
      <c r="N132" s="21" t="str">
        <f>IF($D132="","",SUMIF('TALLY BOX DUMP'!$1:$1,'ACH CALC'!N$2,'TALLY BOX DUMP'!131:131))</f>
        <v/>
      </c>
      <c r="O132" s="21" t="str">
        <f>IF($D132="","",SUMIF('TALLY BOX DUMP'!$1:$1,'ACH CALC'!O$2,'TALLY BOX DUMP'!131:131))</f>
        <v/>
      </c>
      <c r="P132" s="21" t="str">
        <f>IF($D132="","",SUMIF('TALLY BOX DUMP'!$1:$1,'ACH CALC'!P$2,'TALLY BOX DUMP'!131:131))</f>
        <v/>
      </c>
      <c r="Q132" s="21" t="str">
        <f t="shared" si="4"/>
        <v/>
      </c>
      <c r="R132" s="21" t="str">
        <f>IF($D132="","",SUMIF('TALLY BOX DUMP'!$1:$1,'ACH CALC'!R$2,'TALLY BOX DUMP'!131:131))</f>
        <v/>
      </c>
      <c r="S132" s="21" t="str">
        <f>IF($D132="","",SUMIF('TALLY BOX DUMP'!$1:$1,'ACH CALC'!S$2,'TALLY BOX DUMP'!131:131))</f>
        <v/>
      </c>
      <c r="T132" s="21" t="str">
        <f>IF($D132="","",SUMIF('TALLY BOX DUMP'!$1:$1,'ACH CALC'!T$2,'TALLY BOX DUMP'!131:131))</f>
        <v/>
      </c>
      <c r="U132" s="21" t="str">
        <f>IF($D132="","",SUMIF('TALLY BOX DUMP'!$1:$1,'ACH CALC'!U$2,'TALLY BOX DUMP'!131:131))</f>
        <v/>
      </c>
      <c r="V132" s="21" t="str">
        <f>IF($D132="","",SUMIF('TALLY BOX DUMP'!$1:$1,'ACH CALC'!V$2,'TALLY BOX DUMP'!131:131))</f>
        <v/>
      </c>
      <c r="W132" s="21" t="str">
        <f>IF($D132="","",SUMIF('TALLY BOX DUMP'!$1:$1,'ACH CALC'!W$2,'TALLY BOX DUMP'!131:131))</f>
        <v/>
      </c>
      <c r="X132" s="21" t="str">
        <f>IF($D132="","",SUMIF('TALLY BOX DUMP'!$1:$1,'ACH CALC'!X$2,'TALLY BOX DUMP'!131:131))</f>
        <v/>
      </c>
      <c r="Y132" s="21" t="str">
        <f>IF($D132="","",SUMIF('TALLY BOX DUMP'!$1:$1,'ACH CALC'!Y$2,'TALLY BOX DUMP'!131:131))</f>
        <v/>
      </c>
      <c r="Z132" s="21" t="str">
        <f>IF($D132="","",SUMIF('TALLY BOX DUMP'!$1:$1,'ACH CALC'!Z$2,'TALLY BOX DUMP'!131:131)+AE132)</f>
        <v/>
      </c>
      <c r="AA132" s="21" t="str">
        <f>IF($D132="","",SUMIF('TALLY BOX DUMP'!$1:$1,'ACH CALC'!AA$2,'TALLY BOX DUMP'!131:131))</f>
        <v/>
      </c>
      <c r="AB132" s="21" t="str">
        <f>IF($D132="","",SUMIF('TALLY BOX DUMP'!$1:$1,'ACH CALC'!AB$2,'TALLY BOX DUMP'!131:131))</f>
        <v/>
      </c>
      <c r="AC132" s="21" t="str">
        <f>IF($D132="","",SUMIF('TALLY BOX DUMP'!$1:$1,'ACH CALC'!AC$2,'TALLY BOX DUMP'!131:131))</f>
        <v/>
      </c>
      <c r="AD132" s="21" t="str">
        <f>IF($D132="","",SUMIF('TALLY BOX DUMP'!$1:$1,'ACH CALC'!AD$2,'TALLY BOX DUMP'!131:131))</f>
        <v/>
      </c>
      <c r="AE132" s="21" t="str">
        <f>IF($D132="","",SUMIF('TALLY BOX DUMP'!$1:$1,'ACH CALC'!AE$2,'TALLY BOX DUMP'!131:131))</f>
        <v/>
      </c>
      <c r="AF132" s="21" t="str">
        <f>IF($D132="","",SUMIF('TALLY BOX DUMP'!$1:$1,'ACH CALC'!AF$2,'TALLY BOX DUMP'!131:131))</f>
        <v/>
      </c>
      <c r="AG132" s="21" t="str">
        <f>IF($D132="","",SUMIF('TALLY BOX DUMP'!$1:$1,'ACH CALC'!AG$2,'TALLY BOX DUMP'!131:131))</f>
        <v/>
      </c>
      <c r="AH132" s="21" t="str">
        <f>IF($D132="","",SUMIF('TALLY BOX DUMP'!$1:$1,'ACH CALC'!AH$2,'TALLY BOX DUMP'!131:131))</f>
        <v/>
      </c>
      <c r="AI132" s="21" t="str">
        <f>IF($D132="","",SUMIF('TALLY BOX DUMP'!$1:$1,'ACH CALC'!AI$2,'TALLY BOX DUMP'!131:131))</f>
        <v/>
      </c>
      <c r="AJ132" s="21" t="str">
        <f>IF($D132="","",SUMIF('TALLY BOX DUMP'!$1:$1,'ACH CALC'!AJ$2,'TALLY BOX DUMP'!131:131))</f>
        <v/>
      </c>
      <c r="AK132" s="21" t="str">
        <f>IF($D132="","",SUMIF('TALLY BOX DUMP'!$1:$1,'ACH CALC'!AK$2,'TALLY BOX DUMP'!131:131))</f>
        <v/>
      </c>
      <c r="AL132" s="21" t="str">
        <f>IF($D132="","",ROUND(SUMIF('TALLY KG DUMP'!$1:$1,'ACH CALC'!AL$2,'TALLY KG DUMP'!131:131)/30,1))</f>
        <v/>
      </c>
      <c r="AM132" s="21" t="str">
        <f>IF($D132="","",SUMIF('TALLY BOX DUMP'!$1:$1,'ACH CALC'!AM$2,'TALLY BOX DUMP'!131:131))</f>
        <v/>
      </c>
      <c r="AN132" s="21" t="str">
        <f>IF($D132="","",SUMIF('TALLY BOX DUMP'!$1:$1,'ACH CALC'!AN$2,'TALLY BOX DUMP'!131:131))</f>
        <v/>
      </c>
      <c r="AO132" s="21" t="str">
        <f>IF($D132="","",SUMIF('TALLY BOX DUMP'!$1:$1,'ACH CALC'!AO$2,'TALLY BOX DUMP'!131:131))</f>
        <v/>
      </c>
      <c r="AP132" s="21" t="str">
        <f>IF($D132="","",SUMIF('TALLY BOX DUMP'!$1:$1,'ACH CALC'!AP$2,'TALLY BOX DUMP'!131:131))</f>
        <v/>
      </c>
      <c r="AQ132" s="21" t="str">
        <f>IF($D132="","",ROUND(SUMIF('TALLY KG DUMP'!$1:$1,'ACH CALC'!AQ$2,'TALLY KG DUMP'!131:131)/30,1))</f>
        <v/>
      </c>
      <c r="AR132" s="21" t="str">
        <f>IF($D132="","",SUMIF('TALLY BOX DUMP'!$1:$1,'ACH CALC'!AR$2,'TALLY BOX DUMP'!131:131))</f>
        <v/>
      </c>
      <c r="AS132" s="21" t="str">
        <f>IF($D132="","",SUMIF('TALLY BOX DUMP'!$1:$1,'ACH CALC'!AS$2,'TALLY BOX DUMP'!131:131))</f>
        <v/>
      </c>
      <c r="AT132" s="21" t="str">
        <f>IF($D132="","",SUMIF('TALLY BOX DUMP'!$1:$1,'ACH CALC'!AT$2,'TALLY BOX DUMP'!131:131))</f>
        <v/>
      </c>
      <c r="AU132" s="21" t="str">
        <f>IF($D132="","",SUMIF('TALLY BOX DUMP'!$1:$1,'ACH CALC'!AU$2,'TALLY BOX DUMP'!131:131))</f>
        <v/>
      </c>
      <c r="AV132" s="21" t="str">
        <f>IF($D132="","",SUMIF('TALLY BOX DUMP'!$1:$1,'ACH CALC'!AV$2,'TALLY BOX DUMP'!131:131))</f>
        <v/>
      </c>
      <c r="AW132" s="21" t="str">
        <f>IF($D132="","",SUMIF('TALLY BOX DUMP'!$1:$1,'ACH CALC'!AW$2,'TALLY BOX DUMP'!131:131))</f>
        <v/>
      </c>
      <c r="AX132" s="21" t="str">
        <f>IF($D132="","",SUMIF('TALLY BOX DUMP'!$1:$1,'ACH CALC'!AX$2,'TALLY BOX DUMP'!131:131))</f>
        <v/>
      </c>
      <c r="AY132" s="21" t="str">
        <f>IF($D132="","",SUMIF('TALLY BOX DUMP'!$1:$1,'ACH CALC'!AY$2,'TALLY BOX DUMP'!131:131))</f>
        <v/>
      </c>
      <c r="AZ132" s="21" t="str">
        <f>IF($D132="","",SUMIF('TALLY BOX DUMP'!$1:$1,'ACH CALC'!AZ$2,'TALLY BOX DUMP'!131:131))</f>
        <v/>
      </c>
      <c r="BA132" s="69">
        <f>(SUMIF('TALLY KG DUMP'!$2:$2,"Qty",'TALLY KG DUMP'!131:131)/1000)-(SUMIF('TALLY KG DUMP'!$1:$1,"GL",'TALLY KG DUMP'!131:131)/1000)</f>
        <v>0</v>
      </c>
      <c r="BB132" s="21" t="b">
        <f t="shared" si="5"/>
        <v>0</v>
      </c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</row>
    <row r="133" spans="2:75" x14ac:dyDescent="0.25">
      <c r="B133" s="21"/>
      <c r="C133" s="21"/>
      <c r="D133" s="21"/>
      <c r="E133" s="21" t="str">
        <f>IF($D133="","",(SUMIF('TALLY KG DUMP'!$2:$2,"Qty",'TALLY KG DUMP'!132:132)/1000)-(SUMIF('TALLY KG DUMP'!$1:$1,"GL",'TALLY KG DUMP'!132:132)/1000))</f>
        <v/>
      </c>
      <c r="F133" s="21" t="str">
        <f>IF($D133="","",(SUMIF('TALLY KG DUMP'!$1:$1,'ACH CALC'!F$2,'TALLY KG DUMP'!132:132)/1000))</f>
        <v/>
      </c>
      <c r="G133" s="21" t="str">
        <f>IF($D133="","",SUMIF('TALLY BOX DUMP'!$1:$1,'ACH CALC'!G$2,'TALLY BOX DUMP'!132:132)+Y133)</f>
        <v/>
      </c>
      <c r="H133" s="21" t="str">
        <f t="shared" ref="H133:H196" si="6">IF($D133="","",SUM(I133:N133))</f>
        <v/>
      </c>
      <c r="I133" s="21" t="str">
        <f>IF($D133="","",SUMIF('TALLY BOX DUMP'!$1:$1,'ACH CALC'!I$2,'TALLY BOX DUMP'!132:132)+AA133)</f>
        <v/>
      </c>
      <c r="J133" s="21" t="str">
        <f>IF($D133="","",SUMIF('TALLY BOX DUMP'!$1:$1,'ACH CALC'!J$2,'TALLY BOX DUMP'!132:132)+AB133)</f>
        <v/>
      </c>
      <c r="K133" s="21" t="str">
        <f>IF($D133="","",SUMIF('TALLY BOX DUMP'!$1:$1,'ACH CALC'!K$2,'TALLY BOX DUMP'!132:132)+AC133)</f>
        <v/>
      </c>
      <c r="L133" s="21" t="str">
        <f>IF($D133="","",SUMIF('TALLY BOX DUMP'!$1:$1,'ACH CALC'!L$2,'TALLY BOX DUMP'!132:132))</f>
        <v/>
      </c>
      <c r="M133" s="21" t="str">
        <f>IF($D133="","",SUMIF('TALLY BOX DUMP'!$1:$1,'ACH CALC'!M$2,'TALLY BOX DUMP'!132:132)+AD133)</f>
        <v/>
      </c>
      <c r="N133" s="21" t="str">
        <f>IF($D133="","",SUMIF('TALLY BOX DUMP'!$1:$1,'ACH CALC'!N$2,'TALLY BOX DUMP'!132:132))</f>
        <v/>
      </c>
      <c r="O133" s="21" t="str">
        <f>IF($D133="","",SUMIF('TALLY BOX DUMP'!$1:$1,'ACH CALC'!O$2,'TALLY BOX DUMP'!132:132))</f>
        <v/>
      </c>
      <c r="P133" s="21" t="str">
        <f>IF($D133="","",SUMIF('TALLY BOX DUMP'!$1:$1,'ACH CALC'!P$2,'TALLY BOX DUMP'!132:132))</f>
        <v/>
      </c>
      <c r="Q133" s="21" t="str">
        <f t="shared" ref="Q133:Q196" si="7">IF($D133="","",SUM(R133:X133))</f>
        <v/>
      </c>
      <c r="R133" s="21" t="str">
        <f>IF($D133="","",SUMIF('TALLY BOX DUMP'!$1:$1,'ACH CALC'!R$2,'TALLY BOX DUMP'!132:132))</f>
        <v/>
      </c>
      <c r="S133" s="21" t="str">
        <f>IF($D133="","",SUMIF('TALLY BOX DUMP'!$1:$1,'ACH CALC'!S$2,'TALLY BOX DUMP'!132:132))</f>
        <v/>
      </c>
      <c r="T133" s="21" t="str">
        <f>IF($D133="","",SUMIF('TALLY BOX DUMP'!$1:$1,'ACH CALC'!T$2,'TALLY BOX DUMP'!132:132))</f>
        <v/>
      </c>
      <c r="U133" s="21" t="str">
        <f>IF($D133="","",SUMIF('TALLY BOX DUMP'!$1:$1,'ACH CALC'!U$2,'TALLY BOX DUMP'!132:132))</f>
        <v/>
      </c>
      <c r="V133" s="21" t="str">
        <f>IF($D133="","",SUMIF('TALLY BOX DUMP'!$1:$1,'ACH CALC'!V$2,'TALLY BOX DUMP'!132:132))</f>
        <v/>
      </c>
      <c r="W133" s="21" t="str">
        <f>IF($D133="","",SUMIF('TALLY BOX DUMP'!$1:$1,'ACH CALC'!W$2,'TALLY BOX DUMP'!132:132))</f>
        <v/>
      </c>
      <c r="X133" s="21" t="str">
        <f>IF($D133="","",SUMIF('TALLY BOX DUMP'!$1:$1,'ACH CALC'!X$2,'TALLY BOX DUMP'!132:132))</f>
        <v/>
      </c>
      <c r="Y133" s="21" t="str">
        <f>IF($D133="","",SUMIF('TALLY BOX DUMP'!$1:$1,'ACH CALC'!Y$2,'TALLY BOX DUMP'!132:132))</f>
        <v/>
      </c>
      <c r="Z133" s="21" t="str">
        <f>IF($D133="","",SUMIF('TALLY BOX DUMP'!$1:$1,'ACH CALC'!Z$2,'TALLY BOX DUMP'!132:132)+AE133)</f>
        <v/>
      </c>
      <c r="AA133" s="21" t="str">
        <f>IF($D133="","",SUMIF('TALLY BOX DUMP'!$1:$1,'ACH CALC'!AA$2,'TALLY BOX DUMP'!132:132))</f>
        <v/>
      </c>
      <c r="AB133" s="21" t="str">
        <f>IF($D133="","",SUMIF('TALLY BOX DUMP'!$1:$1,'ACH CALC'!AB$2,'TALLY BOX DUMP'!132:132))</f>
        <v/>
      </c>
      <c r="AC133" s="21" t="str">
        <f>IF($D133="","",SUMIF('TALLY BOX DUMP'!$1:$1,'ACH CALC'!AC$2,'TALLY BOX DUMP'!132:132))</f>
        <v/>
      </c>
      <c r="AD133" s="21" t="str">
        <f>IF($D133="","",SUMIF('TALLY BOX DUMP'!$1:$1,'ACH CALC'!AD$2,'TALLY BOX DUMP'!132:132))</f>
        <v/>
      </c>
      <c r="AE133" s="21" t="str">
        <f>IF($D133="","",SUMIF('TALLY BOX DUMP'!$1:$1,'ACH CALC'!AE$2,'TALLY BOX DUMP'!132:132))</f>
        <v/>
      </c>
      <c r="AF133" s="21" t="str">
        <f>IF($D133="","",SUMIF('TALLY BOX DUMP'!$1:$1,'ACH CALC'!AF$2,'TALLY BOX DUMP'!132:132))</f>
        <v/>
      </c>
      <c r="AG133" s="21" t="str">
        <f>IF($D133="","",SUMIF('TALLY BOX DUMP'!$1:$1,'ACH CALC'!AG$2,'TALLY BOX DUMP'!132:132))</f>
        <v/>
      </c>
      <c r="AH133" s="21" t="str">
        <f>IF($D133="","",SUMIF('TALLY BOX DUMP'!$1:$1,'ACH CALC'!AH$2,'TALLY BOX DUMP'!132:132))</f>
        <v/>
      </c>
      <c r="AI133" s="21" t="str">
        <f>IF($D133="","",SUMIF('TALLY BOX DUMP'!$1:$1,'ACH CALC'!AI$2,'TALLY BOX DUMP'!132:132))</f>
        <v/>
      </c>
      <c r="AJ133" s="21" t="str">
        <f>IF($D133="","",SUMIF('TALLY BOX DUMP'!$1:$1,'ACH CALC'!AJ$2,'TALLY BOX DUMP'!132:132))</f>
        <v/>
      </c>
      <c r="AK133" s="21" t="str">
        <f>IF($D133="","",SUMIF('TALLY BOX DUMP'!$1:$1,'ACH CALC'!AK$2,'TALLY BOX DUMP'!132:132))</f>
        <v/>
      </c>
      <c r="AL133" s="21" t="str">
        <f>IF($D133="","",ROUND(SUMIF('TALLY KG DUMP'!$1:$1,'ACH CALC'!AL$2,'TALLY KG DUMP'!132:132)/30,1))</f>
        <v/>
      </c>
      <c r="AM133" s="21" t="str">
        <f>IF($D133="","",SUMIF('TALLY BOX DUMP'!$1:$1,'ACH CALC'!AM$2,'TALLY BOX DUMP'!132:132))</f>
        <v/>
      </c>
      <c r="AN133" s="21" t="str">
        <f>IF($D133="","",SUMIF('TALLY BOX DUMP'!$1:$1,'ACH CALC'!AN$2,'TALLY BOX DUMP'!132:132))</f>
        <v/>
      </c>
      <c r="AO133" s="21" t="str">
        <f>IF($D133="","",SUMIF('TALLY BOX DUMP'!$1:$1,'ACH CALC'!AO$2,'TALLY BOX DUMP'!132:132))</f>
        <v/>
      </c>
      <c r="AP133" s="21" t="str">
        <f>IF($D133="","",SUMIF('TALLY BOX DUMP'!$1:$1,'ACH CALC'!AP$2,'TALLY BOX DUMP'!132:132))</f>
        <v/>
      </c>
      <c r="AQ133" s="21" t="str">
        <f>IF($D133="","",ROUND(SUMIF('TALLY KG DUMP'!$1:$1,'ACH CALC'!AQ$2,'TALLY KG DUMP'!132:132)/30,1))</f>
        <v/>
      </c>
      <c r="AR133" s="21" t="str">
        <f>IF($D133="","",SUMIF('TALLY BOX DUMP'!$1:$1,'ACH CALC'!AR$2,'TALLY BOX DUMP'!132:132))</f>
        <v/>
      </c>
      <c r="AS133" s="21" t="str">
        <f>IF($D133="","",SUMIF('TALLY BOX DUMP'!$1:$1,'ACH CALC'!AS$2,'TALLY BOX DUMP'!132:132))</f>
        <v/>
      </c>
      <c r="AT133" s="21" t="str">
        <f>IF($D133="","",SUMIF('TALLY BOX DUMP'!$1:$1,'ACH CALC'!AT$2,'TALLY BOX DUMP'!132:132))</f>
        <v/>
      </c>
      <c r="AU133" s="21" t="str">
        <f>IF($D133="","",SUMIF('TALLY BOX DUMP'!$1:$1,'ACH CALC'!AU$2,'TALLY BOX DUMP'!132:132))</f>
        <v/>
      </c>
      <c r="AV133" s="21" t="str">
        <f>IF($D133="","",SUMIF('TALLY BOX DUMP'!$1:$1,'ACH CALC'!AV$2,'TALLY BOX DUMP'!132:132))</f>
        <v/>
      </c>
      <c r="AW133" s="21" t="str">
        <f>IF($D133="","",SUMIF('TALLY BOX DUMP'!$1:$1,'ACH CALC'!AW$2,'TALLY BOX DUMP'!132:132))</f>
        <v/>
      </c>
      <c r="AX133" s="21" t="str">
        <f>IF($D133="","",SUMIF('TALLY BOX DUMP'!$1:$1,'ACH CALC'!AX$2,'TALLY BOX DUMP'!132:132))</f>
        <v/>
      </c>
      <c r="AY133" s="21" t="str">
        <f>IF($D133="","",SUMIF('TALLY BOX DUMP'!$1:$1,'ACH CALC'!AY$2,'TALLY BOX DUMP'!132:132))</f>
        <v/>
      </c>
      <c r="AZ133" s="21" t="str">
        <f>IF($D133="","",SUMIF('TALLY BOX DUMP'!$1:$1,'ACH CALC'!AZ$2,'TALLY BOX DUMP'!132:132))</f>
        <v/>
      </c>
      <c r="BA133" s="69">
        <f>(SUMIF('TALLY KG DUMP'!$2:$2,"Qty",'TALLY KG DUMP'!132:132)/1000)-(SUMIF('TALLY KG DUMP'!$1:$1,"GL",'TALLY KG DUMP'!132:132)/1000)</f>
        <v>0</v>
      </c>
      <c r="BB133" s="21" t="b">
        <f t="shared" ref="BB133:BB196" si="8">BA133=E133</f>
        <v>0</v>
      </c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</row>
    <row r="134" spans="2:75" x14ac:dyDescent="0.25">
      <c r="B134" s="21"/>
      <c r="C134" s="21"/>
      <c r="D134" s="21"/>
      <c r="E134" s="21" t="str">
        <f>IF($D134="","",(SUMIF('TALLY KG DUMP'!$2:$2,"Qty",'TALLY KG DUMP'!133:133)/1000)-(SUMIF('TALLY KG DUMP'!$1:$1,"GL",'TALLY KG DUMP'!133:133)/1000))</f>
        <v/>
      </c>
      <c r="F134" s="21" t="str">
        <f>IF($D134="","",(SUMIF('TALLY KG DUMP'!$1:$1,'ACH CALC'!F$2,'TALLY KG DUMP'!133:133)/1000))</f>
        <v/>
      </c>
      <c r="G134" s="21" t="str">
        <f>IF($D134="","",SUMIF('TALLY BOX DUMP'!$1:$1,'ACH CALC'!G$2,'TALLY BOX DUMP'!133:133)+Y134)</f>
        <v/>
      </c>
      <c r="H134" s="21" t="str">
        <f t="shared" si="6"/>
        <v/>
      </c>
      <c r="I134" s="21" t="str">
        <f>IF($D134="","",SUMIF('TALLY BOX DUMP'!$1:$1,'ACH CALC'!I$2,'TALLY BOX DUMP'!133:133)+AA134)</f>
        <v/>
      </c>
      <c r="J134" s="21" t="str">
        <f>IF($D134="","",SUMIF('TALLY BOX DUMP'!$1:$1,'ACH CALC'!J$2,'TALLY BOX DUMP'!133:133)+AB134)</f>
        <v/>
      </c>
      <c r="K134" s="21" t="str">
        <f>IF($D134="","",SUMIF('TALLY BOX DUMP'!$1:$1,'ACH CALC'!K$2,'TALLY BOX DUMP'!133:133)+AC134)</f>
        <v/>
      </c>
      <c r="L134" s="21" t="str">
        <f>IF($D134="","",SUMIF('TALLY BOX DUMP'!$1:$1,'ACH CALC'!L$2,'TALLY BOX DUMP'!133:133))</f>
        <v/>
      </c>
      <c r="M134" s="21" t="str">
        <f>IF($D134="","",SUMIF('TALLY BOX DUMP'!$1:$1,'ACH CALC'!M$2,'TALLY BOX DUMP'!133:133)+AD134)</f>
        <v/>
      </c>
      <c r="N134" s="21" t="str">
        <f>IF($D134="","",SUMIF('TALLY BOX DUMP'!$1:$1,'ACH CALC'!N$2,'TALLY BOX DUMP'!133:133))</f>
        <v/>
      </c>
      <c r="O134" s="21" t="str">
        <f>IF($D134="","",SUMIF('TALLY BOX DUMP'!$1:$1,'ACH CALC'!O$2,'TALLY BOX DUMP'!133:133))</f>
        <v/>
      </c>
      <c r="P134" s="21" t="str">
        <f>IF($D134="","",SUMIF('TALLY BOX DUMP'!$1:$1,'ACH CALC'!P$2,'TALLY BOX DUMP'!133:133))</f>
        <v/>
      </c>
      <c r="Q134" s="21" t="str">
        <f t="shared" si="7"/>
        <v/>
      </c>
      <c r="R134" s="21" t="str">
        <f>IF($D134="","",SUMIF('TALLY BOX DUMP'!$1:$1,'ACH CALC'!R$2,'TALLY BOX DUMP'!133:133))</f>
        <v/>
      </c>
      <c r="S134" s="21" t="str">
        <f>IF($D134="","",SUMIF('TALLY BOX DUMP'!$1:$1,'ACH CALC'!S$2,'TALLY BOX DUMP'!133:133))</f>
        <v/>
      </c>
      <c r="T134" s="21" t="str">
        <f>IF($D134="","",SUMIF('TALLY BOX DUMP'!$1:$1,'ACH CALC'!T$2,'TALLY BOX DUMP'!133:133))</f>
        <v/>
      </c>
      <c r="U134" s="21" t="str">
        <f>IF($D134="","",SUMIF('TALLY BOX DUMP'!$1:$1,'ACH CALC'!U$2,'TALLY BOX DUMP'!133:133))</f>
        <v/>
      </c>
      <c r="V134" s="21" t="str">
        <f>IF($D134="","",SUMIF('TALLY BOX DUMP'!$1:$1,'ACH CALC'!V$2,'TALLY BOX DUMP'!133:133))</f>
        <v/>
      </c>
      <c r="W134" s="21" t="str">
        <f>IF($D134="","",SUMIF('TALLY BOX DUMP'!$1:$1,'ACH CALC'!W$2,'TALLY BOX DUMP'!133:133))</f>
        <v/>
      </c>
      <c r="X134" s="21" t="str">
        <f>IF($D134="","",SUMIF('TALLY BOX DUMP'!$1:$1,'ACH CALC'!X$2,'TALLY BOX DUMP'!133:133))</f>
        <v/>
      </c>
      <c r="Y134" s="21" t="str">
        <f>IF($D134="","",SUMIF('TALLY BOX DUMP'!$1:$1,'ACH CALC'!Y$2,'TALLY BOX DUMP'!133:133))</f>
        <v/>
      </c>
      <c r="Z134" s="21" t="str">
        <f>IF($D134="","",SUMIF('TALLY BOX DUMP'!$1:$1,'ACH CALC'!Z$2,'TALLY BOX DUMP'!133:133)+AE134)</f>
        <v/>
      </c>
      <c r="AA134" s="21" t="str">
        <f>IF($D134="","",SUMIF('TALLY BOX DUMP'!$1:$1,'ACH CALC'!AA$2,'TALLY BOX DUMP'!133:133))</f>
        <v/>
      </c>
      <c r="AB134" s="21" t="str">
        <f>IF($D134="","",SUMIF('TALLY BOX DUMP'!$1:$1,'ACH CALC'!AB$2,'TALLY BOX DUMP'!133:133))</f>
        <v/>
      </c>
      <c r="AC134" s="21" t="str">
        <f>IF($D134="","",SUMIF('TALLY BOX DUMP'!$1:$1,'ACH CALC'!AC$2,'TALLY BOX DUMP'!133:133))</f>
        <v/>
      </c>
      <c r="AD134" s="21" t="str">
        <f>IF($D134="","",SUMIF('TALLY BOX DUMP'!$1:$1,'ACH CALC'!AD$2,'TALLY BOX DUMP'!133:133))</f>
        <v/>
      </c>
      <c r="AE134" s="21" t="str">
        <f>IF($D134="","",SUMIF('TALLY BOX DUMP'!$1:$1,'ACH CALC'!AE$2,'TALLY BOX DUMP'!133:133))</f>
        <v/>
      </c>
      <c r="AF134" s="21" t="str">
        <f>IF($D134="","",SUMIF('TALLY BOX DUMP'!$1:$1,'ACH CALC'!AF$2,'TALLY BOX DUMP'!133:133))</f>
        <v/>
      </c>
      <c r="AG134" s="21" t="str">
        <f>IF($D134="","",SUMIF('TALLY BOX DUMP'!$1:$1,'ACH CALC'!AG$2,'TALLY BOX DUMP'!133:133))</f>
        <v/>
      </c>
      <c r="AH134" s="21" t="str">
        <f>IF($D134="","",SUMIF('TALLY BOX DUMP'!$1:$1,'ACH CALC'!AH$2,'TALLY BOX DUMP'!133:133))</f>
        <v/>
      </c>
      <c r="AI134" s="21" t="str">
        <f>IF($D134="","",SUMIF('TALLY BOX DUMP'!$1:$1,'ACH CALC'!AI$2,'TALLY BOX DUMP'!133:133))</f>
        <v/>
      </c>
      <c r="AJ134" s="21" t="str">
        <f>IF($D134="","",SUMIF('TALLY BOX DUMP'!$1:$1,'ACH CALC'!AJ$2,'TALLY BOX DUMP'!133:133))</f>
        <v/>
      </c>
      <c r="AK134" s="21" t="str">
        <f>IF($D134="","",SUMIF('TALLY BOX DUMP'!$1:$1,'ACH CALC'!AK$2,'TALLY BOX DUMP'!133:133))</f>
        <v/>
      </c>
      <c r="AL134" s="21" t="str">
        <f>IF($D134="","",ROUND(SUMIF('TALLY KG DUMP'!$1:$1,'ACH CALC'!AL$2,'TALLY KG DUMP'!133:133)/30,1))</f>
        <v/>
      </c>
      <c r="AM134" s="21" t="str">
        <f>IF($D134="","",SUMIF('TALLY BOX DUMP'!$1:$1,'ACH CALC'!AM$2,'TALLY BOX DUMP'!133:133))</f>
        <v/>
      </c>
      <c r="AN134" s="21" t="str">
        <f>IF($D134="","",SUMIF('TALLY BOX DUMP'!$1:$1,'ACH CALC'!AN$2,'TALLY BOX DUMP'!133:133))</f>
        <v/>
      </c>
      <c r="AO134" s="21" t="str">
        <f>IF($D134="","",SUMIF('TALLY BOX DUMP'!$1:$1,'ACH CALC'!AO$2,'TALLY BOX DUMP'!133:133))</f>
        <v/>
      </c>
      <c r="AP134" s="21" t="str">
        <f>IF($D134="","",SUMIF('TALLY BOX DUMP'!$1:$1,'ACH CALC'!AP$2,'TALLY BOX DUMP'!133:133))</f>
        <v/>
      </c>
      <c r="AQ134" s="21" t="str">
        <f>IF($D134="","",ROUND(SUMIF('TALLY KG DUMP'!$1:$1,'ACH CALC'!AQ$2,'TALLY KG DUMP'!133:133)/30,1))</f>
        <v/>
      </c>
      <c r="AR134" s="21" t="str">
        <f>IF($D134="","",SUMIF('TALLY BOX DUMP'!$1:$1,'ACH CALC'!AR$2,'TALLY BOX DUMP'!133:133))</f>
        <v/>
      </c>
      <c r="AS134" s="21" t="str">
        <f>IF($D134="","",SUMIF('TALLY BOX DUMP'!$1:$1,'ACH CALC'!AS$2,'TALLY BOX DUMP'!133:133))</f>
        <v/>
      </c>
      <c r="AT134" s="21" t="str">
        <f>IF($D134="","",SUMIF('TALLY BOX DUMP'!$1:$1,'ACH CALC'!AT$2,'TALLY BOX DUMP'!133:133))</f>
        <v/>
      </c>
      <c r="AU134" s="21" t="str">
        <f>IF($D134="","",SUMIF('TALLY BOX DUMP'!$1:$1,'ACH CALC'!AU$2,'TALLY BOX DUMP'!133:133))</f>
        <v/>
      </c>
      <c r="AV134" s="21" t="str">
        <f>IF($D134="","",SUMIF('TALLY BOX DUMP'!$1:$1,'ACH CALC'!AV$2,'TALLY BOX DUMP'!133:133))</f>
        <v/>
      </c>
      <c r="AW134" s="21" t="str">
        <f>IF($D134="","",SUMIF('TALLY BOX DUMP'!$1:$1,'ACH CALC'!AW$2,'TALLY BOX DUMP'!133:133))</f>
        <v/>
      </c>
      <c r="AX134" s="21" t="str">
        <f>IF($D134="","",SUMIF('TALLY BOX DUMP'!$1:$1,'ACH CALC'!AX$2,'TALLY BOX DUMP'!133:133))</f>
        <v/>
      </c>
      <c r="AY134" s="21" t="str">
        <f>IF($D134="","",SUMIF('TALLY BOX DUMP'!$1:$1,'ACH CALC'!AY$2,'TALLY BOX DUMP'!133:133))</f>
        <v/>
      </c>
      <c r="AZ134" s="21" t="str">
        <f>IF($D134="","",SUMIF('TALLY BOX DUMP'!$1:$1,'ACH CALC'!AZ$2,'TALLY BOX DUMP'!133:133))</f>
        <v/>
      </c>
      <c r="BA134" s="69">
        <f>(SUMIF('TALLY KG DUMP'!$2:$2,"Qty",'TALLY KG DUMP'!133:133)/1000)-(SUMIF('TALLY KG DUMP'!$1:$1,"GL",'TALLY KG DUMP'!133:133)/1000)</f>
        <v>0</v>
      </c>
      <c r="BB134" s="21" t="b">
        <f t="shared" si="8"/>
        <v>0</v>
      </c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</row>
    <row r="135" spans="2:75" x14ac:dyDescent="0.25">
      <c r="B135" s="21"/>
      <c r="C135" s="21"/>
      <c r="D135" s="21"/>
      <c r="E135" s="21" t="str">
        <f>IF($D135="","",(SUMIF('TALLY KG DUMP'!$2:$2,"Qty",'TALLY KG DUMP'!134:134)/1000)-(SUMIF('TALLY KG DUMP'!$1:$1,"GL",'TALLY KG DUMP'!134:134)/1000))</f>
        <v/>
      </c>
      <c r="F135" s="21" t="str">
        <f>IF($D135="","",(SUMIF('TALLY KG DUMP'!$1:$1,'ACH CALC'!F$2,'TALLY KG DUMP'!134:134)/1000))</f>
        <v/>
      </c>
      <c r="G135" s="21" t="str">
        <f>IF($D135="","",SUMIF('TALLY BOX DUMP'!$1:$1,'ACH CALC'!G$2,'TALLY BOX DUMP'!134:134)+Y135)</f>
        <v/>
      </c>
      <c r="H135" s="21" t="str">
        <f t="shared" si="6"/>
        <v/>
      </c>
      <c r="I135" s="21" t="str">
        <f>IF($D135="","",SUMIF('TALLY BOX DUMP'!$1:$1,'ACH CALC'!I$2,'TALLY BOX DUMP'!134:134)+AA135)</f>
        <v/>
      </c>
      <c r="J135" s="21" t="str">
        <f>IF($D135="","",SUMIF('TALLY BOX DUMP'!$1:$1,'ACH CALC'!J$2,'TALLY BOX DUMP'!134:134)+AB135)</f>
        <v/>
      </c>
      <c r="K135" s="21" t="str">
        <f>IF($D135="","",SUMIF('TALLY BOX DUMP'!$1:$1,'ACH CALC'!K$2,'TALLY BOX DUMP'!134:134)+AC135)</f>
        <v/>
      </c>
      <c r="L135" s="21" t="str">
        <f>IF($D135="","",SUMIF('TALLY BOX DUMP'!$1:$1,'ACH CALC'!L$2,'TALLY BOX DUMP'!134:134))</f>
        <v/>
      </c>
      <c r="M135" s="21" t="str">
        <f>IF($D135="","",SUMIF('TALLY BOX DUMP'!$1:$1,'ACH CALC'!M$2,'TALLY BOX DUMP'!134:134)+AD135)</f>
        <v/>
      </c>
      <c r="N135" s="21" t="str">
        <f>IF($D135="","",SUMIF('TALLY BOX DUMP'!$1:$1,'ACH CALC'!N$2,'TALLY BOX DUMP'!134:134))</f>
        <v/>
      </c>
      <c r="O135" s="21" t="str">
        <f>IF($D135="","",SUMIF('TALLY BOX DUMP'!$1:$1,'ACH CALC'!O$2,'TALLY BOX DUMP'!134:134))</f>
        <v/>
      </c>
      <c r="P135" s="21" t="str">
        <f>IF($D135="","",SUMIF('TALLY BOX DUMP'!$1:$1,'ACH CALC'!P$2,'TALLY BOX DUMP'!134:134))</f>
        <v/>
      </c>
      <c r="Q135" s="21" t="str">
        <f t="shared" si="7"/>
        <v/>
      </c>
      <c r="R135" s="21" t="str">
        <f>IF($D135="","",SUMIF('TALLY BOX DUMP'!$1:$1,'ACH CALC'!R$2,'TALLY BOX DUMP'!134:134))</f>
        <v/>
      </c>
      <c r="S135" s="21" t="str">
        <f>IF($D135="","",SUMIF('TALLY BOX DUMP'!$1:$1,'ACH CALC'!S$2,'TALLY BOX DUMP'!134:134))</f>
        <v/>
      </c>
      <c r="T135" s="21" t="str">
        <f>IF($D135="","",SUMIF('TALLY BOX DUMP'!$1:$1,'ACH CALC'!T$2,'TALLY BOX DUMP'!134:134))</f>
        <v/>
      </c>
      <c r="U135" s="21" t="str">
        <f>IF($D135="","",SUMIF('TALLY BOX DUMP'!$1:$1,'ACH CALC'!U$2,'TALLY BOX DUMP'!134:134))</f>
        <v/>
      </c>
      <c r="V135" s="21" t="str">
        <f>IF($D135="","",SUMIF('TALLY BOX DUMP'!$1:$1,'ACH CALC'!V$2,'TALLY BOX DUMP'!134:134))</f>
        <v/>
      </c>
      <c r="W135" s="21" t="str">
        <f>IF($D135="","",SUMIF('TALLY BOX DUMP'!$1:$1,'ACH CALC'!W$2,'TALLY BOX DUMP'!134:134))</f>
        <v/>
      </c>
      <c r="X135" s="21" t="str">
        <f>IF($D135="","",SUMIF('TALLY BOX DUMP'!$1:$1,'ACH CALC'!X$2,'TALLY BOX DUMP'!134:134))</f>
        <v/>
      </c>
      <c r="Y135" s="21" t="str">
        <f>IF($D135="","",SUMIF('TALLY BOX DUMP'!$1:$1,'ACH CALC'!Y$2,'TALLY BOX DUMP'!134:134))</f>
        <v/>
      </c>
      <c r="Z135" s="21" t="str">
        <f>IF($D135="","",SUMIF('TALLY BOX DUMP'!$1:$1,'ACH CALC'!Z$2,'TALLY BOX DUMP'!134:134)+AE135)</f>
        <v/>
      </c>
      <c r="AA135" s="21" t="str">
        <f>IF($D135="","",SUMIF('TALLY BOX DUMP'!$1:$1,'ACH CALC'!AA$2,'TALLY BOX DUMP'!134:134))</f>
        <v/>
      </c>
      <c r="AB135" s="21" t="str">
        <f>IF($D135="","",SUMIF('TALLY BOX DUMP'!$1:$1,'ACH CALC'!AB$2,'TALLY BOX DUMP'!134:134))</f>
        <v/>
      </c>
      <c r="AC135" s="21" t="str">
        <f>IF($D135="","",SUMIF('TALLY BOX DUMP'!$1:$1,'ACH CALC'!AC$2,'TALLY BOX DUMP'!134:134))</f>
        <v/>
      </c>
      <c r="AD135" s="21" t="str">
        <f>IF($D135="","",SUMIF('TALLY BOX DUMP'!$1:$1,'ACH CALC'!AD$2,'TALLY BOX DUMP'!134:134))</f>
        <v/>
      </c>
      <c r="AE135" s="21" t="str">
        <f>IF($D135="","",SUMIF('TALLY BOX DUMP'!$1:$1,'ACH CALC'!AE$2,'TALLY BOX DUMP'!134:134))</f>
        <v/>
      </c>
      <c r="AF135" s="21" t="str">
        <f>IF($D135="","",SUMIF('TALLY BOX DUMP'!$1:$1,'ACH CALC'!AF$2,'TALLY BOX DUMP'!134:134))</f>
        <v/>
      </c>
      <c r="AG135" s="21" t="str">
        <f>IF($D135="","",SUMIF('TALLY BOX DUMP'!$1:$1,'ACH CALC'!AG$2,'TALLY BOX DUMP'!134:134))</f>
        <v/>
      </c>
      <c r="AH135" s="21" t="str">
        <f>IF($D135="","",SUMIF('TALLY BOX DUMP'!$1:$1,'ACH CALC'!AH$2,'TALLY BOX DUMP'!134:134))</f>
        <v/>
      </c>
      <c r="AI135" s="21" t="str">
        <f>IF($D135="","",SUMIF('TALLY BOX DUMP'!$1:$1,'ACH CALC'!AI$2,'TALLY BOX DUMP'!134:134))</f>
        <v/>
      </c>
      <c r="AJ135" s="21" t="str">
        <f>IF($D135="","",SUMIF('TALLY BOX DUMP'!$1:$1,'ACH CALC'!AJ$2,'TALLY BOX DUMP'!134:134))</f>
        <v/>
      </c>
      <c r="AK135" s="21" t="str">
        <f>IF($D135="","",SUMIF('TALLY BOX DUMP'!$1:$1,'ACH CALC'!AK$2,'TALLY BOX DUMP'!134:134))</f>
        <v/>
      </c>
      <c r="AL135" s="21" t="str">
        <f>IF($D135="","",ROUND(SUMIF('TALLY KG DUMP'!$1:$1,'ACH CALC'!AL$2,'TALLY KG DUMP'!134:134)/30,1))</f>
        <v/>
      </c>
      <c r="AM135" s="21" t="str">
        <f>IF($D135="","",SUMIF('TALLY BOX DUMP'!$1:$1,'ACH CALC'!AM$2,'TALLY BOX DUMP'!134:134))</f>
        <v/>
      </c>
      <c r="AN135" s="21" t="str">
        <f>IF($D135="","",SUMIF('TALLY BOX DUMP'!$1:$1,'ACH CALC'!AN$2,'TALLY BOX DUMP'!134:134))</f>
        <v/>
      </c>
      <c r="AO135" s="21" t="str">
        <f>IF($D135="","",SUMIF('TALLY BOX DUMP'!$1:$1,'ACH CALC'!AO$2,'TALLY BOX DUMP'!134:134))</f>
        <v/>
      </c>
      <c r="AP135" s="21" t="str">
        <f>IF($D135="","",SUMIF('TALLY BOX DUMP'!$1:$1,'ACH CALC'!AP$2,'TALLY BOX DUMP'!134:134))</f>
        <v/>
      </c>
      <c r="AQ135" s="21" t="str">
        <f>IF($D135="","",ROUND(SUMIF('TALLY KG DUMP'!$1:$1,'ACH CALC'!AQ$2,'TALLY KG DUMP'!134:134)/30,1))</f>
        <v/>
      </c>
      <c r="AR135" s="21" t="str">
        <f>IF($D135="","",SUMIF('TALLY BOX DUMP'!$1:$1,'ACH CALC'!AR$2,'TALLY BOX DUMP'!134:134))</f>
        <v/>
      </c>
      <c r="AS135" s="21" t="str">
        <f>IF($D135="","",SUMIF('TALLY BOX DUMP'!$1:$1,'ACH CALC'!AS$2,'TALLY BOX DUMP'!134:134))</f>
        <v/>
      </c>
      <c r="AT135" s="21" t="str">
        <f>IF($D135="","",SUMIF('TALLY BOX DUMP'!$1:$1,'ACH CALC'!AT$2,'TALLY BOX DUMP'!134:134))</f>
        <v/>
      </c>
      <c r="AU135" s="21" t="str">
        <f>IF($D135="","",SUMIF('TALLY BOX DUMP'!$1:$1,'ACH CALC'!AU$2,'TALLY BOX DUMP'!134:134))</f>
        <v/>
      </c>
      <c r="AV135" s="21" t="str">
        <f>IF($D135="","",SUMIF('TALLY BOX DUMP'!$1:$1,'ACH CALC'!AV$2,'TALLY BOX DUMP'!134:134))</f>
        <v/>
      </c>
      <c r="AW135" s="21" t="str">
        <f>IF($D135="","",SUMIF('TALLY BOX DUMP'!$1:$1,'ACH CALC'!AW$2,'TALLY BOX DUMP'!134:134))</f>
        <v/>
      </c>
      <c r="AX135" s="21" t="str">
        <f>IF($D135="","",SUMIF('TALLY BOX DUMP'!$1:$1,'ACH CALC'!AX$2,'TALLY BOX DUMP'!134:134))</f>
        <v/>
      </c>
      <c r="AY135" s="21" t="str">
        <f>IF($D135="","",SUMIF('TALLY BOX DUMP'!$1:$1,'ACH CALC'!AY$2,'TALLY BOX DUMP'!134:134))</f>
        <v/>
      </c>
      <c r="AZ135" s="21" t="str">
        <f>IF($D135="","",SUMIF('TALLY BOX DUMP'!$1:$1,'ACH CALC'!AZ$2,'TALLY BOX DUMP'!134:134))</f>
        <v/>
      </c>
      <c r="BA135" s="69">
        <f>(SUMIF('TALLY KG DUMP'!$2:$2,"Qty",'TALLY KG DUMP'!134:134)/1000)-(SUMIF('TALLY KG DUMP'!$1:$1,"GL",'TALLY KG DUMP'!134:134)/1000)</f>
        <v>0</v>
      </c>
      <c r="BB135" s="21" t="b">
        <f t="shared" si="8"/>
        <v>0</v>
      </c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</row>
    <row r="136" spans="2:75" x14ac:dyDescent="0.25">
      <c r="B136" s="21"/>
      <c r="C136" s="21"/>
      <c r="D136" s="21"/>
      <c r="E136" s="21" t="str">
        <f>IF($D136="","",(SUMIF('TALLY KG DUMP'!$2:$2,"Qty",'TALLY KG DUMP'!135:135)/1000)-(SUMIF('TALLY KG DUMP'!$1:$1,"GL",'TALLY KG DUMP'!135:135)/1000))</f>
        <v/>
      </c>
      <c r="F136" s="21" t="str">
        <f>IF($D136="","",(SUMIF('TALLY KG DUMP'!$1:$1,'ACH CALC'!F$2,'TALLY KG DUMP'!135:135)/1000))</f>
        <v/>
      </c>
      <c r="G136" s="21" t="str">
        <f>IF($D136="","",SUMIF('TALLY BOX DUMP'!$1:$1,'ACH CALC'!G$2,'TALLY BOX DUMP'!135:135)+Y136)</f>
        <v/>
      </c>
      <c r="H136" s="21" t="str">
        <f t="shared" si="6"/>
        <v/>
      </c>
      <c r="I136" s="21" t="str">
        <f>IF($D136="","",SUMIF('TALLY BOX DUMP'!$1:$1,'ACH CALC'!I$2,'TALLY BOX DUMP'!135:135)+AA136)</f>
        <v/>
      </c>
      <c r="J136" s="21" t="str">
        <f>IF($D136="","",SUMIF('TALLY BOX DUMP'!$1:$1,'ACH CALC'!J$2,'TALLY BOX DUMP'!135:135)+AB136)</f>
        <v/>
      </c>
      <c r="K136" s="21" t="str">
        <f>IF($D136="","",SUMIF('TALLY BOX DUMP'!$1:$1,'ACH CALC'!K$2,'TALLY BOX DUMP'!135:135)+AC136)</f>
        <v/>
      </c>
      <c r="L136" s="21" t="str">
        <f>IF($D136="","",SUMIF('TALLY BOX DUMP'!$1:$1,'ACH CALC'!L$2,'TALLY BOX DUMP'!135:135))</f>
        <v/>
      </c>
      <c r="M136" s="21" t="str">
        <f>IF($D136="","",SUMIF('TALLY BOX DUMP'!$1:$1,'ACH CALC'!M$2,'TALLY BOX DUMP'!135:135)+AD136)</f>
        <v/>
      </c>
      <c r="N136" s="21" t="str">
        <f>IF($D136="","",SUMIF('TALLY BOX DUMP'!$1:$1,'ACH CALC'!N$2,'TALLY BOX DUMP'!135:135))</f>
        <v/>
      </c>
      <c r="O136" s="21" t="str">
        <f>IF($D136="","",SUMIF('TALLY BOX DUMP'!$1:$1,'ACH CALC'!O$2,'TALLY BOX DUMP'!135:135))</f>
        <v/>
      </c>
      <c r="P136" s="21" t="str">
        <f>IF($D136="","",SUMIF('TALLY BOX DUMP'!$1:$1,'ACH CALC'!P$2,'TALLY BOX DUMP'!135:135))</f>
        <v/>
      </c>
      <c r="Q136" s="21" t="str">
        <f t="shared" si="7"/>
        <v/>
      </c>
      <c r="R136" s="21" t="str">
        <f>IF($D136="","",SUMIF('TALLY BOX DUMP'!$1:$1,'ACH CALC'!R$2,'TALLY BOX DUMP'!135:135))</f>
        <v/>
      </c>
      <c r="S136" s="21" t="str">
        <f>IF($D136="","",SUMIF('TALLY BOX DUMP'!$1:$1,'ACH CALC'!S$2,'TALLY BOX DUMP'!135:135))</f>
        <v/>
      </c>
      <c r="T136" s="21" t="str">
        <f>IF($D136="","",SUMIF('TALLY BOX DUMP'!$1:$1,'ACH CALC'!T$2,'TALLY BOX DUMP'!135:135))</f>
        <v/>
      </c>
      <c r="U136" s="21" t="str">
        <f>IF($D136="","",SUMIF('TALLY BOX DUMP'!$1:$1,'ACH CALC'!U$2,'TALLY BOX DUMP'!135:135))</f>
        <v/>
      </c>
      <c r="V136" s="21" t="str">
        <f>IF($D136="","",SUMIF('TALLY BOX DUMP'!$1:$1,'ACH CALC'!V$2,'TALLY BOX DUMP'!135:135))</f>
        <v/>
      </c>
      <c r="W136" s="21" t="str">
        <f>IF($D136="","",SUMIF('TALLY BOX DUMP'!$1:$1,'ACH CALC'!W$2,'TALLY BOX DUMP'!135:135))</f>
        <v/>
      </c>
      <c r="X136" s="21" t="str">
        <f>IF($D136="","",SUMIF('TALLY BOX DUMP'!$1:$1,'ACH CALC'!X$2,'TALLY BOX DUMP'!135:135))</f>
        <v/>
      </c>
      <c r="Y136" s="21" t="str">
        <f>IF($D136="","",SUMIF('TALLY BOX DUMP'!$1:$1,'ACH CALC'!Y$2,'TALLY BOX DUMP'!135:135))</f>
        <v/>
      </c>
      <c r="Z136" s="21" t="str">
        <f>IF($D136="","",SUMIF('TALLY BOX DUMP'!$1:$1,'ACH CALC'!Z$2,'TALLY BOX DUMP'!135:135)+AE136)</f>
        <v/>
      </c>
      <c r="AA136" s="21" t="str">
        <f>IF($D136="","",SUMIF('TALLY BOX DUMP'!$1:$1,'ACH CALC'!AA$2,'TALLY BOX DUMP'!135:135))</f>
        <v/>
      </c>
      <c r="AB136" s="21" t="str">
        <f>IF($D136="","",SUMIF('TALLY BOX DUMP'!$1:$1,'ACH CALC'!AB$2,'TALLY BOX DUMP'!135:135))</f>
        <v/>
      </c>
      <c r="AC136" s="21" t="str">
        <f>IF($D136="","",SUMIF('TALLY BOX DUMP'!$1:$1,'ACH CALC'!AC$2,'TALLY BOX DUMP'!135:135))</f>
        <v/>
      </c>
      <c r="AD136" s="21" t="str">
        <f>IF($D136="","",SUMIF('TALLY BOX DUMP'!$1:$1,'ACH CALC'!AD$2,'TALLY BOX DUMP'!135:135))</f>
        <v/>
      </c>
      <c r="AE136" s="21" t="str">
        <f>IF($D136="","",SUMIF('TALLY BOX DUMP'!$1:$1,'ACH CALC'!AE$2,'TALLY BOX DUMP'!135:135))</f>
        <v/>
      </c>
      <c r="AF136" s="21" t="str">
        <f>IF($D136="","",SUMIF('TALLY BOX DUMP'!$1:$1,'ACH CALC'!AF$2,'TALLY BOX DUMP'!135:135))</f>
        <v/>
      </c>
      <c r="AG136" s="21" t="str">
        <f>IF($D136="","",SUMIF('TALLY BOX DUMP'!$1:$1,'ACH CALC'!AG$2,'TALLY BOX DUMP'!135:135))</f>
        <v/>
      </c>
      <c r="AH136" s="21" t="str">
        <f>IF($D136="","",SUMIF('TALLY BOX DUMP'!$1:$1,'ACH CALC'!AH$2,'TALLY BOX DUMP'!135:135))</f>
        <v/>
      </c>
      <c r="AI136" s="21" t="str">
        <f>IF($D136="","",SUMIF('TALLY BOX DUMP'!$1:$1,'ACH CALC'!AI$2,'TALLY BOX DUMP'!135:135))</f>
        <v/>
      </c>
      <c r="AJ136" s="21" t="str">
        <f>IF($D136="","",SUMIF('TALLY BOX DUMP'!$1:$1,'ACH CALC'!AJ$2,'TALLY BOX DUMP'!135:135))</f>
        <v/>
      </c>
      <c r="AK136" s="21" t="str">
        <f>IF($D136="","",SUMIF('TALLY BOX DUMP'!$1:$1,'ACH CALC'!AK$2,'TALLY BOX DUMP'!135:135))</f>
        <v/>
      </c>
      <c r="AL136" s="21" t="str">
        <f>IF($D136="","",ROUND(SUMIF('TALLY KG DUMP'!$1:$1,'ACH CALC'!AL$2,'TALLY KG DUMP'!135:135)/30,1))</f>
        <v/>
      </c>
      <c r="AM136" s="21" t="str">
        <f>IF($D136="","",SUMIF('TALLY BOX DUMP'!$1:$1,'ACH CALC'!AM$2,'TALLY BOX DUMP'!135:135))</f>
        <v/>
      </c>
      <c r="AN136" s="21" t="str">
        <f>IF($D136="","",SUMIF('TALLY BOX DUMP'!$1:$1,'ACH CALC'!AN$2,'TALLY BOX DUMP'!135:135))</f>
        <v/>
      </c>
      <c r="AO136" s="21" t="str">
        <f>IF($D136="","",SUMIF('TALLY BOX DUMP'!$1:$1,'ACH CALC'!AO$2,'TALLY BOX DUMP'!135:135))</f>
        <v/>
      </c>
      <c r="AP136" s="21" t="str">
        <f>IF($D136="","",SUMIF('TALLY BOX DUMP'!$1:$1,'ACH CALC'!AP$2,'TALLY BOX DUMP'!135:135))</f>
        <v/>
      </c>
      <c r="AQ136" s="21" t="str">
        <f>IF($D136="","",ROUND(SUMIF('TALLY KG DUMP'!$1:$1,'ACH CALC'!AQ$2,'TALLY KG DUMP'!135:135)/30,1))</f>
        <v/>
      </c>
      <c r="AR136" s="21" t="str">
        <f>IF($D136="","",SUMIF('TALLY BOX DUMP'!$1:$1,'ACH CALC'!AR$2,'TALLY BOX DUMP'!135:135))</f>
        <v/>
      </c>
      <c r="AS136" s="21" t="str">
        <f>IF($D136="","",SUMIF('TALLY BOX DUMP'!$1:$1,'ACH CALC'!AS$2,'TALLY BOX DUMP'!135:135))</f>
        <v/>
      </c>
      <c r="AT136" s="21" t="str">
        <f>IF($D136="","",SUMIF('TALLY BOX DUMP'!$1:$1,'ACH CALC'!AT$2,'TALLY BOX DUMP'!135:135))</f>
        <v/>
      </c>
      <c r="AU136" s="21" t="str">
        <f>IF($D136="","",SUMIF('TALLY BOX DUMP'!$1:$1,'ACH CALC'!AU$2,'TALLY BOX DUMP'!135:135))</f>
        <v/>
      </c>
      <c r="AV136" s="21" t="str">
        <f>IF($D136="","",SUMIF('TALLY BOX DUMP'!$1:$1,'ACH CALC'!AV$2,'TALLY BOX DUMP'!135:135))</f>
        <v/>
      </c>
      <c r="AW136" s="21" t="str">
        <f>IF($D136="","",SUMIF('TALLY BOX DUMP'!$1:$1,'ACH CALC'!AW$2,'TALLY BOX DUMP'!135:135))</f>
        <v/>
      </c>
      <c r="AX136" s="21" t="str">
        <f>IF($D136="","",SUMIF('TALLY BOX DUMP'!$1:$1,'ACH CALC'!AX$2,'TALLY BOX DUMP'!135:135))</f>
        <v/>
      </c>
      <c r="AY136" s="21" t="str">
        <f>IF($D136="","",SUMIF('TALLY BOX DUMP'!$1:$1,'ACH CALC'!AY$2,'TALLY BOX DUMP'!135:135))</f>
        <v/>
      </c>
      <c r="AZ136" s="21" t="str">
        <f>IF($D136="","",SUMIF('TALLY BOX DUMP'!$1:$1,'ACH CALC'!AZ$2,'TALLY BOX DUMP'!135:135))</f>
        <v/>
      </c>
      <c r="BA136" s="69">
        <f>(SUMIF('TALLY KG DUMP'!$2:$2,"Qty",'TALLY KG DUMP'!135:135)/1000)-(SUMIF('TALLY KG DUMP'!$1:$1,"GL",'TALLY KG DUMP'!135:135)/1000)</f>
        <v>0</v>
      </c>
      <c r="BB136" s="21" t="b">
        <f t="shared" si="8"/>
        <v>0</v>
      </c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</row>
    <row r="137" spans="2:75" x14ac:dyDescent="0.25">
      <c r="B137" s="21"/>
      <c r="C137" s="21"/>
      <c r="D137" s="21"/>
      <c r="E137" s="21" t="str">
        <f>IF($D137="","",(SUMIF('TALLY KG DUMP'!$2:$2,"Qty",'TALLY KG DUMP'!136:136)/1000)-(SUMIF('TALLY KG DUMP'!$1:$1,"GL",'TALLY KG DUMP'!136:136)/1000))</f>
        <v/>
      </c>
      <c r="F137" s="21" t="str">
        <f>IF($D137="","",(SUMIF('TALLY KG DUMP'!$1:$1,'ACH CALC'!F$2,'TALLY KG DUMP'!136:136)/1000))</f>
        <v/>
      </c>
      <c r="G137" s="21" t="str">
        <f>IF($D137="","",SUMIF('TALLY BOX DUMP'!$1:$1,'ACH CALC'!G$2,'TALLY BOX DUMP'!136:136)+Y137)</f>
        <v/>
      </c>
      <c r="H137" s="21" t="str">
        <f t="shared" si="6"/>
        <v/>
      </c>
      <c r="I137" s="21" t="str">
        <f>IF($D137="","",SUMIF('TALLY BOX DUMP'!$1:$1,'ACH CALC'!I$2,'TALLY BOX DUMP'!136:136)+AA137)</f>
        <v/>
      </c>
      <c r="J137" s="21" t="str">
        <f>IF($D137="","",SUMIF('TALLY BOX DUMP'!$1:$1,'ACH CALC'!J$2,'TALLY BOX DUMP'!136:136)+AB137)</f>
        <v/>
      </c>
      <c r="K137" s="21" t="str">
        <f>IF($D137="","",SUMIF('TALLY BOX DUMP'!$1:$1,'ACH CALC'!K$2,'TALLY BOX DUMP'!136:136)+AC137)</f>
        <v/>
      </c>
      <c r="L137" s="21" t="str">
        <f>IF($D137="","",SUMIF('TALLY BOX DUMP'!$1:$1,'ACH CALC'!L$2,'TALLY BOX DUMP'!136:136))</f>
        <v/>
      </c>
      <c r="M137" s="21" t="str">
        <f>IF($D137="","",SUMIF('TALLY BOX DUMP'!$1:$1,'ACH CALC'!M$2,'TALLY BOX DUMP'!136:136)+AD137)</f>
        <v/>
      </c>
      <c r="N137" s="21" t="str">
        <f>IF($D137="","",SUMIF('TALLY BOX DUMP'!$1:$1,'ACH CALC'!N$2,'TALLY BOX DUMP'!136:136))</f>
        <v/>
      </c>
      <c r="O137" s="21" t="str">
        <f>IF($D137="","",SUMIF('TALLY BOX DUMP'!$1:$1,'ACH CALC'!O$2,'TALLY BOX DUMP'!136:136))</f>
        <v/>
      </c>
      <c r="P137" s="21" t="str">
        <f>IF($D137="","",SUMIF('TALLY BOX DUMP'!$1:$1,'ACH CALC'!P$2,'TALLY BOX DUMP'!136:136))</f>
        <v/>
      </c>
      <c r="Q137" s="21" t="str">
        <f t="shared" si="7"/>
        <v/>
      </c>
      <c r="R137" s="21" t="str">
        <f>IF($D137="","",SUMIF('TALLY BOX DUMP'!$1:$1,'ACH CALC'!R$2,'TALLY BOX DUMP'!136:136))</f>
        <v/>
      </c>
      <c r="S137" s="21" t="str">
        <f>IF($D137="","",SUMIF('TALLY BOX DUMP'!$1:$1,'ACH CALC'!S$2,'TALLY BOX DUMP'!136:136))</f>
        <v/>
      </c>
      <c r="T137" s="21" t="str">
        <f>IF($D137="","",SUMIF('TALLY BOX DUMP'!$1:$1,'ACH CALC'!T$2,'TALLY BOX DUMP'!136:136))</f>
        <v/>
      </c>
      <c r="U137" s="21" t="str">
        <f>IF($D137="","",SUMIF('TALLY BOX DUMP'!$1:$1,'ACH CALC'!U$2,'TALLY BOX DUMP'!136:136))</f>
        <v/>
      </c>
      <c r="V137" s="21" t="str">
        <f>IF($D137="","",SUMIF('TALLY BOX DUMP'!$1:$1,'ACH CALC'!V$2,'TALLY BOX DUMP'!136:136))</f>
        <v/>
      </c>
      <c r="W137" s="21" t="str">
        <f>IF($D137="","",SUMIF('TALLY BOX DUMP'!$1:$1,'ACH CALC'!W$2,'TALLY BOX DUMP'!136:136))</f>
        <v/>
      </c>
      <c r="X137" s="21" t="str">
        <f>IF($D137="","",SUMIF('TALLY BOX DUMP'!$1:$1,'ACH CALC'!X$2,'TALLY BOX DUMP'!136:136))</f>
        <v/>
      </c>
      <c r="Y137" s="21" t="str">
        <f>IF($D137="","",SUMIF('TALLY BOX DUMP'!$1:$1,'ACH CALC'!Y$2,'TALLY BOX DUMP'!136:136))</f>
        <v/>
      </c>
      <c r="Z137" s="21" t="str">
        <f>IF($D137="","",SUMIF('TALLY BOX DUMP'!$1:$1,'ACH CALC'!Z$2,'TALLY BOX DUMP'!136:136)+AE137)</f>
        <v/>
      </c>
      <c r="AA137" s="21" t="str">
        <f>IF($D137="","",SUMIF('TALLY BOX DUMP'!$1:$1,'ACH CALC'!AA$2,'TALLY BOX DUMP'!136:136))</f>
        <v/>
      </c>
      <c r="AB137" s="21" t="str">
        <f>IF($D137="","",SUMIF('TALLY BOX DUMP'!$1:$1,'ACH CALC'!AB$2,'TALLY BOX DUMP'!136:136))</f>
        <v/>
      </c>
      <c r="AC137" s="21" t="str">
        <f>IF($D137="","",SUMIF('TALLY BOX DUMP'!$1:$1,'ACH CALC'!AC$2,'TALLY BOX DUMP'!136:136))</f>
        <v/>
      </c>
      <c r="AD137" s="21" t="str">
        <f>IF($D137="","",SUMIF('TALLY BOX DUMP'!$1:$1,'ACH CALC'!AD$2,'TALLY BOX DUMP'!136:136))</f>
        <v/>
      </c>
      <c r="AE137" s="21" t="str">
        <f>IF($D137="","",SUMIF('TALLY BOX DUMP'!$1:$1,'ACH CALC'!AE$2,'TALLY BOX DUMP'!136:136))</f>
        <v/>
      </c>
      <c r="AF137" s="21" t="str">
        <f>IF($D137="","",SUMIF('TALLY BOX DUMP'!$1:$1,'ACH CALC'!AF$2,'TALLY BOX DUMP'!136:136))</f>
        <v/>
      </c>
      <c r="AG137" s="21" t="str">
        <f>IF($D137="","",SUMIF('TALLY BOX DUMP'!$1:$1,'ACH CALC'!AG$2,'TALLY BOX DUMP'!136:136))</f>
        <v/>
      </c>
      <c r="AH137" s="21" t="str">
        <f>IF($D137="","",SUMIF('TALLY BOX DUMP'!$1:$1,'ACH CALC'!AH$2,'TALLY BOX DUMP'!136:136))</f>
        <v/>
      </c>
      <c r="AI137" s="21" t="str">
        <f>IF($D137="","",SUMIF('TALLY BOX DUMP'!$1:$1,'ACH CALC'!AI$2,'TALLY BOX DUMP'!136:136))</f>
        <v/>
      </c>
      <c r="AJ137" s="21" t="str">
        <f>IF($D137="","",SUMIF('TALLY BOX DUMP'!$1:$1,'ACH CALC'!AJ$2,'TALLY BOX DUMP'!136:136))</f>
        <v/>
      </c>
      <c r="AK137" s="21" t="str">
        <f>IF($D137="","",SUMIF('TALLY BOX DUMP'!$1:$1,'ACH CALC'!AK$2,'TALLY BOX DUMP'!136:136))</f>
        <v/>
      </c>
      <c r="AL137" s="21" t="str">
        <f>IF($D137="","",ROUND(SUMIF('TALLY KG DUMP'!$1:$1,'ACH CALC'!AL$2,'TALLY KG DUMP'!136:136)/30,1))</f>
        <v/>
      </c>
      <c r="AM137" s="21" t="str">
        <f>IF($D137="","",SUMIF('TALLY BOX DUMP'!$1:$1,'ACH CALC'!AM$2,'TALLY BOX DUMP'!136:136))</f>
        <v/>
      </c>
      <c r="AN137" s="21" t="str">
        <f>IF($D137="","",SUMIF('TALLY BOX DUMP'!$1:$1,'ACH CALC'!AN$2,'TALLY BOX DUMP'!136:136))</f>
        <v/>
      </c>
      <c r="AO137" s="21" t="str">
        <f>IF($D137="","",SUMIF('TALLY BOX DUMP'!$1:$1,'ACH CALC'!AO$2,'TALLY BOX DUMP'!136:136))</f>
        <v/>
      </c>
      <c r="AP137" s="21" t="str">
        <f>IF($D137="","",SUMIF('TALLY BOX DUMP'!$1:$1,'ACH CALC'!AP$2,'TALLY BOX DUMP'!136:136))</f>
        <v/>
      </c>
      <c r="AQ137" s="21" t="str">
        <f>IF($D137="","",ROUND(SUMIF('TALLY KG DUMP'!$1:$1,'ACH CALC'!AQ$2,'TALLY KG DUMP'!136:136)/30,1))</f>
        <v/>
      </c>
      <c r="AR137" s="21" t="str">
        <f>IF($D137="","",SUMIF('TALLY BOX DUMP'!$1:$1,'ACH CALC'!AR$2,'TALLY BOX DUMP'!136:136))</f>
        <v/>
      </c>
      <c r="AS137" s="21" t="str">
        <f>IF($D137="","",SUMIF('TALLY BOX DUMP'!$1:$1,'ACH CALC'!AS$2,'TALLY BOX DUMP'!136:136))</f>
        <v/>
      </c>
      <c r="AT137" s="21" t="str">
        <f>IF($D137="","",SUMIF('TALLY BOX DUMP'!$1:$1,'ACH CALC'!AT$2,'TALLY BOX DUMP'!136:136))</f>
        <v/>
      </c>
      <c r="AU137" s="21" t="str">
        <f>IF($D137="","",SUMIF('TALLY BOX DUMP'!$1:$1,'ACH CALC'!AU$2,'TALLY BOX DUMP'!136:136))</f>
        <v/>
      </c>
      <c r="AV137" s="21" t="str">
        <f>IF($D137="","",SUMIF('TALLY BOX DUMP'!$1:$1,'ACH CALC'!AV$2,'TALLY BOX DUMP'!136:136))</f>
        <v/>
      </c>
      <c r="AW137" s="21" t="str">
        <f>IF($D137="","",SUMIF('TALLY BOX DUMP'!$1:$1,'ACH CALC'!AW$2,'TALLY BOX DUMP'!136:136))</f>
        <v/>
      </c>
      <c r="AX137" s="21" t="str">
        <f>IF($D137="","",SUMIF('TALLY BOX DUMP'!$1:$1,'ACH CALC'!AX$2,'TALLY BOX DUMP'!136:136))</f>
        <v/>
      </c>
      <c r="AY137" s="21" t="str">
        <f>IF($D137="","",SUMIF('TALLY BOX DUMP'!$1:$1,'ACH CALC'!AY$2,'TALLY BOX DUMP'!136:136))</f>
        <v/>
      </c>
      <c r="AZ137" s="21" t="str">
        <f>IF($D137="","",SUMIF('TALLY BOX DUMP'!$1:$1,'ACH CALC'!AZ$2,'TALLY BOX DUMP'!136:136))</f>
        <v/>
      </c>
      <c r="BA137" s="69">
        <f>(SUMIF('TALLY KG DUMP'!$2:$2,"Qty",'TALLY KG DUMP'!136:136)/1000)-(SUMIF('TALLY KG DUMP'!$1:$1,"GL",'TALLY KG DUMP'!136:136)/1000)</f>
        <v>0</v>
      </c>
      <c r="BB137" s="21" t="b">
        <f t="shared" si="8"/>
        <v>0</v>
      </c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</row>
    <row r="138" spans="2:75" x14ac:dyDescent="0.25">
      <c r="B138" s="21"/>
      <c r="C138" s="21"/>
      <c r="D138" s="21"/>
      <c r="E138" s="21" t="str">
        <f>IF($D138="","",(SUMIF('TALLY KG DUMP'!$2:$2,"Qty",'TALLY KG DUMP'!137:137)/1000)-(SUMIF('TALLY KG DUMP'!$1:$1,"GL",'TALLY KG DUMP'!137:137)/1000))</f>
        <v/>
      </c>
      <c r="F138" s="21" t="str">
        <f>IF($D138="","",(SUMIF('TALLY KG DUMP'!$1:$1,'ACH CALC'!F$2,'TALLY KG DUMP'!137:137)/1000))</f>
        <v/>
      </c>
      <c r="G138" s="21" t="str">
        <f>IF($D138="","",SUMIF('TALLY BOX DUMP'!$1:$1,'ACH CALC'!G$2,'TALLY BOX DUMP'!137:137)+Y138)</f>
        <v/>
      </c>
      <c r="H138" s="21" t="str">
        <f t="shared" si="6"/>
        <v/>
      </c>
      <c r="I138" s="21" t="str">
        <f>IF($D138="","",SUMIF('TALLY BOX DUMP'!$1:$1,'ACH CALC'!I$2,'TALLY BOX DUMP'!137:137)+AA138)</f>
        <v/>
      </c>
      <c r="J138" s="21" t="str">
        <f>IF($D138="","",SUMIF('TALLY BOX DUMP'!$1:$1,'ACH CALC'!J$2,'TALLY BOX DUMP'!137:137)+AB138)</f>
        <v/>
      </c>
      <c r="K138" s="21" t="str">
        <f>IF($D138="","",SUMIF('TALLY BOX DUMP'!$1:$1,'ACH CALC'!K$2,'TALLY BOX DUMP'!137:137)+AC138)</f>
        <v/>
      </c>
      <c r="L138" s="21" t="str">
        <f>IF($D138="","",SUMIF('TALLY BOX DUMP'!$1:$1,'ACH CALC'!L$2,'TALLY BOX DUMP'!137:137))</f>
        <v/>
      </c>
      <c r="M138" s="21" t="str">
        <f>IF($D138="","",SUMIF('TALLY BOX DUMP'!$1:$1,'ACH CALC'!M$2,'TALLY BOX DUMP'!137:137)+AD138)</f>
        <v/>
      </c>
      <c r="N138" s="21" t="str">
        <f>IF($D138="","",SUMIF('TALLY BOX DUMP'!$1:$1,'ACH CALC'!N$2,'TALLY BOX DUMP'!137:137))</f>
        <v/>
      </c>
      <c r="O138" s="21" t="str">
        <f>IF($D138="","",SUMIF('TALLY BOX DUMP'!$1:$1,'ACH CALC'!O$2,'TALLY BOX DUMP'!137:137))</f>
        <v/>
      </c>
      <c r="P138" s="21" t="str">
        <f>IF($D138="","",SUMIF('TALLY BOX DUMP'!$1:$1,'ACH CALC'!P$2,'TALLY BOX DUMP'!137:137))</f>
        <v/>
      </c>
      <c r="Q138" s="21" t="str">
        <f t="shared" si="7"/>
        <v/>
      </c>
      <c r="R138" s="21" t="str">
        <f>IF($D138="","",SUMIF('TALLY BOX DUMP'!$1:$1,'ACH CALC'!R$2,'TALLY BOX DUMP'!137:137))</f>
        <v/>
      </c>
      <c r="S138" s="21" t="str">
        <f>IF($D138="","",SUMIF('TALLY BOX DUMP'!$1:$1,'ACH CALC'!S$2,'TALLY BOX DUMP'!137:137))</f>
        <v/>
      </c>
      <c r="T138" s="21" t="str">
        <f>IF($D138="","",SUMIF('TALLY BOX DUMP'!$1:$1,'ACH CALC'!T$2,'TALLY BOX DUMP'!137:137))</f>
        <v/>
      </c>
      <c r="U138" s="21" t="str">
        <f>IF($D138="","",SUMIF('TALLY BOX DUMP'!$1:$1,'ACH CALC'!U$2,'TALLY BOX DUMP'!137:137))</f>
        <v/>
      </c>
      <c r="V138" s="21" t="str">
        <f>IF($D138="","",SUMIF('TALLY BOX DUMP'!$1:$1,'ACH CALC'!V$2,'TALLY BOX DUMP'!137:137))</f>
        <v/>
      </c>
      <c r="W138" s="21" t="str">
        <f>IF($D138="","",SUMIF('TALLY BOX DUMP'!$1:$1,'ACH CALC'!W$2,'TALLY BOX DUMP'!137:137))</f>
        <v/>
      </c>
      <c r="X138" s="21" t="str">
        <f>IF($D138="","",SUMIF('TALLY BOX DUMP'!$1:$1,'ACH CALC'!X$2,'TALLY BOX DUMP'!137:137))</f>
        <v/>
      </c>
      <c r="Y138" s="21" t="str">
        <f>IF($D138="","",SUMIF('TALLY BOX DUMP'!$1:$1,'ACH CALC'!Y$2,'TALLY BOX DUMP'!137:137))</f>
        <v/>
      </c>
      <c r="Z138" s="21" t="str">
        <f>IF($D138="","",SUMIF('TALLY BOX DUMP'!$1:$1,'ACH CALC'!Z$2,'TALLY BOX DUMP'!137:137)+AE138)</f>
        <v/>
      </c>
      <c r="AA138" s="21" t="str">
        <f>IF($D138="","",SUMIF('TALLY BOX DUMP'!$1:$1,'ACH CALC'!AA$2,'TALLY BOX DUMP'!137:137))</f>
        <v/>
      </c>
      <c r="AB138" s="21" t="str">
        <f>IF($D138="","",SUMIF('TALLY BOX DUMP'!$1:$1,'ACH CALC'!AB$2,'TALLY BOX DUMP'!137:137))</f>
        <v/>
      </c>
      <c r="AC138" s="21" t="str">
        <f>IF($D138="","",SUMIF('TALLY BOX DUMP'!$1:$1,'ACH CALC'!AC$2,'TALLY BOX DUMP'!137:137))</f>
        <v/>
      </c>
      <c r="AD138" s="21" t="str">
        <f>IF($D138="","",SUMIF('TALLY BOX DUMP'!$1:$1,'ACH CALC'!AD$2,'TALLY BOX DUMP'!137:137))</f>
        <v/>
      </c>
      <c r="AE138" s="21" t="str">
        <f>IF($D138="","",SUMIF('TALLY BOX DUMP'!$1:$1,'ACH CALC'!AE$2,'TALLY BOX DUMP'!137:137))</f>
        <v/>
      </c>
      <c r="AF138" s="21" t="str">
        <f>IF($D138="","",SUMIF('TALLY BOX DUMP'!$1:$1,'ACH CALC'!AF$2,'TALLY BOX DUMP'!137:137))</f>
        <v/>
      </c>
      <c r="AG138" s="21" t="str">
        <f>IF($D138="","",SUMIF('TALLY BOX DUMP'!$1:$1,'ACH CALC'!AG$2,'TALLY BOX DUMP'!137:137))</f>
        <v/>
      </c>
      <c r="AH138" s="21" t="str">
        <f>IF($D138="","",SUMIF('TALLY BOX DUMP'!$1:$1,'ACH CALC'!AH$2,'TALLY BOX DUMP'!137:137))</f>
        <v/>
      </c>
      <c r="AI138" s="21" t="str">
        <f>IF($D138="","",SUMIF('TALLY BOX DUMP'!$1:$1,'ACH CALC'!AI$2,'TALLY BOX DUMP'!137:137))</f>
        <v/>
      </c>
      <c r="AJ138" s="21" t="str">
        <f>IF($D138="","",SUMIF('TALLY BOX DUMP'!$1:$1,'ACH CALC'!AJ$2,'TALLY BOX DUMP'!137:137))</f>
        <v/>
      </c>
      <c r="AK138" s="21" t="str">
        <f>IF($D138="","",SUMIF('TALLY BOX DUMP'!$1:$1,'ACH CALC'!AK$2,'TALLY BOX DUMP'!137:137))</f>
        <v/>
      </c>
      <c r="AL138" s="21" t="str">
        <f>IF($D138="","",ROUND(SUMIF('TALLY KG DUMP'!$1:$1,'ACH CALC'!AL$2,'TALLY KG DUMP'!137:137)/30,1))</f>
        <v/>
      </c>
      <c r="AM138" s="21" t="str">
        <f>IF($D138="","",SUMIF('TALLY BOX DUMP'!$1:$1,'ACH CALC'!AM$2,'TALLY BOX DUMP'!137:137))</f>
        <v/>
      </c>
      <c r="AN138" s="21" t="str">
        <f>IF($D138="","",SUMIF('TALLY BOX DUMP'!$1:$1,'ACH CALC'!AN$2,'TALLY BOX DUMP'!137:137))</f>
        <v/>
      </c>
      <c r="AO138" s="21" t="str">
        <f>IF($D138="","",SUMIF('TALLY BOX DUMP'!$1:$1,'ACH CALC'!AO$2,'TALLY BOX DUMP'!137:137))</f>
        <v/>
      </c>
      <c r="AP138" s="21" t="str">
        <f>IF($D138="","",SUMIF('TALLY BOX DUMP'!$1:$1,'ACH CALC'!AP$2,'TALLY BOX DUMP'!137:137))</f>
        <v/>
      </c>
      <c r="AQ138" s="21" t="str">
        <f>IF($D138="","",ROUND(SUMIF('TALLY KG DUMP'!$1:$1,'ACH CALC'!AQ$2,'TALLY KG DUMP'!137:137)/30,1))</f>
        <v/>
      </c>
      <c r="AR138" s="21" t="str">
        <f>IF($D138="","",SUMIF('TALLY BOX DUMP'!$1:$1,'ACH CALC'!AR$2,'TALLY BOX DUMP'!137:137))</f>
        <v/>
      </c>
      <c r="AS138" s="21" t="str">
        <f>IF($D138="","",SUMIF('TALLY BOX DUMP'!$1:$1,'ACH CALC'!AS$2,'TALLY BOX DUMP'!137:137))</f>
        <v/>
      </c>
      <c r="AT138" s="21" t="str">
        <f>IF($D138="","",SUMIF('TALLY BOX DUMP'!$1:$1,'ACH CALC'!AT$2,'TALLY BOX DUMP'!137:137))</f>
        <v/>
      </c>
      <c r="AU138" s="21" t="str">
        <f>IF($D138="","",SUMIF('TALLY BOX DUMP'!$1:$1,'ACH CALC'!AU$2,'TALLY BOX DUMP'!137:137))</f>
        <v/>
      </c>
      <c r="AV138" s="21" t="str">
        <f>IF($D138="","",SUMIF('TALLY BOX DUMP'!$1:$1,'ACH CALC'!AV$2,'TALLY BOX DUMP'!137:137))</f>
        <v/>
      </c>
      <c r="AW138" s="21" t="str">
        <f>IF($D138="","",SUMIF('TALLY BOX DUMP'!$1:$1,'ACH CALC'!AW$2,'TALLY BOX DUMP'!137:137))</f>
        <v/>
      </c>
      <c r="AX138" s="21" t="str">
        <f>IF($D138="","",SUMIF('TALLY BOX DUMP'!$1:$1,'ACH CALC'!AX$2,'TALLY BOX DUMP'!137:137))</f>
        <v/>
      </c>
      <c r="AY138" s="21" t="str">
        <f>IF($D138="","",SUMIF('TALLY BOX DUMP'!$1:$1,'ACH CALC'!AY$2,'TALLY BOX DUMP'!137:137))</f>
        <v/>
      </c>
      <c r="AZ138" s="21" t="str">
        <f>IF($D138="","",SUMIF('TALLY BOX DUMP'!$1:$1,'ACH CALC'!AZ$2,'TALLY BOX DUMP'!137:137))</f>
        <v/>
      </c>
      <c r="BA138" s="69">
        <f>(SUMIF('TALLY KG DUMP'!$2:$2,"Qty",'TALLY KG DUMP'!137:137)/1000)-(SUMIF('TALLY KG DUMP'!$1:$1,"GL",'TALLY KG DUMP'!137:137)/1000)</f>
        <v>0</v>
      </c>
      <c r="BB138" s="21" t="b">
        <f t="shared" si="8"/>
        <v>0</v>
      </c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</row>
    <row r="139" spans="2:75" x14ac:dyDescent="0.25">
      <c r="B139" s="21"/>
      <c r="C139" s="21"/>
      <c r="D139" s="21"/>
      <c r="E139" s="21" t="str">
        <f>IF($D139="","",(SUMIF('TALLY KG DUMP'!$2:$2,"Qty",'TALLY KG DUMP'!138:138)/1000)-(SUMIF('TALLY KG DUMP'!$1:$1,"GL",'TALLY KG DUMP'!138:138)/1000))</f>
        <v/>
      </c>
      <c r="F139" s="21" t="str">
        <f>IF($D139="","",(SUMIF('TALLY KG DUMP'!$1:$1,'ACH CALC'!F$2,'TALLY KG DUMP'!138:138)/1000))</f>
        <v/>
      </c>
      <c r="G139" s="21" t="str">
        <f>IF($D139="","",SUMIF('TALLY BOX DUMP'!$1:$1,'ACH CALC'!G$2,'TALLY BOX DUMP'!138:138)+Y139)</f>
        <v/>
      </c>
      <c r="H139" s="21" t="str">
        <f t="shared" si="6"/>
        <v/>
      </c>
      <c r="I139" s="21" t="str">
        <f>IF($D139="","",SUMIF('TALLY BOX DUMP'!$1:$1,'ACH CALC'!I$2,'TALLY BOX DUMP'!138:138)+AA139)</f>
        <v/>
      </c>
      <c r="J139" s="21" t="str">
        <f>IF($D139="","",SUMIF('TALLY BOX DUMP'!$1:$1,'ACH CALC'!J$2,'TALLY BOX DUMP'!138:138)+AB139)</f>
        <v/>
      </c>
      <c r="K139" s="21" t="str">
        <f>IF($D139="","",SUMIF('TALLY BOX DUMP'!$1:$1,'ACH CALC'!K$2,'TALLY BOX DUMP'!138:138)+AC139)</f>
        <v/>
      </c>
      <c r="L139" s="21" t="str">
        <f>IF($D139="","",SUMIF('TALLY BOX DUMP'!$1:$1,'ACH CALC'!L$2,'TALLY BOX DUMP'!138:138))</f>
        <v/>
      </c>
      <c r="M139" s="21" t="str">
        <f>IF($D139="","",SUMIF('TALLY BOX DUMP'!$1:$1,'ACH CALC'!M$2,'TALLY BOX DUMP'!138:138)+AD139)</f>
        <v/>
      </c>
      <c r="N139" s="21" t="str">
        <f>IF($D139="","",SUMIF('TALLY BOX DUMP'!$1:$1,'ACH CALC'!N$2,'TALLY BOX DUMP'!138:138))</f>
        <v/>
      </c>
      <c r="O139" s="21" t="str">
        <f>IF($D139="","",SUMIF('TALLY BOX DUMP'!$1:$1,'ACH CALC'!O$2,'TALLY BOX DUMP'!138:138))</f>
        <v/>
      </c>
      <c r="P139" s="21" t="str">
        <f>IF($D139="","",SUMIF('TALLY BOX DUMP'!$1:$1,'ACH CALC'!P$2,'TALLY BOX DUMP'!138:138))</f>
        <v/>
      </c>
      <c r="Q139" s="21" t="str">
        <f t="shared" si="7"/>
        <v/>
      </c>
      <c r="R139" s="21" t="str">
        <f>IF($D139="","",SUMIF('TALLY BOX DUMP'!$1:$1,'ACH CALC'!R$2,'TALLY BOX DUMP'!138:138))</f>
        <v/>
      </c>
      <c r="S139" s="21" t="str">
        <f>IF($D139="","",SUMIF('TALLY BOX DUMP'!$1:$1,'ACH CALC'!S$2,'TALLY BOX DUMP'!138:138))</f>
        <v/>
      </c>
      <c r="T139" s="21" t="str">
        <f>IF($D139="","",SUMIF('TALLY BOX DUMP'!$1:$1,'ACH CALC'!T$2,'TALLY BOX DUMP'!138:138))</f>
        <v/>
      </c>
      <c r="U139" s="21" t="str">
        <f>IF($D139="","",SUMIF('TALLY BOX DUMP'!$1:$1,'ACH CALC'!U$2,'TALLY BOX DUMP'!138:138))</f>
        <v/>
      </c>
      <c r="V139" s="21" t="str">
        <f>IF($D139="","",SUMIF('TALLY BOX DUMP'!$1:$1,'ACH CALC'!V$2,'TALLY BOX DUMP'!138:138))</f>
        <v/>
      </c>
      <c r="W139" s="21" t="str">
        <f>IF($D139="","",SUMIF('TALLY BOX DUMP'!$1:$1,'ACH CALC'!W$2,'TALLY BOX DUMP'!138:138))</f>
        <v/>
      </c>
      <c r="X139" s="21" t="str">
        <f>IF($D139="","",SUMIF('TALLY BOX DUMP'!$1:$1,'ACH CALC'!X$2,'TALLY BOX DUMP'!138:138))</f>
        <v/>
      </c>
      <c r="Y139" s="21" t="str">
        <f>IF($D139="","",SUMIF('TALLY BOX DUMP'!$1:$1,'ACH CALC'!Y$2,'TALLY BOX DUMP'!138:138))</f>
        <v/>
      </c>
      <c r="Z139" s="21" t="str">
        <f>IF($D139="","",SUMIF('TALLY BOX DUMP'!$1:$1,'ACH CALC'!Z$2,'TALLY BOX DUMP'!138:138)+AE139)</f>
        <v/>
      </c>
      <c r="AA139" s="21" t="str">
        <f>IF($D139="","",SUMIF('TALLY BOX DUMP'!$1:$1,'ACH CALC'!AA$2,'TALLY BOX DUMP'!138:138))</f>
        <v/>
      </c>
      <c r="AB139" s="21" t="str">
        <f>IF($D139="","",SUMIF('TALLY BOX DUMP'!$1:$1,'ACH CALC'!AB$2,'TALLY BOX DUMP'!138:138))</f>
        <v/>
      </c>
      <c r="AC139" s="21" t="str">
        <f>IF($D139="","",SUMIF('TALLY BOX DUMP'!$1:$1,'ACH CALC'!AC$2,'TALLY BOX DUMP'!138:138))</f>
        <v/>
      </c>
      <c r="AD139" s="21" t="str">
        <f>IF($D139="","",SUMIF('TALLY BOX DUMP'!$1:$1,'ACH CALC'!AD$2,'TALLY BOX DUMP'!138:138))</f>
        <v/>
      </c>
      <c r="AE139" s="21" t="str">
        <f>IF($D139="","",SUMIF('TALLY BOX DUMP'!$1:$1,'ACH CALC'!AE$2,'TALLY BOX DUMP'!138:138))</f>
        <v/>
      </c>
      <c r="AF139" s="21" t="str">
        <f>IF($D139="","",SUMIF('TALLY BOX DUMP'!$1:$1,'ACH CALC'!AF$2,'TALLY BOX DUMP'!138:138))</f>
        <v/>
      </c>
      <c r="AG139" s="21" t="str">
        <f>IF($D139="","",SUMIF('TALLY BOX DUMP'!$1:$1,'ACH CALC'!AG$2,'TALLY BOX DUMP'!138:138))</f>
        <v/>
      </c>
      <c r="AH139" s="21" t="str">
        <f>IF($D139="","",SUMIF('TALLY BOX DUMP'!$1:$1,'ACH CALC'!AH$2,'TALLY BOX DUMP'!138:138))</f>
        <v/>
      </c>
      <c r="AI139" s="21" t="str">
        <f>IF($D139="","",SUMIF('TALLY BOX DUMP'!$1:$1,'ACH CALC'!AI$2,'TALLY BOX DUMP'!138:138))</f>
        <v/>
      </c>
      <c r="AJ139" s="21" t="str">
        <f>IF($D139="","",SUMIF('TALLY BOX DUMP'!$1:$1,'ACH CALC'!AJ$2,'TALLY BOX DUMP'!138:138))</f>
        <v/>
      </c>
      <c r="AK139" s="21" t="str">
        <f>IF($D139="","",SUMIF('TALLY BOX DUMP'!$1:$1,'ACH CALC'!AK$2,'TALLY BOX DUMP'!138:138))</f>
        <v/>
      </c>
      <c r="AL139" s="21" t="str">
        <f>IF($D139="","",ROUND(SUMIF('TALLY KG DUMP'!$1:$1,'ACH CALC'!AL$2,'TALLY KG DUMP'!138:138)/30,1))</f>
        <v/>
      </c>
      <c r="AM139" s="21" t="str">
        <f>IF($D139="","",SUMIF('TALLY BOX DUMP'!$1:$1,'ACH CALC'!AM$2,'TALLY BOX DUMP'!138:138))</f>
        <v/>
      </c>
      <c r="AN139" s="21" t="str">
        <f>IF($D139="","",SUMIF('TALLY BOX DUMP'!$1:$1,'ACH CALC'!AN$2,'TALLY BOX DUMP'!138:138))</f>
        <v/>
      </c>
      <c r="AO139" s="21" t="str">
        <f>IF($D139="","",SUMIF('TALLY BOX DUMP'!$1:$1,'ACH CALC'!AO$2,'TALLY BOX DUMP'!138:138))</f>
        <v/>
      </c>
      <c r="AP139" s="21" t="str">
        <f>IF($D139="","",SUMIF('TALLY BOX DUMP'!$1:$1,'ACH CALC'!AP$2,'TALLY BOX DUMP'!138:138))</f>
        <v/>
      </c>
      <c r="AQ139" s="21" t="str">
        <f>IF($D139="","",ROUND(SUMIF('TALLY KG DUMP'!$1:$1,'ACH CALC'!AQ$2,'TALLY KG DUMP'!138:138)/30,1))</f>
        <v/>
      </c>
      <c r="AR139" s="21" t="str">
        <f>IF($D139="","",SUMIF('TALLY BOX DUMP'!$1:$1,'ACH CALC'!AR$2,'TALLY BOX DUMP'!138:138))</f>
        <v/>
      </c>
      <c r="AS139" s="21" t="str">
        <f>IF($D139="","",SUMIF('TALLY BOX DUMP'!$1:$1,'ACH CALC'!AS$2,'TALLY BOX DUMP'!138:138))</f>
        <v/>
      </c>
      <c r="AT139" s="21" t="str">
        <f>IF($D139="","",SUMIF('TALLY BOX DUMP'!$1:$1,'ACH CALC'!AT$2,'TALLY BOX DUMP'!138:138))</f>
        <v/>
      </c>
      <c r="AU139" s="21" t="str">
        <f>IF($D139="","",SUMIF('TALLY BOX DUMP'!$1:$1,'ACH CALC'!AU$2,'TALLY BOX DUMP'!138:138))</f>
        <v/>
      </c>
      <c r="AV139" s="21" t="str">
        <f>IF($D139="","",SUMIF('TALLY BOX DUMP'!$1:$1,'ACH CALC'!AV$2,'TALLY BOX DUMP'!138:138))</f>
        <v/>
      </c>
      <c r="AW139" s="21" t="str">
        <f>IF($D139="","",SUMIF('TALLY BOX DUMP'!$1:$1,'ACH CALC'!AW$2,'TALLY BOX DUMP'!138:138))</f>
        <v/>
      </c>
      <c r="AX139" s="21" t="str">
        <f>IF($D139="","",SUMIF('TALLY BOX DUMP'!$1:$1,'ACH CALC'!AX$2,'TALLY BOX DUMP'!138:138))</f>
        <v/>
      </c>
      <c r="AY139" s="21" t="str">
        <f>IF($D139="","",SUMIF('TALLY BOX DUMP'!$1:$1,'ACH CALC'!AY$2,'TALLY BOX DUMP'!138:138))</f>
        <v/>
      </c>
      <c r="AZ139" s="21" t="str">
        <f>IF($D139="","",SUMIF('TALLY BOX DUMP'!$1:$1,'ACH CALC'!AZ$2,'TALLY BOX DUMP'!138:138))</f>
        <v/>
      </c>
      <c r="BA139" s="69">
        <f>(SUMIF('TALLY KG DUMP'!$2:$2,"Qty",'TALLY KG DUMP'!138:138)/1000)-(SUMIF('TALLY KG DUMP'!$1:$1,"GL",'TALLY KG DUMP'!138:138)/1000)</f>
        <v>0</v>
      </c>
      <c r="BB139" s="21" t="b">
        <f t="shared" si="8"/>
        <v>0</v>
      </c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</row>
    <row r="140" spans="2:75" x14ac:dyDescent="0.25">
      <c r="B140" s="21"/>
      <c r="C140" s="21"/>
      <c r="D140" s="21"/>
      <c r="E140" s="21" t="str">
        <f>IF($D140="","",(SUMIF('TALLY KG DUMP'!$2:$2,"Qty",'TALLY KG DUMP'!139:139)/1000)-(SUMIF('TALLY KG DUMP'!$1:$1,"GL",'TALLY KG DUMP'!139:139)/1000))</f>
        <v/>
      </c>
      <c r="F140" s="21" t="str">
        <f>IF($D140="","",(SUMIF('TALLY KG DUMP'!$1:$1,'ACH CALC'!F$2,'TALLY KG DUMP'!139:139)/1000))</f>
        <v/>
      </c>
      <c r="G140" s="21" t="str">
        <f>IF($D140="","",SUMIF('TALLY BOX DUMP'!$1:$1,'ACH CALC'!G$2,'TALLY BOX DUMP'!139:139)+Y140)</f>
        <v/>
      </c>
      <c r="H140" s="21" t="str">
        <f t="shared" si="6"/>
        <v/>
      </c>
      <c r="I140" s="21" t="str">
        <f>IF($D140="","",SUMIF('TALLY BOX DUMP'!$1:$1,'ACH CALC'!I$2,'TALLY BOX DUMP'!139:139)+AA140)</f>
        <v/>
      </c>
      <c r="J140" s="21" t="str">
        <f>IF($D140="","",SUMIF('TALLY BOX DUMP'!$1:$1,'ACH CALC'!J$2,'TALLY BOX DUMP'!139:139)+AB140)</f>
        <v/>
      </c>
      <c r="K140" s="21" t="str">
        <f>IF($D140="","",SUMIF('TALLY BOX DUMP'!$1:$1,'ACH CALC'!K$2,'TALLY BOX DUMP'!139:139)+AC140)</f>
        <v/>
      </c>
      <c r="L140" s="21" t="str">
        <f>IF($D140="","",SUMIF('TALLY BOX DUMP'!$1:$1,'ACH CALC'!L$2,'TALLY BOX DUMP'!139:139))</f>
        <v/>
      </c>
      <c r="M140" s="21" t="str">
        <f>IF($D140="","",SUMIF('TALLY BOX DUMP'!$1:$1,'ACH CALC'!M$2,'TALLY BOX DUMP'!139:139)+AD140)</f>
        <v/>
      </c>
      <c r="N140" s="21" t="str">
        <f>IF($D140="","",SUMIF('TALLY BOX DUMP'!$1:$1,'ACH CALC'!N$2,'TALLY BOX DUMP'!139:139))</f>
        <v/>
      </c>
      <c r="O140" s="21" t="str">
        <f>IF($D140="","",SUMIF('TALLY BOX DUMP'!$1:$1,'ACH CALC'!O$2,'TALLY BOX DUMP'!139:139))</f>
        <v/>
      </c>
      <c r="P140" s="21" t="str">
        <f>IF($D140="","",SUMIF('TALLY BOX DUMP'!$1:$1,'ACH CALC'!P$2,'TALLY BOX DUMP'!139:139))</f>
        <v/>
      </c>
      <c r="Q140" s="21" t="str">
        <f t="shared" si="7"/>
        <v/>
      </c>
      <c r="R140" s="21" t="str">
        <f>IF($D140="","",SUMIF('TALLY BOX DUMP'!$1:$1,'ACH CALC'!R$2,'TALLY BOX DUMP'!139:139))</f>
        <v/>
      </c>
      <c r="S140" s="21" t="str">
        <f>IF($D140="","",SUMIF('TALLY BOX DUMP'!$1:$1,'ACH CALC'!S$2,'TALLY BOX DUMP'!139:139))</f>
        <v/>
      </c>
      <c r="T140" s="21" t="str">
        <f>IF($D140="","",SUMIF('TALLY BOX DUMP'!$1:$1,'ACH CALC'!T$2,'TALLY BOX DUMP'!139:139))</f>
        <v/>
      </c>
      <c r="U140" s="21" t="str">
        <f>IF($D140="","",SUMIF('TALLY BOX DUMP'!$1:$1,'ACH CALC'!U$2,'TALLY BOX DUMP'!139:139))</f>
        <v/>
      </c>
      <c r="V140" s="21" t="str">
        <f>IF($D140="","",SUMIF('TALLY BOX DUMP'!$1:$1,'ACH CALC'!V$2,'TALLY BOX DUMP'!139:139))</f>
        <v/>
      </c>
      <c r="W140" s="21" t="str">
        <f>IF($D140="","",SUMIF('TALLY BOX DUMP'!$1:$1,'ACH CALC'!W$2,'TALLY BOX DUMP'!139:139))</f>
        <v/>
      </c>
      <c r="X140" s="21" t="str">
        <f>IF($D140="","",SUMIF('TALLY BOX DUMP'!$1:$1,'ACH CALC'!X$2,'TALLY BOX DUMP'!139:139))</f>
        <v/>
      </c>
      <c r="Y140" s="21" t="str">
        <f>IF($D140="","",SUMIF('TALLY BOX DUMP'!$1:$1,'ACH CALC'!Y$2,'TALLY BOX DUMP'!139:139))</f>
        <v/>
      </c>
      <c r="Z140" s="21" t="str">
        <f>IF($D140="","",SUMIF('TALLY BOX DUMP'!$1:$1,'ACH CALC'!Z$2,'TALLY BOX DUMP'!139:139)+AE140)</f>
        <v/>
      </c>
      <c r="AA140" s="21" t="str">
        <f>IF($D140="","",SUMIF('TALLY BOX DUMP'!$1:$1,'ACH CALC'!AA$2,'TALLY BOX DUMP'!139:139))</f>
        <v/>
      </c>
      <c r="AB140" s="21" t="str">
        <f>IF($D140="","",SUMIF('TALLY BOX DUMP'!$1:$1,'ACH CALC'!AB$2,'TALLY BOX DUMP'!139:139))</f>
        <v/>
      </c>
      <c r="AC140" s="21" t="str">
        <f>IF($D140="","",SUMIF('TALLY BOX DUMP'!$1:$1,'ACH CALC'!AC$2,'TALLY BOX DUMP'!139:139))</f>
        <v/>
      </c>
      <c r="AD140" s="21" t="str">
        <f>IF($D140="","",SUMIF('TALLY BOX DUMP'!$1:$1,'ACH CALC'!AD$2,'TALLY BOX DUMP'!139:139))</f>
        <v/>
      </c>
      <c r="AE140" s="21" t="str">
        <f>IF($D140="","",SUMIF('TALLY BOX DUMP'!$1:$1,'ACH CALC'!AE$2,'TALLY BOX DUMP'!139:139))</f>
        <v/>
      </c>
      <c r="AF140" s="21" t="str">
        <f>IF($D140="","",SUMIF('TALLY BOX DUMP'!$1:$1,'ACH CALC'!AF$2,'TALLY BOX DUMP'!139:139))</f>
        <v/>
      </c>
      <c r="AG140" s="21" t="str">
        <f>IF($D140="","",SUMIF('TALLY BOX DUMP'!$1:$1,'ACH CALC'!AG$2,'TALLY BOX DUMP'!139:139))</f>
        <v/>
      </c>
      <c r="AH140" s="21" t="str">
        <f>IF($D140="","",SUMIF('TALLY BOX DUMP'!$1:$1,'ACH CALC'!AH$2,'TALLY BOX DUMP'!139:139))</f>
        <v/>
      </c>
      <c r="AI140" s="21" t="str">
        <f>IF($D140="","",SUMIF('TALLY BOX DUMP'!$1:$1,'ACH CALC'!AI$2,'TALLY BOX DUMP'!139:139))</f>
        <v/>
      </c>
      <c r="AJ140" s="21" t="str">
        <f>IF($D140="","",SUMIF('TALLY BOX DUMP'!$1:$1,'ACH CALC'!AJ$2,'TALLY BOX DUMP'!139:139))</f>
        <v/>
      </c>
      <c r="AK140" s="21" t="str">
        <f>IF($D140="","",SUMIF('TALLY BOX DUMP'!$1:$1,'ACH CALC'!AK$2,'TALLY BOX DUMP'!139:139))</f>
        <v/>
      </c>
      <c r="AL140" s="21" t="str">
        <f>IF($D140="","",ROUND(SUMIF('TALLY KG DUMP'!$1:$1,'ACH CALC'!AL$2,'TALLY KG DUMP'!139:139)/30,1))</f>
        <v/>
      </c>
      <c r="AM140" s="21" t="str">
        <f>IF($D140="","",SUMIF('TALLY BOX DUMP'!$1:$1,'ACH CALC'!AM$2,'TALLY BOX DUMP'!139:139))</f>
        <v/>
      </c>
      <c r="AN140" s="21" t="str">
        <f>IF($D140="","",SUMIF('TALLY BOX DUMP'!$1:$1,'ACH CALC'!AN$2,'TALLY BOX DUMP'!139:139))</f>
        <v/>
      </c>
      <c r="AO140" s="21" t="str">
        <f>IF($D140="","",SUMIF('TALLY BOX DUMP'!$1:$1,'ACH CALC'!AO$2,'TALLY BOX DUMP'!139:139))</f>
        <v/>
      </c>
      <c r="AP140" s="21" t="str">
        <f>IF($D140="","",SUMIF('TALLY BOX DUMP'!$1:$1,'ACH CALC'!AP$2,'TALLY BOX DUMP'!139:139))</f>
        <v/>
      </c>
      <c r="AQ140" s="21" t="str">
        <f>IF($D140="","",ROUND(SUMIF('TALLY KG DUMP'!$1:$1,'ACH CALC'!AQ$2,'TALLY KG DUMP'!139:139)/30,1))</f>
        <v/>
      </c>
      <c r="AR140" s="21" t="str">
        <f>IF($D140="","",SUMIF('TALLY BOX DUMP'!$1:$1,'ACH CALC'!AR$2,'TALLY BOX DUMP'!139:139))</f>
        <v/>
      </c>
      <c r="AS140" s="21" t="str">
        <f>IF($D140="","",SUMIF('TALLY BOX DUMP'!$1:$1,'ACH CALC'!AS$2,'TALLY BOX DUMP'!139:139))</f>
        <v/>
      </c>
      <c r="AT140" s="21" t="str">
        <f>IF($D140="","",SUMIF('TALLY BOX DUMP'!$1:$1,'ACH CALC'!AT$2,'TALLY BOX DUMP'!139:139))</f>
        <v/>
      </c>
      <c r="AU140" s="21" t="str">
        <f>IF($D140="","",SUMIF('TALLY BOX DUMP'!$1:$1,'ACH CALC'!AU$2,'TALLY BOX DUMP'!139:139))</f>
        <v/>
      </c>
      <c r="AV140" s="21" t="str">
        <f>IF($D140="","",SUMIF('TALLY BOX DUMP'!$1:$1,'ACH CALC'!AV$2,'TALLY BOX DUMP'!139:139))</f>
        <v/>
      </c>
      <c r="AW140" s="21" t="str">
        <f>IF($D140="","",SUMIF('TALLY BOX DUMP'!$1:$1,'ACH CALC'!AW$2,'TALLY BOX DUMP'!139:139))</f>
        <v/>
      </c>
      <c r="AX140" s="21" t="str">
        <f>IF($D140="","",SUMIF('TALLY BOX DUMP'!$1:$1,'ACH CALC'!AX$2,'TALLY BOX DUMP'!139:139))</f>
        <v/>
      </c>
      <c r="AY140" s="21" t="str">
        <f>IF($D140="","",SUMIF('TALLY BOX DUMP'!$1:$1,'ACH CALC'!AY$2,'TALLY BOX DUMP'!139:139))</f>
        <v/>
      </c>
      <c r="AZ140" s="21" t="str">
        <f>IF($D140="","",SUMIF('TALLY BOX DUMP'!$1:$1,'ACH CALC'!AZ$2,'TALLY BOX DUMP'!139:139))</f>
        <v/>
      </c>
      <c r="BA140" s="69">
        <f>(SUMIF('TALLY KG DUMP'!$2:$2,"Qty",'TALLY KG DUMP'!139:139)/1000)-(SUMIF('TALLY KG DUMP'!$1:$1,"GL",'TALLY KG DUMP'!139:139)/1000)</f>
        <v>0</v>
      </c>
      <c r="BB140" s="21" t="b">
        <f t="shared" si="8"/>
        <v>0</v>
      </c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</row>
    <row r="141" spans="2:75" x14ac:dyDescent="0.25">
      <c r="B141" s="21"/>
      <c r="C141" s="21"/>
      <c r="D141" s="21"/>
      <c r="E141" s="21" t="str">
        <f>IF($D141="","",(SUMIF('TALLY KG DUMP'!$2:$2,"Qty",'TALLY KG DUMP'!140:140)/1000)-(SUMIF('TALLY KG DUMP'!$1:$1,"GL",'TALLY KG DUMP'!140:140)/1000))</f>
        <v/>
      </c>
      <c r="F141" s="21" t="str">
        <f>IF($D141="","",(SUMIF('TALLY KG DUMP'!$1:$1,'ACH CALC'!F$2,'TALLY KG DUMP'!140:140)/1000))</f>
        <v/>
      </c>
      <c r="G141" s="21" t="str">
        <f>IF($D141="","",SUMIF('TALLY BOX DUMP'!$1:$1,'ACH CALC'!G$2,'TALLY BOX DUMP'!140:140)+Y141)</f>
        <v/>
      </c>
      <c r="H141" s="21" t="str">
        <f t="shared" si="6"/>
        <v/>
      </c>
      <c r="I141" s="21" t="str">
        <f>IF($D141="","",SUMIF('TALLY BOX DUMP'!$1:$1,'ACH CALC'!I$2,'TALLY BOX DUMP'!140:140)+AA141)</f>
        <v/>
      </c>
      <c r="J141" s="21" t="str">
        <f>IF($D141="","",SUMIF('TALLY BOX DUMP'!$1:$1,'ACH CALC'!J$2,'TALLY BOX DUMP'!140:140)+AB141)</f>
        <v/>
      </c>
      <c r="K141" s="21" t="str">
        <f>IF($D141="","",SUMIF('TALLY BOX DUMP'!$1:$1,'ACH CALC'!K$2,'TALLY BOX DUMP'!140:140)+AC141)</f>
        <v/>
      </c>
      <c r="L141" s="21" t="str">
        <f>IF($D141="","",SUMIF('TALLY BOX DUMP'!$1:$1,'ACH CALC'!L$2,'TALLY BOX DUMP'!140:140))</f>
        <v/>
      </c>
      <c r="M141" s="21" t="str">
        <f>IF($D141="","",SUMIF('TALLY BOX DUMP'!$1:$1,'ACH CALC'!M$2,'TALLY BOX DUMP'!140:140)+AD141)</f>
        <v/>
      </c>
      <c r="N141" s="21" t="str">
        <f>IF($D141="","",SUMIF('TALLY BOX DUMP'!$1:$1,'ACH CALC'!N$2,'TALLY BOX DUMP'!140:140))</f>
        <v/>
      </c>
      <c r="O141" s="21" t="str">
        <f>IF($D141="","",SUMIF('TALLY BOX DUMP'!$1:$1,'ACH CALC'!O$2,'TALLY BOX DUMP'!140:140))</f>
        <v/>
      </c>
      <c r="P141" s="21" t="str">
        <f>IF($D141="","",SUMIF('TALLY BOX DUMP'!$1:$1,'ACH CALC'!P$2,'TALLY BOX DUMP'!140:140))</f>
        <v/>
      </c>
      <c r="Q141" s="21" t="str">
        <f t="shared" si="7"/>
        <v/>
      </c>
      <c r="R141" s="21" t="str">
        <f>IF($D141="","",SUMIF('TALLY BOX DUMP'!$1:$1,'ACH CALC'!R$2,'TALLY BOX DUMP'!140:140))</f>
        <v/>
      </c>
      <c r="S141" s="21" t="str">
        <f>IF($D141="","",SUMIF('TALLY BOX DUMP'!$1:$1,'ACH CALC'!S$2,'TALLY BOX DUMP'!140:140))</f>
        <v/>
      </c>
      <c r="T141" s="21" t="str">
        <f>IF($D141="","",SUMIF('TALLY BOX DUMP'!$1:$1,'ACH CALC'!T$2,'TALLY BOX DUMP'!140:140))</f>
        <v/>
      </c>
      <c r="U141" s="21" t="str">
        <f>IF($D141="","",SUMIF('TALLY BOX DUMP'!$1:$1,'ACH CALC'!U$2,'TALLY BOX DUMP'!140:140))</f>
        <v/>
      </c>
      <c r="V141" s="21" t="str">
        <f>IF($D141="","",SUMIF('TALLY BOX DUMP'!$1:$1,'ACH CALC'!V$2,'TALLY BOX DUMP'!140:140))</f>
        <v/>
      </c>
      <c r="W141" s="21" t="str">
        <f>IF($D141="","",SUMIF('TALLY BOX DUMP'!$1:$1,'ACH CALC'!W$2,'TALLY BOX DUMP'!140:140))</f>
        <v/>
      </c>
      <c r="X141" s="21" t="str">
        <f>IF($D141="","",SUMIF('TALLY BOX DUMP'!$1:$1,'ACH CALC'!X$2,'TALLY BOX DUMP'!140:140))</f>
        <v/>
      </c>
      <c r="Y141" s="21" t="str">
        <f>IF($D141="","",SUMIF('TALLY BOX DUMP'!$1:$1,'ACH CALC'!Y$2,'TALLY BOX DUMP'!140:140))</f>
        <v/>
      </c>
      <c r="Z141" s="21" t="str">
        <f>IF($D141="","",SUMIF('TALLY BOX DUMP'!$1:$1,'ACH CALC'!Z$2,'TALLY BOX DUMP'!140:140)+AE141)</f>
        <v/>
      </c>
      <c r="AA141" s="21" t="str">
        <f>IF($D141="","",SUMIF('TALLY BOX DUMP'!$1:$1,'ACH CALC'!AA$2,'TALLY BOX DUMP'!140:140))</f>
        <v/>
      </c>
      <c r="AB141" s="21" t="str">
        <f>IF($D141="","",SUMIF('TALLY BOX DUMP'!$1:$1,'ACH CALC'!AB$2,'TALLY BOX DUMP'!140:140))</f>
        <v/>
      </c>
      <c r="AC141" s="21" t="str">
        <f>IF($D141="","",SUMIF('TALLY BOX DUMP'!$1:$1,'ACH CALC'!AC$2,'TALLY BOX DUMP'!140:140))</f>
        <v/>
      </c>
      <c r="AD141" s="21" t="str">
        <f>IF($D141="","",SUMIF('TALLY BOX DUMP'!$1:$1,'ACH CALC'!AD$2,'TALLY BOX DUMP'!140:140))</f>
        <v/>
      </c>
      <c r="AE141" s="21" t="str">
        <f>IF($D141="","",SUMIF('TALLY BOX DUMP'!$1:$1,'ACH CALC'!AE$2,'TALLY BOX DUMP'!140:140))</f>
        <v/>
      </c>
      <c r="AF141" s="21" t="str">
        <f>IF($D141="","",SUMIF('TALLY BOX DUMP'!$1:$1,'ACH CALC'!AF$2,'TALLY BOX DUMP'!140:140))</f>
        <v/>
      </c>
      <c r="AG141" s="21" t="str">
        <f>IF($D141="","",SUMIF('TALLY BOX DUMP'!$1:$1,'ACH CALC'!AG$2,'TALLY BOX DUMP'!140:140))</f>
        <v/>
      </c>
      <c r="AH141" s="21" t="str">
        <f>IF($D141="","",SUMIF('TALLY BOX DUMP'!$1:$1,'ACH CALC'!AH$2,'TALLY BOX DUMP'!140:140))</f>
        <v/>
      </c>
      <c r="AI141" s="21" t="str">
        <f>IF($D141="","",SUMIF('TALLY BOX DUMP'!$1:$1,'ACH CALC'!AI$2,'TALLY BOX DUMP'!140:140))</f>
        <v/>
      </c>
      <c r="AJ141" s="21" t="str">
        <f>IF($D141="","",SUMIF('TALLY BOX DUMP'!$1:$1,'ACH CALC'!AJ$2,'TALLY BOX DUMP'!140:140))</f>
        <v/>
      </c>
      <c r="AK141" s="21" t="str">
        <f>IF($D141="","",SUMIF('TALLY BOX DUMP'!$1:$1,'ACH CALC'!AK$2,'TALLY BOX DUMP'!140:140))</f>
        <v/>
      </c>
      <c r="AL141" s="21" t="str">
        <f>IF($D141="","",ROUND(SUMIF('TALLY KG DUMP'!$1:$1,'ACH CALC'!AL$2,'TALLY KG DUMP'!140:140)/30,1))</f>
        <v/>
      </c>
      <c r="AM141" s="21" t="str">
        <f>IF($D141="","",SUMIF('TALLY BOX DUMP'!$1:$1,'ACH CALC'!AM$2,'TALLY BOX DUMP'!140:140))</f>
        <v/>
      </c>
      <c r="AN141" s="21" t="str">
        <f>IF($D141="","",SUMIF('TALLY BOX DUMP'!$1:$1,'ACH CALC'!AN$2,'TALLY BOX DUMP'!140:140))</f>
        <v/>
      </c>
      <c r="AO141" s="21" t="str">
        <f>IF($D141="","",SUMIF('TALLY BOX DUMP'!$1:$1,'ACH CALC'!AO$2,'TALLY BOX DUMP'!140:140))</f>
        <v/>
      </c>
      <c r="AP141" s="21" t="str">
        <f>IF($D141="","",SUMIF('TALLY BOX DUMP'!$1:$1,'ACH CALC'!AP$2,'TALLY BOX DUMP'!140:140))</f>
        <v/>
      </c>
      <c r="AQ141" s="21" t="str">
        <f>IF($D141="","",ROUND(SUMIF('TALLY KG DUMP'!$1:$1,'ACH CALC'!AQ$2,'TALLY KG DUMP'!140:140)/30,1))</f>
        <v/>
      </c>
      <c r="AR141" s="21" t="str">
        <f>IF($D141="","",SUMIF('TALLY BOX DUMP'!$1:$1,'ACH CALC'!AR$2,'TALLY BOX DUMP'!140:140))</f>
        <v/>
      </c>
      <c r="AS141" s="21" t="str">
        <f>IF($D141="","",SUMIF('TALLY BOX DUMP'!$1:$1,'ACH CALC'!AS$2,'TALLY BOX DUMP'!140:140))</f>
        <v/>
      </c>
      <c r="AT141" s="21" t="str">
        <f>IF($D141="","",SUMIF('TALLY BOX DUMP'!$1:$1,'ACH CALC'!AT$2,'TALLY BOX DUMP'!140:140))</f>
        <v/>
      </c>
      <c r="AU141" s="21" t="str">
        <f>IF($D141="","",SUMIF('TALLY BOX DUMP'!$1:$1,'ACH CALC'!AU$2,'TALLY BOX DUMP'!140:140))</f>
        <v/>
      </c>
      <c r="AV141" s="21" t="str">
        <f>IF($D141="","",SUMIF('TALLY BOX DUMP'!$1:$1,'ACH CALC'!AV$2,'TALLY BOX DUMP'!140:140))</f>
        <v/>
      </c>
      <c r="AW141" s="21" t="str">
        <f>IF($D141="","",SUMIF('TALLY BOX DUMP'!$1:$1,'ACH CALC'!AW$2,'TALLY BOX DUMP'!140:140))</f>
        <v/>
      </c>
      <c r="AX141" s="21" t="str">
        <f>IF($D141="","",SUMIF('TALLY BOX DUMP'!$1:$1,'ACH CALC'!AX$2,'TALLY BOX DUMP'!140:140))</f>
        <v/>
      </c>
      <c r="AY141" s="21" t="str">
        <f>IF($D141="","",SUMIF('TALLY BOX DUMP'!$1:$1,'ACH CALC'!AY$2,'TALLY BOX DUMP'!140:140))</f>
        <v/>
      </c>
      <c r="AZ141" s="21" t="str">
        <f>IF($D141="","",SUMIF('TALLY BOX DUMP'!$1:$1,'ACH CALC'!AZ$2,'TALLY BOX DUMP'!140:140))</f>
        <v/>
      </c>
      <c r="BA141" s="69">
        <f>(SUMIF('TALLY KG DUMP'!$2:$2,"Qty",'TALLY KG DUMP'!140:140)/1000)-(SUMIF('TALLY KG DUMP'!$1:$1,"GL",'TALLY KG DUMP'!140:140)/1000)</f>
        <v>0</v>
      </c>
      <c r="BB141" s="21" t="b">
        <f t="shared" si="8"/>
        <v>0</v>
      </c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</row>
    <row r="142" spans="2:75" x14ac:dyDescent="0.25">
      <c r="B142" s="21"/>
      <c r="C142" s="21"/>
      <c r="D142" s="21"/>
      <c r="E142" s="21" t="str">
        <f>IF($D142="","",(SUMIF('TALLY KG DUMP'!$2:$2,"Qty",'TALLY KG DUMP'!141:141)/1000)-(SUMIF('TALLY KG DUMP'!$1:$1,"GL",'TALLY KG DUMP'!141:141)/1000))</f>
        <v/>
      </c>
      <c r="F142" s="21" t="str">
        <f>IF($D142="","",(SUMIF('TALLY KG DUMP'!$1:$1,'ACH CALC'!F$2,'TALLY KG DUMP'!141:141)/1000))</f>
        <v/>
      </c>
      <c r="G142" s="21" t="str">
        <f>IF($D142="","",SUMIF('TALLY BOX DUMP'!$1:$1,'ACH CALC'!G$2,'TALLY BOX DUMP'!141:141)+Y142)</f>
        <v/>
      </c>
      <c r="H142" s="21" t="str">
        <f t="shared" si="6"/>
        <v/>
      </c>
      <c r="I142" s="21" t="str">
        <f>IF($D142="","",SUMIF('TALLY BOX DUMP'!$1:$1,'ACH CALC'!I$2,'TALLY BOX DUMP'!141:141)+AA142)</f>
        <v/>
      </c>
      <c r="J142" s="21" t="str">
        <f>IF($D142="","",SUMIF('TALLY BOX DUMP'!$1:$1,'ACH CALC'!J$2,'TALLY BOX DUMP'!141:141)+AB142)</f>
        <v/>
      </c>
      <c r="K142" s="21" t="str">
        <f>IF($D142="","",SUMIF('TALLY BOX DUMP'!$1:$1,'ACH CALC'!K$2,'TALLY BOX DUMP'!141:141)+AC142)</f>
        <v/>
      </c>
      <c r="L142" s="21" t="str">
        <f>IF($D142="","",SUMIF('TALLY BOX DUMP'!$1:$1,'ACH CALC'!L$2,'TALLY BOX DUMP'!141:141))</f>
        <v/>
      </c>
      <c r="M142" s="21" t="str">
        <f>IF($D142="","",SUMIF('TALLY BOX DUMP'!$1:$1,'ACH CALC'!M$2,'TALLY BOX DUMP'!141:141)+AD142)</f>
        <v/>
      </c>
      <c r="N142" s="21" t="str">
        <f>IF($D142="","",SUMIF('TALLY BOX DUMP'!$1:$1,'ACH CALC'!N$2,'TALLY BOX DUMP'!141:141))</f>
        <v/>
      </c>
      <c r="O142" s="21" t="str">
        <f>IF($D142="","",SUMIF('TALLY BOX DUMP'!$1:$1,'ACH CALC'!O$2,'TALLY BOX DUMP'!141:141))</f>
        <v/>
      </c>
      <c r="P142" s="21" t="str">
        <f>IF($D142="","",SUMIF('TALLY BOX DUMP'!$1:$1,'ACH CALC'!P$2,'TALLY BOX DUMP'!141:141))</f>
        <v/>
      </c>
      <c r="Q142" s="21" t="str">
        <f t="shared" si="7"/>
        <v/>
      </c>
      <c r="R142" s="21" t="str">
        <f>IF($D142="","",SUMIF('TALLY BOX DUMP'!$1:$1,'ACH CALC'!R$2,'TALLY BOX DUMP'!141:141))</f>
        <v/>
      </c>
      <c r="S142" s="21" t="str">
        <f>IF($D142="","",SUMIF('TALLY BOX DUMP'!$1:$1,'ACH CALC'!S$2,'TALLY BOX DUMP'!141:141))</f>
        <v/>
      </c>
      <c r="T142" s="21" t="str">
        <f>IF($D142="","",SUMIF('TALLY BOX DUMP'!$1:$1,'ACH CALC'!T$2,'TALLY BOX DUMP'!141:141))</f>
        <v/>
      </c>
      <c r="U142" s="21" t="str">
        <f>IF($D142="","",SUMIF('TALLY BOX DUMP'!$1:$1,'ACH CALC'!U$2,'TALLY BOX DUMP'!141:141))</f>
        <v/>
      </c>
      <c r="V142" s="21" t="str">
        <f>IF($D142="","",SUMIF('TALLY BOX DUMP'!$1:$1,'ACH CALC'!V$2,'TALLY BOX DUMP'!141:141))</f>
        <v/>
      </c>
      <c r="W142" s="21" t="str">
        <f>IF($D142="","",SUMIF('TALLY BOX DUMP'!$1:$1,'ACH CALC'!W$2,'TALLY BOX DUMP'!141:141))</f>
        <v/>
      </c>
      <c r="X142" s="21" t="str">
        <f>IF($D142="","",SUMIF('TALLY BOX DUMP'!$1:$1,'ACH CALC'!X$2,'TALLY BOX DUMP'!141:141))</f>
        <v/>
      </c>
      <c r="Y142" s="21" t="str">
        <f>IF($D142="","",SUMIF('TALLY BOX DUMP'!$1:$1,'ACH CALC'!Y$2,'TALLY BOX DUMP'!141:141))</f>
        <v/>
      </c>
      <c r="Z142" s="21" t="str">
        <f>IF($D142="","",SUMIF('TALLY BOX DUMP'!$1:$1,'ACH CALC'!Z$2,'TALLY BOX DUMP'!141:141)+AE142)</f>
        <v/>
      </c>
      <c r="AA142" s="21" t="str">
        <f>IF($D142="","",SUMIF('TALLY BOX DUMP'!$1:$1,'ACH CALC'!AA$2,'TALLY BOX DUMP'!141:141))</f>
        <v/>
      </c>
      <c r="AB142" s="21" t="str">
        <f>IF($D142="","",SUMIF('TALLY BOX DUMP'!$1:$1,'ACH CALC'!AB$2,'TALLY BOX DUMP'!141:141))</f>
        <v/>
      </c>
      <c r="AC142" s="21" t="str">
        <f>IF($D142="","",SUMIF('TALLY BOX DUMP'!$1:$1,'ACH CALC'!AC$2,'TALLY BOX DUMP'!141:141))</f>
        <v/>
      </c>
      <c r="AD142" s="21" t="str">
        <f>IF($D142="","",SUMIF('TALLY BOX DUMP'!$1:$1,'ACH CALC'!AD$2,'TALLY BOX DUMP'!141:141))</f>
        <v/>
      </c>
      <c r="AE142" s="21" t="str">
        <f>IF($D142="","",SUMIF('TALLY BOX DUMP'!$1:$1,'ACH CALC'!AE$2,'TALLY BOX DUMP'!141:141))</f>
        <v/>
      </c>
      <c r="AF142" s="21" t="str">
        <f>IF($D142="","",SUMIF('TALLY BOX DUMP'!$1:$1,'ACH CALC'!AF$2,'TALLY BOX DUMP'!141:141))</f>
        <v/>
      </c>
      <c r="AG142" s="21" t="str">
        <f>IF($D142="","",SUMIF('TALLY BOX DUMP'!$1:$1,'ACH CALC'!AG$2,'TALLY BOX DUMP'!141:141))</f>
        <v/>
      </c>
      <c r="AH142" s="21" t="str">
        <f>IF($D142="","",SUMIF('TALLY BOX DUMP'!$1:$1,'ACH CALC'!AH$2,'TALLY BOX DUMP'!141:141))</f>
        <v/>
      </c>
      <c r="AI142" s="21" t="str">
        <f>IF($D142="","",SUMIF('TALLY BOX DUMP'!$1:$1,'ACH CALC'!AI$2,'TALLY BOX DUMP'!141:141))</f>
        <v/>
      </c>
      <c r="AJ142" s="21" t="str">
        <f>IF($D142="","",SUMIF('TALLY BOX DUMP'!$1:$1,'ACH CALC'!AJ$2,'TALLY BOX DUMP'!141:141))</f>
        <v/>
      </c>
      <c r="AK142" s="21" t="str">
        <f>IF($D142="","",SUMIF('TALLY BOX DUMP'!$1:$1,'ACH CALC'!AK$2,'TALLY BOX DUMP'!141:141))</f>
        <v/>
      </c>
      <c r="AL142" s="21" t="str">
        <f>IF($D142="","",ROUND(SUMIF('TALLY KG DUMP'!$1:$1,'ACH CALC'!AL$2,'TALLY KG DUMP'!141:141)/30,1))</f>
        <v/>
      </c>
      <c r="AM142" s="21" t="str">
        <f>IF($D142="","",SUMIF('TALLY BOX DUMP'!$1:$1,'ACH CALC'!AM$2,'TALLY BOX DUMP'!141:141))</f>
        <v/>
      </c>
      <c r="AN142" s="21" t="str">
        <f>IF($D142="","",SUMIF('TALLY BOX DUMP'!$1:$1,'ACH CALC'!AN$2,'TALLY BOX DUMP'!141:141))</f>
        <v/>
      </c>
      <c r="AO142" s="21" t="str">
        <f>IF($D142="","",SUMIF('TALLY BOX DUMP'!$1:$1,'ACH CALC'!AO$2,'TALLY BOX DUMP'!141:141))</f>
        <v/>
      </c>
      <c r="AP142" s="21" t="str">
        <f>IF($D142="","",SUMIF('TALLY BOX DUMP'!$1:$1,'ACH CALC'!AP$2,'TALLY BOX DUMP'!141:141))</f>
        <v/>
      </c>
      <c r="AQ142" s="21" t="str">
        <f>IF($D142="","",ROUND(SUMIF('TALLY KG DUMP'!$1:$1,'ACH CALC'!AQ$2,'TALLY KG DUMP'!141:141)/30,1))</f>
        <v/>
      </c>
      <c r="AR142" s="21" t="str">
        <f>IF($D142="","",SUMIF('TALLY BOX DUMP'!$1:$1,'ACH CALC'!AR$2,'TALLY BOX DUMP'!141:141))</f>
        <v/>
      </c>
      <c r="AS142" s="21" t="str">
        <f>IF($D142="","",SUMIF('TALLY BOX DUMP'!$1:$1,'ACH CALC'!AS$2,'TALLY BOX DUMP'!141:141))</f>
        <v/>
      </c>
      <c r="AT142" s="21" t="str">
        <f>IF($D142="","",SUMIF('TALLY BOX DUMP'!$1:$1,'ACH CALC'!AT$2,'TALLY BOX DUMP'!141:141))</f>
        <v/>
      </c>
      <c r="AU142" s="21" t="str">
        <f>IF($D142="","",SUMIF('TALLY BOX DUMP'!$1:$1,'ACH CALC'!AU$2,'TALLY BOX DUMP'!141:141))</f>
        <v/>
      </c>
      <c r="AV142" s="21" t="str">
        <f>IF($D142="","",SUMIF('TALLY BOX DUMP'!$1:$1,'ACH CALC'!AV$2,'TALLY BOX DUMP'!141:141))</f>
        <v/>
      </c>
      <c r="AW142" s="21" t="str">
        <f>IF($D142="","",SUMIF('TALLY BOX DUMP'!$1:$1,'ACH CALC'!AW$2,'TALLY BOX DUMP'!141:141))</f>
        <v/>
      </c>
      <c r="AX142" s="21" t="str">
        <f>IF($D142="","",SUMIF('TALLY BOX DUMP'!$1:$1,'ACH CALC'!AX$2,'TALLY BOX DUMP'!141:141))</f>
        <v/>
      </c>
      <c r="AY142" s="21" t="str">
        <f>IF($D142="","",SUMIF('TALLY BOX DUMP'!$1:$1,'ACH CALC'!AY$2,'TALLY BOX DUMP'!141:141))</f>
        <v/>
      </c>
      <c r="AZ142" s="21" t="str">
        <f>IF($D142="","",SUMIF('TALLY BOX DUMP'!$1:$1,'ACH CALC'!AZ$2,'TALLY BOX DUMP'!141:141))</f>
        <v/>
      </c>
      <c r="BA142" s="69">
        <f>(SUMIF('TALLY KG DUMP'!$2:$2,"Qty",'TALLY KG DUMP'!141:141)/1000)-(SUMIF('TALLY KG DUMP'!$1:$1,"GL",'TALLY KG DUMP'!141:141)/1000)</f>
        <v>0</v>
      </c>
      <c r="BB142" s="21" t="b">
        <f t="shared" si="8"/>
        <v>0</v>
      </c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</row>
    <row r="143" spans="2:75" x14ac:dyDescent="0.25">
      <c r="B143" s="21"/>
      <c r="C143" s="21"/>
      <c r="D143" s="21"/>
      <c r="E143" s="21" t="str">
        <f>IF($D143="","",(SUMIF('TALLY KG DUMP'!$2:$2,"Qty",'TALLY KG DUMP'!142:142)/1000)-(SUMIF('TALLY KG DUMP'!$1:$1,"GL",'TALLY KG DUMP'!142:142)/1000))</f>
        <v/>
      </c>
      <c r="F143" s="21" t="str">
        <f>IF($D143="","",(SUMIF('TALLY KG DUMP'!$1:$1,'ACH CALC'!F$2,'TALLY KG DUMP'!142:142)/1000))</f>
        <v/>
      </c>
      <c r="G143" s="21" t="str">
        <f>IF($D143="","",SUMIF('TALLY BOX DUMP'!$1:$1,'ACH CALC'!G$2,'TALLY BOX DUMP'!142:142)+Y143)</f>
        <v/>
      </c>
      <c r="H143" s="21" t="str">
        <f t="shared" si="6"/>
        <v/>
      </c>
      <c r="I143" s="21" t="str">
        <f>IF($D143="","",SUMIF('TALLY BOX DUMP'!$1:$1,'ACH CALC'!I$2,'TALLY BOX DUMP'!142:142)+AA143)</f>
        <v/>
      </c>
      <c r="J143" s="21" t="str">
        <f>IF($D143="","",SUMIF('TALLY BOX DUMP'!$1:$1,'ACH CALC'!J$2,'TALLY BOX DUMP'!142:142)+AB143)</f>
        <v/>
      </c>
      <c r="K143" s="21" t="str">
        <f>IF($D143="","",SUMIF('TALLY BOX DUMP'!$1:$1,'ACH CALC'!K$2,'TALLY BOX DUMP'!142:142)+AC143)</f>
        <v/>
      </c>
      <c r="L143" s="21" t="str">
        <f>IF($D143="","",SUMIF('TALLY BOX DUMP'!$1:$1,'ACH CALC'!L$2,'TALLY BOX DUMP'!142:142))</f>
        <v/>
      </c>
      <c r="M143" s="21" t="str">
        <f>IF($D143="","",SUMIF('TALLY BOX DUMP'!$1:$1,'ACH CALC'!M$2,'TALLY BOX DUMP'!142:142)+AD143)</f>
        <v/>
      </c>
      <c r="N143" s="21" t="str">
        <f>IF($D143="","",SUMIF('TALLY BOX DUMP'!$1:$1,'ACH CALC'!N$2,'TALLY BOX DUMP'!142:142))</f>
        <v/>
      </c>
      <c r="O143" s="21" t="str">
        <f>IF($D143="","",SUMIF('TALLY BOX DUMP'!$1:$1,'ACH CALC'!O$2,'TALLY BOX DUMP'!142:142))</f>
        <v/>
      </c>
      <c r="P143" s="21" t="str">
        <f>IF($D143="","",SUMIF('TALLY BOX DUMP'!$1:$1,'ACH CALC'!P$2,'TALLY BOX DUMP'!142:142))</f>
        <v/>
      </c>
      <c r="Q143" s="21" t="str">
        <f t="shared" si="7"/>
        <v/>
      </c>
      <c r="R143" s="21" t="str">
        <f>IF($D143="","",SUMIF('TALLY BOX DUMP'!$1:$1,'ACH CALC'!R$2,'TALLY BOX DUMP'!142:142))</f>
        <v/>
      </c>
      <c r="S143" s="21" t="str">
        <f>IF($D143="","",SUMIF('TALLY BOX DUMP'!$1:$1,'ACH CALC'!S$2,'TALLY BOX DUMP'!142:142))</f>
        <v/>
      </c>
      <c r="T143" s="21" t="str">
        <f>IF($D143="","",SUMIF('TALLY BOX DUMP'!$1:$1,'ACH CALC'!T$2,'TALLY BOX DUMP'!142:142))</f>
        <v/>
      </c>
      <c r="U143" s="21" t="str">
        <f>IF($D143="","",SUMIF('TALLY BOX DUMP'!$1:$1,'ACH CALC'!U$2,'TALLY BOX DUMP'!142:142))</f>
        <v/>
      </c>
      <c r="V143" s="21" t="str">
        <f>IF($D143="","",SUMIF('TALLY BOX DUMP'!$1:$1,'ACH CALC'!V$2,'TALLY BOX DUMP'!142:142))</f>
        <v/>
      </c>
      <c r="W143" s="21" t="str">
        <f>IF($D143="","",SUMIF('TALLY BOX DUMP'!$1:$1,'ACH CALC'!W$2,'TALLY BOX DUMP'!142:142))</f>
        <v/>
      </c>
      <c r="X143" s="21" t="str">
        <f>IF($D143="","",SUMIF('TALLY BOX DUMP'!$1:$1,'ACH CALC'!X$2,'TALLY BOX DUMP'!142:142))</f>
        <v/>
      </c>
      <c r="Y143" s="21" t="str">
        <f>IF($D143="","",SUMIF('TALLY BOX DUMP'!$1:$1,'ACH CALC'!Y$2,'TALLY BOX DUMP'!142:142))</f>
        <v/>
      </c>
      <c r="Z143" s="21" t="str">
        <f>IF($D143="","",SUMIF('TALLY BOX DUMP'!$1:$1,'ACH CALC'!Z$2,'TALLY BOX DUMP'!142:142)+AE143)</f>
        <v/>
      </c>
      <c r="AA143" s="21" t="str">
        <f>IF($D143="","",SUMIF('TALLY BOX DUMP'!$1:$1,'ACH CALC'!AA$2,'TALLY BOX DUMP'!142:142))</f>
        <v/>
      </c>
      <c r="AB143" s="21" t="str">
        <f>IF($D143="","",SUMIF('TALLY BOX DUMP'!$1:$1,'ACH CALC'!AB$2,'TALLY BOX DUMP'!142:142))</f>
        <v/>
      </c>
      <c r="AC143" s="21" t="str">
        <f>IF($D143="","",SUMIF('TALLY BOX DUMP'!$1:$1,'ACH CALC'!AC$2,'TALLY BOX DUMP'!142:142))</f>
        <v/>
      </c>
      <c r="AD143" s="21" t="str">
        <f>IF($D143="","",SUMIF('TALLY BOX DUMP'!$1:$1,'ACH CALC'!AD$2,'TALLY BOX DUMP'!142:142))</f>
        <v/>
      </c>
      <c r="AE143" s="21" t="str">
        <f>IF($D143="","",SUMIF('TALLY BOX DUMP'!$1:$1,'ACH CALC'!AE$2,'TALLY BOX DUMP'!142:142))</f>
        <v/>
      </c>
      <c r="AF143" s="21" t="str">
        <f>IF($D143="","",SUMIF('TALLY BOX DUMP'!$1:$1,'ACH CALC'!AF$2,'TALLY BOX DUMP'!142:142))</f>
        <v/>
      </c>
      <c r="AG143" s="21" t="str">
        <f>IF($D143="","",SUMIF('TALLY BOX DUMP'!$1:$1,'ACH CALC'!AG$2,'TALLY BOX DUMP'!142:142))</f>
        <v/>
      </c>
      <c r="AH143" s="21" t="str">
        <f>IF($D143="","",SUMIF('TALLY BOX DUMP'!$1:$1,'ACH CALC'!AH$2,'TALLY BOX DUMP'!142:142))</f>
        <v/>
      </c>
      <c r="AI143" s="21" t="str">
        <f>IF($D143="","",SUMIF('TALLY BOX DUMP'!$1:$1,'ACH CALC'!AI$2,'TALLY BOX DUMP'!142:142))</f>
        <v/>
      </c>
      <c r="AJ143" s="21" t="str">
        <f>IF($D143="","",SUMIF('TALLY BOX DUMP'!$1:$1,'ACH CALC'!AJ$2,'TALLY BOX DUMP'!142:142))</f>
        <v/>
      </c>
      <c r="AK143" s="21" t="str">
        <f>IF($D143="","",SUMIF('TALLY BOX DUMP'!$1:$1,'ACH CALC'!AK$2,'TALLY BOX DUMP'!142:142))</f>
        <v/>
      </c>
      <c r="AL143" s="21" t="str">
        <f>IF($D143="","",ROUND(SUMIF('TALLY KG DUMP'!$1:$1,'ACH CALC'!AL$2,'TALLY KG DUMP'!142:142)/30,1))</f>
        <v/>
      </c>
      <c r="AM143" s="21" t="str">
        <f>IF($D143="","",SUMIF('TALLY BOX DUMP'!$1:$1,'ACH CALC'!AM$2,'TALLY BOX DUMP'!142:142))</f>
        <v/>
      </c>
      <c r="AN143" s="21" t="str">
        <f>IF($D143="","",SUMIF('TALLY BOX DUMP'!$1:$1,'ACH CALC'!AN$2,'TALLY BOX DUMP'!142:142))</f>
        <v/>
      </c>
      <c r="AO143" s="21" t="str">
        <f>IF($D143="","",SUMIF('TALLY BOX DUMP'!$1:$1,'ACH CALC'!AO$2,'TALLY BOX DUMP'!142:142))</f>
        <v/>
      </c>
      <c r="AP143" s="21" t="str">
        <f>IF($D143="","",SUMIF('TALLY BOX DUMP'!$1:$1,'ACH CALC'!AP$2,'TALLY BOX DUMP'!142:142))</f>
        <v/>
      </c>
      <c r="AQ143" s="21" t="str">
        <f>IF($D143="","",ROUND(SUMIF('TALLY KG DUMP'!$1:$1,'ACH CALC'!AQ$2,'TALLY KG DUMP'!142:142)/30,1))</f>
        <v/>
      </c>
      <c r="AR143" s="21" t="str">
        <f>IF($D143="","",SUMIF('TALLY BOX DUMP'!$1:$1,'ACH CALC'!AR$2,'TALLY BOX DUMP'!142:142))</f>
        <v/>
      </c>
      <c r="AS143" s="21" t="str">
        <f>IF($D143="","",SUMIF('TALLY BOX DUMP'!$1:$1,'ACH CALC'!AS$2,'TALLY BOX DUMP'!142:142))</f>
        <v/>
      </c>
      <c r="AT143" s="21" t="str">
        <f>IF($D143="","",SUMIF('TALLY BOX DUMP'!$1:$1,'ACH CALC'!AT$2,'TALLY BOX DUMP'!142:142))</f>
        <v/>
      </c>
      <c r="AU143" s="21" t="str">
        <f>IF($D143="","",SUMIF('TALLY BOX DUMP'!$1:$1,'ACH CALC'!AU$2,'TALLY BOX DUMP'!142:142))</f>
        <v/>
      </c>
      <c r="AV143" s="21" t="str">
        <f>IF($D143="","",SUMIF('TALLY BOX DUMP'!$1:$1,'ACH CALC'!AV$2,'TALLY BOX DUMP'!142:142))</f>
        <v/>
      </c>
      <c r="AW143" s="21" t="str">
        <f>IF($D143="","",SUMIF('TALLY BOX DUMP'!$1:$1,'ACH CALC'!AW$2,'TALLY BOX DUMP'!142:142))</f>
        <v/>
      </c>
      <c r="AX143" s="21" t="str">
        <f>IF($D143="","",SUMIF('TALLY BOX DUMP'!$1:$1,'ACH CALC'!AX$2,'TALLY BOX DUMP'!142:142))</f>
        <v/>
      </c>
      <c r="AY143" s="21" t="str">
        <f>IF($D143="","",SUMIF('TALLY BOX DUMP'!$1:$1,'ACH CALC'!AY$2,'TALLY BOX DUMP'!142:142))</f>
        <v/>
      </c>
      <c r="AZ143" s="21" t="str">
        <f>IF($D143="","",SUMIF('TALLY BOX DUMP'!$1:$1,'ACH CALC'!AZ$2,'TALLY BOX DUMP'!142:142))</f>
        <v/>
      </c>
      <c r="BA143" s="69">
        <f>(SUMIF('TALLY KG DUMP'!$2:$2,"Qty",'TALLY KG DUMP'!142:142)/1000)-(SUMIF('TALLY KG DUMP'!$1:$1,"GL",'TALLY KG DUMP'!142:142)/1000)</f>
        <v>0</v>
      </c>
      <c r="BB143" s="21" t="b">
        <f t="shared" si="8"/>
        <v>0</v>
      </c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</row>
    <row r="144" spans="2:75" x14ac:dyDescent="0.25">
      <c r="B144" s="21"/>
      <c r="C144" s="21"/>
      <c r="D144" s="21"/>
      <c r="E144" s="21" t="str">
        <f>IF($D144="","",(SUMIF('TALLY KG DUMP'!$2:$2,"Qty",'TALLY KG DUMP'!143:143)/1000)-(SUMIF('TALLY KG DUMP'!$1:$1,"GL",'TALLY KG DUMP'!143:143)/1000))</f>
        <v/>
      </c>
      <c r="F144" s="21" t="str">
        <f>IF($D144="","",(SUMIF('TALLY KG DUMP'!$1:$1,'ACH CALC'!F$2,'TALLY KG DUMP'!143:143)/1000))</f>
        <v/>
      </c>
      <c r="G144" s="21" t="str">
        <f>IF($D144="","",SUMIF('TALLY BOX DUMP'!$1:$1,'ACH CALC'!G$2,'TALLY BOX DUMP'!143:143)+Y144)</f>
        <v/>
      </c>
      <c r="H144" s="21" t="str">
        <f t="shared" si="6"/>
        <v/>
      </c>
      <c r="I144" s="21" t="str">
        <f>IF($D144="","",SUMIF('TALLY BOX DUMP'!$1:$1,'ACH CALC'!I$2,'TALLY BOX DUMP'!143:143)+AA144)</f>
        <v/>
      </c>
      <c r="J144" s="21" t="str">
        <f>IF($D144="","",SUMIF('TALLY BOX DUMP'!$1:$1,'ACH CALC'!J$2,'TALLY BOX DUMP'!143:143)+AB144)</f>
        <v/>
      </c>
      <c r="K144" s="21" t="str">
        <f>IF($D144="","",SUMIF('TALLY BOX DUMP'!$1:$1,'ACH CALC'!K$2,'TALLY BOX DUMP'!143:143)+AC144)</f>
        <v/>
      </c>
      <c r="L144" s="21" t="str">
        <f>IF($D144="","",SUMIF('TALLY BOX DUMP'!$1:$1,'ACH CALC'!L$2,'TALLY BOX DUMP'!143:143))</f>
        <v/>
      </c>
      <c r="M144" s="21" t="str">
        <f>IF($D144="","",SUMIF('TALLY BOX DUMP'!$1:$1,'ACH CALC'!M$2,'TALLY BOX DUMP'!143:143)+AD144)</f>
        <v/>
      </c>
      <c r="N144" s="21" t="str">
        <f>IF($D144="","",SUMIF('TALLY BOX DUMP'!$1:$1,'ACH CALC'!N$2,'TALLY BOX DUMP'!143:143))</f>
        <v/>
      </c>
      <c r="O144" s="21" t="str">
        <f>IF($D144="","",SUMIF('TALLY BOX DUMP'!$1:$1,'ACH CALC'!O$2,'TALLY BOX DUMP'!143:143))</f>
        <v/>
      </c>
      <c r="P144" s="21" t="str">
        <f>IF($D144="","",SUMIF('TALLY BOX DUMP'!$1:$1,'ACH CALC'!P$2,'TALLY BOX DUMP'!143:143))</f>
        <v/>
      </c>
      <c r="Q144" s="21" t="str">
        <f t="shared" si="7"/>
        <v/>
      </c>
      <c r="R144" s="21" t="str">
        <f>IF($D144="","",SUMIF('TALLY BOX DUMP'!$1:$1,'ACH CALC'!R$2,'TALLY BOX DUMP'!143:143))</f>
        <v/>
      </c>
      <c r="S144" s="21" t="str">
        <f>IF($D144="","",SUMIF('TALLY BOX DUMP'!$1:$1,'ACH CALC'!S$2,'TALLY BOX DUMP'!143:143))</f>
        <v/>
      </c>
      <c r="T144" s="21" t="str">
        <f>IF($D144="","",SUMIF('TALLY BOX DUMP'!$1:$1,'ACH CALC'!T$2,'TALLY BOX DUMP'!143:143))</f>
        <v/>
      </c>
      <c r="U144" s="21" t="str">
        <f>IF($D144="","",SUMIF('TALLY BOX DUMP'!$1:$1,'ACH CALC'!U$2,'TALLY BOX DUMP'!143:143))</f>
        <v/>
      </c>
      <c r="V144" s="21" t="str">
        <f>IF($D144="","",SUMIF('TALLY BOX DUMP'!$1:$1,'ACH CALC'!V$2,'TALLY BOX DUMP'!143:143))</f>
        <v/>
      </c>
      <c r="W144" s="21" t="str">
        <f>IF($D144="","",SUMIF('TALLY BOX DUMP'!$1:$1,'ACH CALC'!W$2,'TALLY BOX DUMP'!143:143))</f>
        <v/>
      </c>
      <c r="X144" s="21" t="str">
        <f>IF($D144="","",SUMIF('TALLY BOX DUMP'!$1:$1,'ACH CALC'!X$2,'TALLY BOX DUMP'!143:143))</f>
        <v/>
      </c>
      <c r="Y144" s="21" t="str">
        <f>IF($D144="","",SUMIF('TALLY BOX DUMP'!$1:$1,'ACH CALC'!Y$2,'TALLY BOX DUMP'!143:143))</f>
        <v/>
      </c>
      <c r="Z144" s="21" t="str">
        <f>IF($D144="","",SUMIF('TALLY BOX DUMP'!$1:$1,'ACH CALC'!Z$2,'TALLY BOX DUMP'!143:143)+AE144)</f>
        <v/>
      </c>
      <c r="AA144" s="21" t="str">
        <f>IF($D144="","",SUMIF('TALLY BOX DUMP'!$1:$1,'ACH CALC'!AA$2,'TALLY BOX DUMP'!143:143))</f>
        <v/>
      </c>
      <c r="AB144" s="21" t="str">
        <f>IF($D144="","",SUMIF('TALLY BOX DUMP'!$1:$1,'ACH CALC'!AB$2,'TALLY BOX DUMP'!143:143))</f>
        <v/>
      </c>
      <c r="AC144" s="21" t="str">
        <f>IF($D144="","",SUMIF('TALLY BOX DUMP'!$1:$1,'ACH CALC'!AC$2,'TALLY BOX DUMP'!143:143))</f>
        <v/>
      </c>
      <c r="AD144" s="21" t="str">
        <f>IF($D144="","",SUMIF('TALLY BOX DUMP'!$1:$1,'ACH CALC'!AD$2,'TALLY BOX DUMP'!143:143))</f>
        <v/>
      </c>
      <c r="AE144" s="21" t="str">
        <f>IF($D144="","",SUMIF('TALLY BOX DUMP'!$1:$1,'ACH CALC'!AE$2,'TALLY BOX DUMP'!143:143))</f>
        <v/>
      </c>
      <c r="AF144" s="21" t="str">
        <f>IF($D144="","",SUMIF('TALLY BOX DUMP'!$1:$1,'ACH CALC'!AF$2,'TALLY BOX DUMP'!143:143))</f>
        <v/>
      </c>
      <c r="AG144" s="21" t="str">
        <f>IF($D144="","",SUMIF('TALLY BOX DUMP'!$1:$1,'ACH CALC'!AG$2,'TALLY BOX DUMP'!143:143))</f>
        <v/>
      </c>
      <c r="AH144" s="21" t="str">
        <f>IF($D144="","",SUMIF('TALLY BOX DUMP'!$1:$1,'ACH CALC'!AH$2,'TALLY BOX DUMP'!143:143))</f>
        <v/>
      </c>
      <c r="AI144" s="21" t="str">
        <f>IF($D144="","",SUMIF('TALLY BOX DUMP'!$1:$1,'ACH CALC'!AI$2,'TALLY BOX DUMP'!143:143))</f>
        <v/>
      </c>
      <c r="AJ144" s="21" t="str">
        <f>IF($D144="","",SUMIF('TALLY BOX DUMP'!$1:$1,'ACH CALC'!AJ$2,'TALLY BOX DUMP'!143:143))</f>
        <v/>
      </c>
      <c r="AK144" s="21" t="str">
        <f>IF($D144="","",SUMIF('TALLY BOX DUMP'!$1:$1,'ACH CALC'!AK$2,'TALLY BOX DUMP'!143:143))</f>
        <v/>
      </c>
      <c r="AL144" s="21" t="str">
        <f>IF($D144="","",ROUND(SUMIF('TALLY KG DUMP'!$1:$1,'ACH CALC'!AL$2,'TALLY KG DUMP'!143:143)/30,1))</f>
        <v/>
      </c>
      <c r="AM144" s="21" t="str">
        <f>IF($D144="","",SUMIF('TALLY BOX DUMP'!$1:$1,'ACH CALC'!AM$2,'TALLY BOX DUMP'!143:143))</f>
        <v/>
      </c>
      <c r="AN144" s="21" t="str">
        <f>IF($D144="","",SUMIF('TALLY BOX DUMP'!$1:$1,'ACH CALC'!AN$2,'TALLY BOX DUMP'!143:143))</f>
        <v/>
      </c>
      <c r="AO144" s="21" t="str">
        <f>IF($D144="","",SUMIF('TALLY BOX DUMP'!$1:$1,'ACH CALC'!AO$2,'TALLY BOX DUMP'!143:143))</f>
        <v/>
      </c>
      <c r="AP144" s="21" t="str">
        <f>IF($D144="","",SUMIF('TALLY BOX DUMP'!$1:$1,'ACH CALC'!AP$2,'TALLY BOX DUMP'!143:143))</f>
        <v/>
      </c>
      <c r="AQ144" s="21" t="str">
        <f>IF($D144="","",ROUND(SUMIF('TALLY KG DUMP'!$1:$1,'ACH CALC'!AQ$2,'TALLY KG DUMP'!143:143)/30,1))</f>
        <v/>
      </c>
      <c r="AR144" s="21" t="str">
        <f>IF($D144="","",SUMIF('TALLY BOX DUMP'!$1:$1,'ACH CALC'!AR$2,'TALLY BOX DUMP'!143:143))</f>
        <v/>
      </c>
      <c r="AS144" s="21" t="str">
        <f>IF($D144="","",SUMIF('TALLY BOX DUMP'!$1:$1,'ACH CALC'!AS$2,'TALLY BOX DUMP'!143:143))</f>
        <v/>
      </c>
      <c r="AT144" s="21" t="str">
        <f>IF($D144="","",SUMIF('TALLY BOX DUMP'!$1:$1,'ACH CALC'!AT$2,'TALLY BOX DUMP'!143:143))</f>
        <v/>
      </c>
      <c r="AU144" s="21" t="str">
        <f>IF($D144="","",SUMIF('TALLY BOX DUMP'!$1:$1,'ACH CALC'!AU$2,'TALLY BOX DUMP'!143:143))</f>
        <v/>
      </c>
      <c r="AV144" s="21" t="str">
        <f>IF($D144="","",SUMIF('TALLY BOX DUMP'!$1:$1,'ACH CALC'!AV$2,'TALLY BOX DUMP'!143:143))</f>
        <v/>
      </c>
      <c r="AW144" s="21" t="str">
        <f>IF($D144="","",SUMIF('TALLY BOX DUMP'!$1:$1,'ACH CALC'!AW$2,'TALLY BOX DUMP'!143:143))</f>
        <v/>
      </c>
      <c r="AX144" s="21" t="str">
        <f>IF($D144="","",SUMIF('TALLY BOX DUMP'!$1:$1,'ACH CALC'!AX$2,'TALLY BOX DUMP'!143:143))</f>
        <v/>
      </c>
      <c r="AY144" s="21" t="str">
        <f>IF($D144="","",SUMIF('TALLY BOX DUMP'!$1:$1,'ACH CALC'!AY$2,'TALLY BOX DUMP'!143:143))</f>
        <v/>
      </c>
      <c r="AZ144" s="21" t="str">
        <f>IF($D144="","",SUMIF('TALLY BOX DUMP'!$1:$1,'ACH CALC'!AZ$2,'TALLY BOX DUMP'!143:143))</f>
        <v/>
      </c>
      <c r="BA144" s="69">
        <f>(SUMIF('TALLY KG DUMP'!$2:$2,"Qty",'TALLY KG DUMP'!143:143)/1000)-(SUMIF('TALLY KG DUMP'!$1:$1,"GL",'TALLY KG DUMP'!143:143)/1000)</f>
        <v>0</v>
      </c>
      <c r="BB144" s="21" t="b">
        <f t="shared" si="8"/>
        <v>0</v>
      </c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</row>
    <row r="145" spans="2:75" x14ac:dyDescent="0.25">
      <c r="B145" s="21"/>
      <c r="C145" s="21"/>
      <c r="D145" s="21"/>
      <c r="E145" s="21" t="str">
        <f>IF($D145="","",(SUMIF('TALLY KG DUMP'!$2:$2,"Qty",'TALLY KG DUMP'!144:144)/1000)-(SUMIF('TALLY KG DUMP'!$1:$1,"GL",'TALLY KG DUMP'!144:144)/1000))</f>
        <v/>
      </c>
      <c r="F145" s="21" t="str">
        <f>IF($D145="","",(SUMIF('TALLY KG DUMP'!$1:$1,'ACH CALC'!F$2,'TALLY KG DUMP'!144:144)/1000))</f>
        <v/>
      </c>
      <c r="G145" s="21" t="str">
        <f>IF($D145="","",SUMIF('TALLY BOX DUMP'!$1:$1,'ACH CALC'!G$2,'TALLY BOX DUMP'!144:144)+Y145)</f>
        <v/>
      </c>
      <c r="H145" s="21" t="str">
        <f t="shared" si="6"/>
        <v/>
      </c>
      <c r="I145" s="21" t="str">
        <f>IF($D145="","",SUMIF('TALLY BOX DUMP'!$1:$1,'ACH CALC'!I$2,'TALLY BOX DUMP'!144:144)+AA145)</f>
        <v/>
      </c>
      <c r="J145" s="21" t="str">
        <f>IF($D145="","",SUMIF('TALLY BOX DUMP'!$1:$1,'ACH CALC'!J$2,'TALLY BOX DUMP'!144:144)+AB145)</f>
        <v/>
      </c>
      <c r="K145" s="21" t="str">
        <f>IF($D145="","",SUMIF('TALLY BOX DUMP'!$1:$1,'ACH CALC'!K$2,'TALLY BOX DUMP'!144:144)+AC145)</f>
        <v/>
      </c>
      <c r="L145" s="21" t="str">
        <f>IF($D145="","",SUMIF('TALLY BOX DUMP'!$1:$1,'ACH CALC'!L$2,'TALLY BOX DUMP'!144:144))</f>
        <v/>
      </c>
      <c r="M145" s="21" t="str">
        <f>IF($D145="","",SUMIF('TALLY BOX DUMP'!$1:$1,'ACH CALC'!M$2,'TALLY BOX DUMP'!144:144)+AD145)</f>
        <v/>
      </c>
      <c r="N145" s="21" t="str">
        <f>IF($D145="","",SUMIF('TALLY BOX DUMP'!$1:$1,'ACH CALC'!N$2,'TALLY BOX DUMP'!144:144))</f>
        <v/>
      </c>
      <c r="O145" s="21" t="str">
        <f>IF($D145="","",SUMIF('TALLY BOX DUMP'!$1:$1,'ACH CALC'!O$2,'TALLY BOX DUMP'!144:144))</f>
        <v/>
      </c>
      <c r="P145" s="21" t="str">
        <f>IF($D145="","",SUMIF('TALLY BOX DUMP'!$1:$1,'ACH CALC'!P$2,'TALLY BOX DUMP'!144:144))</f>
        <v/>
      </c>
      <c r="Q145" s="21" t="str">
        <f t="shared" si="7"/>
        <v/>
      </c>
      <c r="R145" s="21" t="str">
        <f>IF($D145="","",SUMIF('TALLY BOX DUMP'!$1:$1,'ACH CALC'!R$2,'TALLY BOX DUMP'!144:144))</f>
        <v/>
      </c>
      <c r="S145" s="21" t="str">
        <f>IF($D145="","",SUMIF('TALLY BOX DUMP'!$1:$1,'ACH CALC'!S$2,'TALLY BOX DUMP'!144:144))</f>
        <v/>
      </c>
      <c r="T145" s="21" t="str">
        <f>IF($D145="","",SUMIF('TALLY BOX DUMP'!$1:$1,'ACH CALC'!T$2,'TALLY BOX DUMP'!144:144))</f>
        <v/>
      </c>
      <c r="U145" s="21" t="str">
        <f>IF($D145="","",SUMIF('TALLY BOX DUMP'!$1:$1,'ACH CALC'!U$2,'TALLY BOX DUMP'!144:144))</f>
        <v/>
      </c>
      <c r="V145" s="21" t="str">
        <f>IF($D145="","",SUMIF('TALLY BOX DUMP'!$1:$1,'ACH CALC'!V$2,'TALLY BOX DUMP'!144:144))</f>
        <v/>
      </c>
      <c r="W145" s="21" t="str">
        <f>IF($D145="","",SUMIF('TALLY BOX DUMP'!$1:$1,'ACH CALC'!W$2,'TALLY BOX DUMP'!144:144))</f>
        <v/>
      </c>
      <c r="X145" s="21" t="str">
        <f>IF($D145="","",SUMIF('TALLY BOX DUMP'!$1:$1,'ACH CALC'!X$2,'TALLY BOX DUMP'!144:144))</f>
        <v/>
      </c>
      <c r="Y145" s="21" t="str">
        <f>IF($D145="","",SUMIF('TALLY BOX DUMP'!$1:$1,'ACH CALC'!Y$2,'TALLY BOX DUMP'!144:144))</f>
        <v/>
      </c>
      <c r="Z145" s="21" t="str">
        <f>IF($D145="","",SUMIF('TALLY BOX DUMP'!$1:$1,'ACH CALC'!Z$2,'TALLY BOX DUMP'!144:144)+AE145)</f>
        <v/>
      </c>
      <c r="AA145" s="21" t="str">
        <f>IF($D145="","",SUMIF('TALLY BOX DUMP'!$1:$1,'ACH CALC'!AA$2,'TALLY BOX DUMP'!144:144))</f>
        <v/>
      </c>
      <c r="AB145" s="21" t="str">
        <f>IF($D145="","",SUMIF('TALLY BOX DUMP'!$1:$1,'ACH CALC'!AB$2,'TALLY BOX DUMP'!144:144))</f>
        <v/>
      </c>
      <c r="AC145" s="21" t="str">
        <f>IF($D145="","",SUMIF('TALLY BOX DUMP'!$1:$1,'ACH CALC'!AC$2,'TALLY BOX DUMP'!144:144))</f>
        <v/>
      </c>
      <c r="AD145" s="21" t="str">
        <f>IF($D145="","",SUMIF('TALLY BOX DUMP'!$1:$1,'ACH CALC'!AD$2,'TALLY BOX DUMP'!144:144))</f>
        <v/>
      </c>
      <c r="AE145" s="21" t="str">
        <f>IF($D145="","",SUMIF('TALLY BOX DUMP'!$1:$1,'ACH CALC'!AE$2,'TALLY BOX DUMP'!144:144))</f>
        <v/>
      </c>
      <c r="AF145" s="21" t="str">
        <f>IF($D145="","",SUMIF('TALLY BOX DUMP'!$1:$1,'ACH CALC'!AF$2,'TALLY BOX DUMP'!144:144))</f>
        <v/>
      </c>
      <c r="AG145" s="21" t="str">
        <f>IF($D145="","",SUMIF('TALLY BOX DUMP'!$1:$1,'ACH CALC'!AG$2,'TALLY BOX DUMP'!144:144))</f>
        <v/>
      </c>
      <c r="AH145" s="21" t="str">
        <f>IF($D145="","",SUMIF('TALLY BOX DUMP'!$1:$1,'ACH CALC'!AH$2,'TALLY BOX DUMP'!144:144))</f>
        <v/>
      </c>
      <c r="AI145" s="21" t="str">
        <f>IF($D145="","",SUMIF('TALLY BOX DUMP'!$1:$1,'ACH CALC'!AI$2,'TALLY BOX DUMP'!144:144))</f>
        <v/>
      </c>
      <c r="AJ145" s="21" t="str">
        <f>IF($D145="","",SUMIF('TALLY BOX DUMP'!$1:$1,'ACH CALC'!AJ$2,'TALLY BOX DUMP'!144:144))</f>
        <v/>
      </c>
      <c r="AK145" s="21" t="str">
        <f>IF($D145="","",SUMIF('TALLY BOX DUMP'!$1:$1,'ACH CALC'!AK$2,'TALLY BOX DUMP'!144:144))</f>
        <v/>
      </c>
      <c r="AL145" s="21" t="str">
        <f>IF($D145="","",ROUND(SUMIF('TALLY KG DUMP'!$1:$1,'ACH CALC'!AL$2,'TALLY KG DUMP'!144:144)/30,1))</f>
        <v/>
      </c>
      <c r="AM145" s="21" t="str">
        <f>IF($D145="","",SUMIF('TALLY BOX DUMP'!$1:$1,'ACH CALC'!AM$2,'TALLY BOX DUMP'!144:144))</f>
        <v/>
      </c>
      <c r="AN145" s="21" t="str">
        <f>IF($D145="","",SUMIF('TALLY BOX DUMP'!$1:$1,'ACH CALC'!AN$2,'TALLY BOX DUMP'!144:144))</f>
        <v/>
      </c>
      <c r="AO145" s="21" t="str">
        <f>IF($D145="","",SUMIF('TALLY BOX DUMP'!$1:$1,'ACH CALC'!AO$2,'TALLY BOX DUMP'!144:144))</f>
        <v/>
      </c>
      <c r="AP145" s="21" t="str">
        <f>IF($D145="","",SUMIF('TALLY BOX DUMP'!$1:$1,'ACH CALC'!AP$2,'TALLY BOX DUMP'!144:144))</f>
        <v/>
      </c>
      <c r="AQ145" s="21" t="str">
        <f>IF($D145="","",ROUND(SUMIF('TALLY KG DUMP'!$1:$1,'ACH CALC'!AQ$2,'TALLY KG DUMP'!144:144)/30,1))</f>
        <v/>
      </c>
      <c r="AR145" s="21" t="str">
        <f>IF($D145="","",SUMIF('TALLY BOX DUMP'!$1:$1,'ACH CALC'!AR$2,'TALLY BOX DUMP'!144:144))</f>
        <v/>
      </c>
      <c r="AS145" s="21" t="str">
        <f>IF($D145="","",SUMIF('TALLY BOX DUMP'!$1:$1,'ACH CALC'!AS$2,'TALLY BOX DUMP'!144:144))</f>
        <v/>
      </c>
      <c r="AT145" s="21" t="str">
        <f>IF($D145="","",SUMIF('TALLY BOX DUMP'!$1:$1,'ACH CALC'!AT$2,'TALLY BOX DUMP'!144:144))</f>
        <v/>
      </c>
      <c r="AU145" s="21" t="str">
        <f>IF($D145="","",SUMIF('TALLY BOX DUMP'!$1:$1,'ACH CALC'!AU$2,'TALLY BOX DUMP'!144:144))</f>
        <v/>
      </c>
      <c r="AV145" s="21" t="str">
        <f>IF($D145="","",SUMIF('TALLY BOX DUMP'!$1:$1,'ACH CALC'!AV$2,'TALLY BOX DUMP'!144:144))</f>
        <v/>
      </c>
      <c r="AW145" s="21" t="str">
        <f>IF($D145="","",SUMIF('TALLY BOX DUMP'!$1:$1,'ACH CALC'!AW$2,'TALLY BOX DUMP'!144:144))</f>
        <v/>
      </c>
      <c r="AX145" s="21" t="str">
        <f>IF($D145="","",SUMIF('TALLY BOX DUMP'!$1:$1,'ACH CALC'!AX$2,'TALLY BOX DUMP'!144:144))</f>
        <v/>
      </c>
      <c r="AY145" s="21" t="str">
        <f>IF($D145="","",SUMIF('TALLY BOX DUMP'!$1:$1,'ACH CALC'!AY$2,'TALLY BOX DUMP'!144:144))</f>
        <v/>
      </c>
      <c r="AZ145" s="21" t="str">
        <f>IF($D145="","",SUMIF('TALLY BOX DUMP'!$1:$1,'ACH CALC'!AZ$2,'TALLY BOX DUMP'!144:144))</f>
        <v/>
      </c>
      <c r="BA145" s="69">
        <f>(SUMIF('TALLY KG DUMP'!$2:$2,"Qty",'TALLY KG DUMP'!144:144)/1000)-(SUMIF('TALLY KG DUMP'!$1:$1,"GL",'TALLY KG DUMP'!144:144)/1000)</f>
        <v>0</v>
      </c>
      <c r="BB145" s="21" t="b">
        <f t="shared" si="8"/>
        <v>0</v>
      </c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</row>
    <row r="146" spans="2:75" x14ac:dyDescent="0.25">
      <c r="B146" s="21"/>
      <c r="C146" s="21"/>
      <c r="D146" s="21"/>
      <c r="E146" s="21" t="str">
        <f>IF($D146="","",(SUMIF('TALLY KG DUMP'!$2:$2,"Qty",'TALLY KG DUMP'!145:145)/1000)-(SUMIF('TALLY KG DUMP'!$1:$1,"GL",'TALLY KG DUMP'!145:145)/1000))</f>
        <v/>
      </c>
      <c r="F146" s="21" t="str">
        <f>IF($D146="","",(SUMIF('TALLY KG DUMP'!$1:$1,'ACH CALC'!F$2,'TALLY KG DUMP'!145:145)/1000))</f>
        <v/>
      </c>
      <c r="G146" s="21" t="str">
        <f>IF($D146="","",SUMIF('TALLY BOX DUMP'!$1:$1,'ACH CALC'!G$2,'TALLY BOX DUMP'!145:145)+Y146)</f>
        <v/>
      </c>
      <c r="H146" s="21" t="str">
        <f t="shared" si="6"/>
        <v/>
      </c>
      <c r="I146" s="21" t="str">
        <f>IF($D146="","",SUMIF('TALLY BOX DUMP'!$1:$1,'ACH CALC'!I$2,'TALLY BOX DUMP'!145:145)+AA146)</f>
        <v/>
      </c>
      <c r="J146" s="21" t="str">
        <f>IF($D146="","",SUMIF('TALLY BOX DUMP'!$1:$1,'ACH CALC'!J$2,'TALLY BOX DUMP'!145:145)+AB146)</f>
        <v/>
      </c>
      <c r="K146" s="21" t="str">
        <f>IF($D146="","",SUMIF('TALLY BOX DUMP'!$1:$1,'ACH CALC'!K$2,'TALLY BOX DUMP'!145:145)+AC146)</f>
        <v/>
      </c>
      <c r="L146" s="21" t="str">
        <f>IF($D146="","",SUMIF('TALLY BOX DUMP'!$1:$1,'ACH CALC'!L$2,'TALLY BOX DUMP'!145:145))</f>
        <v/>
      </c>
      <c r="M146" s="21" t="str">
        <f>IF($D146="","",SUMIF('TALLY BOX DUMP'!$1:$1,'ACH CALC'!M$2,'TALLY BOX DUMP'!145:145)+AD146)</f>
        <v/>
      </c>
      <c r="N146" s="21" t="str">
        <f>IF($D146="","",SUMIF('TALLY BOX DUMP'!$1:$1,'ACH CALC'!N$2,'TALLY BOX DUMP'!145:145))</f>
        <v/>
      </c>
      <c r="O146" s="21" t="str">
        <f>IF($D146="","",SUMIF('TALLY BOX DUMP'!$1:$1,'ACH CALC'!O$2,'TALLY BOX DUMP'!145:145))</f>
        <v/>
      </c>
      <c r="P146" s="21" t="str">
        <f>IF($D146="","",SUMIF('TALLY BOX DUMP'!$1:$1,'ACH CALC'!P$2,'TALLY BOX DUMP'!145:145))</f>
        <v/>
      </c>
      <c r="Q146" s="21" t="str">
        <f t="shared" si="7"/>
        <v/>
      </c>
      <c r="R146" s="21" t="str">
        <f>IF($D146="","",SUMIF('TALLY BOX DUMP'!$1:$1,'ACH CALC'!R$2,'TALLY BOX DUMP'!145:145))</f>
        <v/>
      </c>
      <c r="S146" s="21" t="str">
        <f>IF($D146="","",SUMIF('TALLY BOX DUMP'!$1:$1,'ACH CALC'!S$2,'TALLY BOX DUMP'!145:145))</f>
        <v/>
      </c>
      <c r="T146" s="21" t="str">
        <f>IF($D146="","",SUMIF('TALLY BOX DUMP'!$1:$1,'ACH CALC'!T$2,'TALLY BOX DUMP'!145:145))</f>
        <v/>
      </c>
      <c r="U146" s="21" t="str">
        <f>IF($D146="","",SUMIF('TALLY BOX DUMP'!$1:$1,'ACH CALC'!U$2,'TALLY BOX DUMP'!145:145))</f>
        <v/>
      </c>
      <c r="V146" s="21" t="str">
        <f>IF($D146="","",SUMIF('TALLY BOX DUMP'!$1:$1,'ACH CALC'!V$2,'TALLY BOX DUMP'!145:145))</f>
        <v/>
      </c>
      <c r="W146" s="21" t="str">
        <f>IF($D146="","",SUMIF('TALLY BOX DUMP'!$1:$1,'ACH CALC'!W$2,'TALLY BOX DUMP'!145:145))</f>
        <v/>
      </c>
      <c r="X146" s="21" t="str">
        <f>IF($D146="","",SUMIF('TALLY BOX DUMP'!$1:$1,'ACH CALC'!X$2,'TALLY BOX DUMP'!145:145))</f>
        <v/>
      </c>
      <c r="Y146" s="21" t="str">
        <f>IF($D146="","",SUMIF('TALLY BOX DUMP'!$1:$1,'ACH CALC'!Y$2,'TALLY BOX DUMP'!145:145))</f>
        <v/>
      </c>
      <c r="Z146" s="21" t="str">
        <f>IF($D146="","",SUMIF('TALLY BOX DUMP'!$1:$1,'ACH CALC'!Z$2,'TALLY BOX DUMP'!145:145)+AE146)</f>
        <v/>
      </c>
      <c r="AA146" s="21" t="str">
        <f>IF($D146="","",SUMIF('TALLY BOX DUMP'!$1:$1,'ACH CALC'!AA$2,'TALLY BOX DUMP'!145:145))</f>
        <v/>
      </c>
      <c r="AB146" s="21" t="str">
        <f>IF($D146="","",SUMIF('TALLY BOX DUMP'!$1:$1,'ACH CALC'!AB$2,'TALLY BOX DUMP'!145:145))</f>
        <v/>
      </c>
      <c r="AC146" s="21" t="str">
        <f>IF($D146="","",SUMIF('TALLY BOX DUMP'!$1:$1,'ACH CALC'!AC$2,'TALLY BOX DUMP'!145:145))</f>
        <v/>
      </c>
      <c r="AD146" s="21" t="str">
        <f>IF($D146="","",SUMIF('TALLY BOX DUMP'!$1:$1,'ACH CALC'!AD$2,'TALLY BOX DUMP'!145:145))</f>
        <v/>
      </c>
      <c r="AE146" s="21" t="str">
        <f>IF($D146="","",SUMIF('TALLY BOX DUMP'!$1:$1,'ACH CALC'!AE$2,'TALLY BOX DUMP'!145:145))</f>
        <v/>
      </c>
      <c r="AF146" s="21" t="str">
        <f>IF($D146="","",SUMIF('TALLY BOX DUMP'!$1:$1,'ACH CALC'!AF$2,'TALLY BOX DUMP'!145:145))</f>
        <v/>
      </c>
      <c r="AG146" s="21" t="str">
        <f>IF($D146="","",SUMIF('TALLY BOX DUMP'!$1:$1,'ACH CALC'!AG$2,'TALLY BOX DUMP'!145:145))</f>
        <v/>
      </c>
      <c r="AH146" s="21" t="str">
        <f>IF($D146="","",SUMIF('TALLY BOX DUMP'!$1:$1,'ACH CALC'!AH$2,'TALLY BOX DUMP'!145:145))</f>
        <v/>
      </c>
      <c r="AI146" s="21" t="str">
        <f>IF($D146="","",SUMIF('TALLY BOX DUMP'!$1:$1,'ACH CALC'!AI$2,'TALLY BOX DUMP'!145:145))</f>
        <v/>
      </c>
      <c r="AJ146" s="21" t="str">
        <f>IF($D146="","",SUMIF('TALLY BOX DUMP'!$1:$1,'ACH CALC'!AJ$2,'TALLY BOX DUMP'!145:145))</f>
        <v/>
      </c>
      <c r="AK146" s="21" t="str">
        <f>IF($D146="","",SUMIF('TALLY BOX DUMP'!$1:$1,'ACH CALC'!AK$2,'TALLY BOX DUMP'!145:145))</f>
        <v/>
      </c>
      <c r="AL146" s="21" t="str">
        <f>IF($D146="","",ROUND(SUMIF('TALLY KG DUMP'!$1:$1,'ACH CALC'!AL$2,'TALLY KG DUMP'!145:145)/30,1))</f>
        <v/>
      </c>
      <c r="AM146" s="21" t="str">
        <f>IF($D146="","",SUMIF('TALLY BOX DUMP'!$1:$1,'ACH CALC'!AM$2,'TALLY BOX DUMP'!145:145))</f>
        <v/>
      </c>
      <c r="AN146" s="21" t="str">
        <f>IF($D146="","",SUMIF('TALLY BOX DUMP'!$1:$1,'ACH CALC'!AN$2,'TALLY BOX DUMP'!145:145))</f>
        <v/>
      </c>
      <c r="AO146" s="21" t="str">
        <f>IF($D146="","",SUMIF('TALLY BOX DUMP'!$1:$1,'ACH CALC'!AO$2,'TALLY BOX DUMP'!145:145))</f>
        <v/>
      </c>
      <c r="AP146" s="21" t="str">
        <f>IF($D146="","",SUMIF('TALLY BOX DUMP'!$1:$1,'ACH CALC'!AP$2,'TALLY BOX DUMP'!145:145))</f>
        <v/>
      </c>
      <c r="AQ146" s="21" t="str">
        <f>IF($D146="","",ROUND(SUMIF('TALLY KG DUMP'!$1:$1,'ACH CALC'!AQ$2,'TALLY KG DUMP'!145:145)/30,1))</f>
        <v/>
      </c>
      <c r="AR146" s="21" t="str">
        <f>IF($D146="","",SUMIF('TALLY BOX DUMP'!$1:$1,'ACH CALC'!AR$2,'TALLY BOX DUMP'!145:145))</f>
        <v/>
      </c>
      <c r="AS146" s="21" t="str">
        <f>IF($D146="","",SUMIF('TALLY BOX DUMP'!$1:$1,'ACH CALC'!AS$2,'TALLY BOX DUMP'!145:145))</f>
        <v/>
      </c>
      <c r="AT146" s="21" t="str">
        <f>IF($D146="","",SUMIF('TALLY BOX DUMP'!$1:$1,'ACH CALC'!AT$2,'TALLY BOX DUMP'!145:145))</f>
        <v/>
      </c>
      <c r="AU146" s="21" t="str">
        <f>IF($D146="","",SUMIF('TALLY BOX DUMP'!$1:$1,'ACH CALC'!AU$2,'TALLY BOX DUMP'!145:145))</f>
        <v/>
      </c>
      <c r="AV146" s="21" t="str">
        <f>IF($D146="","",SUMIF('TALLY BOX DUMP'!$1:$1,'ACH CALC'!AV$2,'TALLY BOX DUMP'!145:145))</f>
        <v/>
      </c>
      <c r="AW146" s="21" t="str">
        <f>IF($D146="","",SUMIF('TALLY BOX DUMP'!$1:$1,'ACH CALC'!AW$2,'TALLY BOX DUMP'!145:145))</f>
        <v/>
      </c>
      <c r="AX146" s="21" t="str">
        <f>IF($D146="","",SUMIF('TALLY BOX DUMP'!$1:$1,'ACH CALC'!AX$2,'TALLY BOX DUMP'!145:145))</f>
        <v/>
      </c>
      <c r="AY146" s="21" t="str">
        <f>IF($D146="","",SUMIF('TALLY BOX DUMP'!$1:$1,'ACH CALC'!AY$2,'TALLY BOX DUMP'!145:145))</f>
        <v/>
      </c>
      <c r="AZ146" s="21" t="str">
        <f>IF($D146="","",SUMIF('TALLY BOX DUMP'!$1:$1,'ACH CALC'!AZ$2,'TALLY BOX DUMP'!145:145))</f>
        <v/>
      </c>
      <c r="BA146" s="69">
        <f>(SUMIF('TALLY KG DUMP'!$2:$2,"Qty",'TALLY KG DUMP'!145:145)/1000)-(SUMIF('TALLY KG DUMP'!$1:$1,"GL",'TALLY KG DUMP'!145:145)/1000)</f>
        <v>0</v>
      </c>
      <c r="BB146" s="21" t="b">
        <f t="shared" si="8"/>
        <v>0</v>
      </c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</row>
    <row r="147" spans="2:75" x14ac:dyDescent="0.25">
      <c r="B147" s="21"/>
      <c r="C147" s="21"/>
      <c r="D147" s="21"/>
      <c r="E147" s="21" t="str">
        <f>IF($D147="","",(SUMIF('TALLY KG DUMP'!$2:$2,"Qty",'TALLY KG DUMP'!146:146)/1000)-(SUMIF('TALLY KG DUMP'!$1:$1,"GL",'TALLY KG DUMP'!146:146)/1000))</f>
        <v/>
      </c>
      <c r="F147" s="21" t="str">
        <f>IF($D147="","",(SUMIF('TALLY KG DUMP'!$1:$1,'ACH CALC'!F$2,'TALLY KG DUMP'!146:146)/1000))</f>
        <v/>
      </c>
      <c r="G147" s="21" t="str">
        <f>IF($D147="","",SUMIF('TALLY BOX DUMP'!$1:$1,'ACH CALC'!G$2,'TALLY BOX DUMP'!146:146)+Y147)</f>
        <v/>
      </c>
      <c r="H147" s="21" t="str">
        <f t="shared" si="6"/>
        <v/>
      </c>
      <c r="I147" s="21" t="str">
        <f>IF($D147="","",SUMIF('TALLY BOX DUMP'!$1:$1,'ACH CALC'!I$2,'TALLY BOX DUMP'!146:146)+AA147)</f>
        <v/>
      </c>
      <c r="J147" s="21" t="str">
        <f>IF($D147="","",SUMIF('TALLY BOX DUMP'!$1:$1,'ACH CALC'!J$2,'TALLY BOX DUMP'!146:146)+AB147)</f>
        <v/>
      </c>
      <c r="K147" s="21" t="str">
        <f>IF($D147="","",SUMIF('TALLY BOX DUMP'!$1:$1,'ACH CALC'!K$2,'TALLY BOX DUMP'!146:146)+AC147)</f>
        <v/>
      </c>
      <c r="L147" s="21" t="str">
        <f>IF($D147="","",SUMIF('TALLY BOX DUMP'!$1:$1,'ACH CALC'!L$2,'TALLY BOX DUMP'!146:146))</f>
        <v/>
      </c>
      <c r="M147" s="21" t="str">
        <f>IF($D147="","",SUMIF('TALLY BOX DUMP'!$1:$1,'ACH CALC'!M$2,'TALLY BOX DUMP'!146:146)+AD147)</f>
        <v/>
      </c>
      <c r="N147" s="21" t="str">
        <f>IF($D147="","",SUMIF('TALLY BOX DUMP'!$1:$1,'ACH CALC'!N$2,'TALLY BOX DUMP'!146:146))</f>
        <v/>
      </c>
      <c r="O147" s="21" t="str">
        <f>IF($D147="","",SUMIF('TALLY BOX DUMP'!$1:$1,'ACH CALC'!O$2,'TALLY BOX DUMP'!146:146))</f>
        <v/>
      </c>
      <c r="P147" s="21" t="str">
        <f>IF($D147="","",SUMIF('TALLY BOX DUMP'!$1:$1,'ACH CALC'!P$2,'TALLY BOX DUMP'!146:146))</f>
        <v/>
      </c>
      <c r="Q147" s="21" t="str">
        <f t="shared" si="7"/>
        <v/>
      </c>
      <c r="R147" s="21" t="str">
        <f>IF($D147="","",SUMIF('TALLY BOX DUMP'!$1:$1,'ACH CALC'!R$2,'TALLY BOX DUMP'!146:146))</f>
        <v/>
      </c>
      <c r="S147" s="21" t="str">
        <f>IF($D147="","",SUMIF('TALLY BOX DUMP'!$1:$1,'ACH CALC'!S$2,'TALLY BOX DUMP'!146:146))</f>
        <v/>
      </c>
      <c r="T147" s="21" t="str">
        <f>IF($D147="","",SUMIF('TALLY BOX DUMP'!$1:$1,'ACH CALC'!T$2,'TALLY BOX DUMP'!146:146))</f>
        <v/>
      </c>
      <c r="U147" s="21" t="str">
        <f>IF($D147="","",SUMIF('TALLY BOX DUMP'!$1:$1,'ACH CALC'!U$2,'TALLY BOX DUMP'!146:146))</f>
        <v/>
      </c>
      <c r="V147" s="21" t="str">
        <f>IF($D147="","",SUMIF('TALLY BOX DUMP'!$1:$1,'ACH CALC'!V$2,'TALLY BOX DUMP'!146:146))</f>
        <v/>
      </c>
      <c r="W147" s="21" t="str">
        <f>IF($D147="","",SUMIF('TALLY BOX DUMP'!$1:$1,'ACH CALC'!W$2,'TALLY BOX DUMP'!146:146))</f>
        <v/>
      </c>
      <c r="X147" s="21" t="str">
        <f>IF($D147="","",SUMIF('TALLY BOX DUMP'!$1:$1,'ACH CALC'!X$2,'TALLY BOX DUMP'!146:146))</f>
        <v/>
      </c>
      <c r="Y147" s="21" t="str">
        <f>IF($D147="","",SUMIF('TALLY BOX DUMP'!$1:$1,'ACH CALC'!Y$2,'TALLY BOX DUMP'!146:146))</f>
        <v/>
      </c>
      <c r="Z147" s="21" t="str">
        <f>IF($D147="","",SUMIF('TALLY BOX DUMP'!$1:$1,'ACH CALC'!Z$2,'TALLY BOX DUMP'!146:146)+AE147)</f>
        <v/>
      </c>
      <c r="AA147" s="21" t="str">
        <f>IF($D147="","",SUMIF('TALLY BOX DUMP'!$1:$1,'ACH CALC'!AA$2,'TALLY BOX DUMP'!146:146))</f>
        <v/>
      </c>
      <c r="AB147" s="21" t="str">
        <f>IF($D147="","",SUMIF('TALLY BOX DUMP'!$1:$1,'ACH CALC'!AB$2,'TALLY BOX DUMP'!146:146))</f>
        <v/>
      </c>
      <c r="AC147" s="21" t="str">
        <f>IF($D147="","",SUMIF('TALLY BOX DUMP'!$1:$1,'ACH CALC'!AC$2,'TALLY BOX DUMP'!146:146))</f>
        <v/>
      </c>
      <c r="AD147" s="21" t="str">
        <f>IF($D147="","",SUMIF('TALLY BOX DUMP'!$1:$1,'ACH CALC'!AD$2,'TALLY BOX DUMP'!146:146))</f>
        <v/>
      </c>
      <c r="AE147" s="21" t="str">
        <f>IF($D147="","",SUMIF('TALLY BOX DUMP'!$1:$1,'ACH CALC'!AE$2,'TALLY BOX DUMP'!146:146))</f>
        <v/>
      </c>
      <c r="AF147" s="21" t="str">
        <f>IF($D147="","",SUMIF('TALLY BOX DUMP'!$1:$1,'ACH CALC'!AF$2,'TALLY BOX DUMP'!146:146))</f>
        <v/>
      </c>
      <c r="AG147" s="21" t="str">
        <f>IF($D147="","",SUMIF('TALLY BOX DUMP'!$1:$1,'ACH CALC'!AG$2,'TALLY BOX DUMP'!146:146))</f>
        <v/>
      </c>
      <c r="AH147" s="21" t="str">
        <f>IF($D147="","",SUMIF('TALLY BOX DUMP'!$1:$1,'ACH CALC'!AH$2,'TALLY BOX DUMP'!146:146))</f>
        <v/>
      </c>
      <c r="AI147" s="21" t="str">
        <f>IF($D147="","",SUMIF('TALLY BOX DUMP'!$1:$1,'ACH CALC'!AI$2,'TALLY BOX DUMP'!146:146))</f>
        <v/>
      </c>
      <c r="AJ147" s="21" t="str">
        <f>IF($D147="","",SUMIF('TALLY BOX DUMP'!$1:$1,'ACH CALC'!AJ$2,'TALLY BOX DUMP'!146:146))</f>
        <v/>
      </c>
      <c r="AK147" s="21" t="str">
        <f>IF($D147="","",SUMIF('TALLY BOX DUMP'!$1:$1,'ACH CALC'!AK$2,'TALLY BOX DUMP'!146:146))</f>
        <v/>
      </c>
      <c r="AL147" s="21" t="str">
        <f>IF($D147="","",ROUND(SUMIF('TALLY KG DUMP'!$1:$1,'ACH CALC'!AL$2,'TALLY KG DUMP'!146:146)/30,1))</f>
        <v/>
      </c>
      <c r="AM147" s="21" t="str">
        <f>IF($D147="","",SUMIF('TALLY BOX DUMP'!$1:$1,'ACH CALC'!AM$2,'TALLY BOX DUMP'!146:146))</f>
        <v/>
      </c>
      <c r="AN147" s="21" t="str">
        <f>IF($D147="","",SUMIF('TALLY BOX DUMP'!$1:$1,'ACH CALC'!AN$2,'TALLY BOX DUMP'!146:146))</f>
        <v/>
      </c>
      <c r="AO147" s="21" t="str">
        <f>IF($D147="","",SUMIF('TALLY BOX DUMP'!$1:$1,'ACH CALC'!AO$2,'TALLY BOX DUMP'!146:146))</f>
        <v/>
      </c>
      <c r="AP147" s="21" t="str">
        <f>IF($D147="","",SUMIF('TALLY BOX DUMP'!$1:$1,'ACH CALC'!AP$2,'TALLY BOX DUMP'!146:146))</f>
        <v/>
      </c>
      <c r="AQ147" s="21" t="str">
        <f>IF($D147="","",ROUND(SUMIF('TALLY KG DUMP'!$1:$1,'ACH CALC'!AQ$2,'TALLY KG DUMP'!146:146)/30,1))</f>
        <v/>
      </c>
      <c r="AR147" s="21" t="str">
        <f>IF($D147="","",SUMIF('TALLY BOX DUMP'!$1:$1,'ACH CALC'!AR$2,'TALLY BOX DUMP'!146:146))</f>
        <v/>
      </c>
      <c r="AS147" s="21" t="str">
        <f>IF($D147="","",SUMIF('TALLY BOX DUMP'!$1:$1,'ACH CALC'!AS$2,'TALLY BOX DUMP'!146:146))</f>
        <v/>
      </c>
      <c r="AT147" s="21" t="str">
        <f>IF($D147="","",SUMIF('TALLY BOX DUMP'!$1:$1,'ACH CALC'!AT$2,'TALLY BOX DUMP'!146:146))</f>
        <v/>
      </c>
      <c r="AU147" s="21" t="str">
        <f>IF($D147="","",SUMIF('TALLY BOX DUMP'!$1:$1,'ACH CALC'!AU$2,'TALLY BOX DUMP'!146:146))</f>
        <v/>
      </c>
      <c r="AV147" s="21" t="str">
        <f>IF($D147="","",SUMIF('TALLY BOX DUMP'!$1:$1,'ACH CALC'!AV$2,'TALLY BOX DUMP'!146:146))</f>
        <v/>
      </c>
      <c r="AW147" s="21" t="str">
        <f>IF($D147="","",SUMIF('TALLY BOX DUMP'!$1:$1,'ACH CALC'!AW$2,'TALLY BOX DUMP'!146:146))</f>
        <v/>
      </c>
      <c r="AX147" s="21" t="str">
        <f>IF($D147="","",SUMIF('TALLY BOX DUMP'!$1:$1,'ACH CALC'!AX$2,'TALLY BOX DUMP'!146:146))</f>
        <v/>
      </c>
      <c r="AY147" s="21" t="str">
        <f>IF($D147="","",SUMIF('TALLY BOX DUMP'!$1:$1,'ACH CALC'!AY$2,'TALLY BOX DUMP'!146:146))</f>
        <v/>
      </c>
      <c r="AZ147" s="21" t="str">
        <f>IF($D147="","",SUMIF('TALLY BOX DUMP'!$1:$1,'ACH CALC'!AZ$2,'TALLY BOX DUMP'!146:146))</f>
        <v/>
      </c>
      <c r="BA147" s="69">
        <f>(SUMIF('TALLY KG DUMP'!$2:$2,"Qty",'TALLY KG DUMP'!146:146)/1000)-(SUMIF('TALLY KG DUMP'!$1:$1,"GL",'TALLY KG DUMP'!146:146)/1000)</f>
        <v>0</v>
      </c>
      <c r="BB147" s="21" t="b">
        <f t="shared" si="8"/>
        <v>0</v>
      </c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</row>
    <row r="148" spans="2:75" x14ac:dyDescent="0.25">
      <c r="B148" s="21"/>
      <c r="C148" s="21"/>
      <c r="D148" s="21"/>
      <c r="E148" s="21" t="str">
        <f>IF($D148="","",(SUMIF('TALLY KG DUMP'!$2:$2,"Qty",'TALLY KG DUMP'!147:147)/1000)-(SUMIF('TALLY KG DUMP'!$1:$1,"GL",'TALLY KG DUMP'!147:147)/1000))</f>
        <v/>
      </c>
      <c r="F148" s="21" t="str">
        <f>IF($D148="","",(SUMIF('TALLY KG DUMP'!$1:$1,'ACH CALC'!F$2,'TALLY KG DUMP'!147:147)/1000))</f>
        <v/>
      </c>
      <c r="G148" s="21" t="str">
        <f>IF($D148="","",SUMIF('TALLY BOX DUMP'!$1:$1,'ACH CALC'!G$2,'TALLY BOX DUMP'!147:147)+Y148)</f>
        <v/>
      </c>
      <c r="H148" s="21" t="str">
        <f t="shared" si="6"/>
        <v/>
      </c>
      <c r="I148" s="21" t="str">
        <f>IF($D148="","",SUMIF('TALLY BOX DUMP'!$1:$1,'ACH CALC'!I$2,'TALLY BOX DUMP'!147:147)+AA148)</f>
        <v/>
      </c>
      <c r="J148" s="21" t="str">
        <f>IF($D148="","",SUMIF('TALLY BOX DUMP'!$1:$1,'ACH CALC'!J$2,'TALLY BOX DUMP'!147:147)+AB148)</f>
        <v/>
      </c>
      <c r="K148" s="21" t="str">
        <f>IF($D148="","",SUMIF('TALLY BOX DUMP'!$1:$1,'ACH CALC'!K$2,'TALLY BOX DUMP'!147:147)+AC148)</f>
        <v/>
      </c>
      <c r="L148" s="21" t="str">
        <f>IF($D148="","",SUMIF('TALLY BOX DUMP'!$1:$1,'ACH CALC'!L$2,'TALLY BOX DUMP'!147:147))</f>
        <v/>
      </c>
      <c r="M148" s="21" t="str">
        <f>IF($D148="","",SUMIF('TALLY BOX DUMP'!$1:$1,'ACH CALC'!M$2,'TALLY BOX DUMP'!147:147)+AD148)</f>
        <v/>
      </c>
      <c r="N148" s="21" t="str">
        <f>IF($D148="","",SUMIF('TALLY BOX DUMP'!$1:$1,'ACH CALC'!N$2,'TALLY BOX DUMP'!147:147))</f>
        <v/>
      </c>
      <c r="O148" s="21" t="str">
        <f>IF($D148="","",SUMIF('TALLY BOX DUMP'!$1:$1,'ACH CALC'!O$2,'TALLY BOX DUMP'!147:147))</f>
        <v/>
      </c>
      <c r="P148" s="21" t="str">
        <f>IF($D148="","",SUMIF('TALLY BOX DUMP'!$1:$1,'ACH CALC'!P$2,'TALLY BOX DUMP'!147:147))</f>
        <v/>
      </c>
      <c r="Q148" s="21" t="str">
        <f t="shared" si="7"/>
        <v/>
      </c>
      <c r="R148" s="21" t="str">
        <f>IF($D148="","",SUMIF('TALLY BOX DUMP'!$1:$1,'ACH CALC'!R$2,'TALLY BOX DUMP'!147:147))</f>
        <v/>
      </c>
      <c r="S148" s="21" t="str">
        <f>IF($D148="","",SUMIF('TALLY BOX DUMP'!$1:$1,'ACH CALC'!S$2,'TALLY BOX DUMP'!147:147))</f>
        <v/>
      </c>
      <c r="T148" s="21" t="str">
        <f>IF($D148="","",SUMIF('TALLY BOX DUMP'!$1:$1,'ACH CALC'!T$2,'TALLY BOX DUMP'!147:147))</f>
        <v/>
      </c>
      <c r="U148" s="21" t="str">
        <f>IF($D148="","",SUMIF('TALLY BOX DUMP'!$1:$1,'ACH CALC'!U$2,'TALLY BOX DUMP'!147:147))</f>
        <v/>
      </c>
      <c r="V148" s="21" t="str">
        <f>IF($D148="","",SUMIF('TALLY BOX DUMP'!$1:$1,'ACH CALC'!V$2,'TALLY BOX DUMP'!147:147))</f>
        <v/>
      </c>
      <c r="W148" s="21" t="str">
        <f>IF($D148="","",SUMIF('TALLY BOX DUMP'!$1:$1,'ACH CALC'!W$2,'TALLY BOX DUMP'!147:147))</f>
        <v/>
      </c>
      <c r="X148" s="21" t="str">
        <f>IF($D148="","",SUMIF('TALLY BOX DUMP'!$1:$1,'ACH CALC'!X$2,'TALLY BOX DUMP'!147:147))</f>
        <v/>
      </c>
      <c r="Y148" s="21" t="str">
        <f>IF($D148="","",SUMIF('TALLY BOX DUMP'!$1:$1,'ACH CALC'!Y$2,'TALLY BOX DUMP'!147:147))</f>
        <v/>
      </c>
      <c r="Z148" s="21" t="str">
        <f>IF($D148="","",SUMIF('TALLY BOX DUMP'!$1:$1,'ACH CALC'!Z$2,'TALLY BOX DUMP'!147:147)+AE148)</f>
        <v/>
      </c>
      <c r="AA148" s="21" t="str">
        <f>IF($D148="","",SUMIF('TALLY BOX DUMP'!$1:$1,'ACH CALC'!AA$2,'TALLY BOX DUMP'!147:147))</f>
        <v/>
      </c>
      <c r="AB148" s="21" t="str">
        <f>IF($D148="","",SUMIF('TALLY BOX DUMP'!$1:$1,'ACH CALC'!AB$2,'TALLY BOX DUMP'!147:147))</f>
        <v/>
      </c>
      <c r="AC148" s="21" t="str">
        <f>IF($D148="","",SUMIF('TALLY BOX DUMP'!$1:$1,'ACH CALC'!AC$2,'TALLY BOX DUMP'!147:147))</f>
        <v/>
      </c>
      <c r="AD148" s="21" t="str">
        <f>IF($D148="","",SUMIF('TALLY BOX DUMP'!$1:$1,'ACH CALC'!AD$2,'TALLY BOX DUMP'!147:147))</f>
        <v/>
      </c>
      <c r="AE148" s="21" t="str">
        <f>IF($D148="","",SUMIF('TALLY BOX DUMP'!$1:$1,'ACH CALC'!AE$2,'TALLY BOX DUMP'!147:147))</f>
        <v/>
      </c>
      <c r="AF148" s="21" t="str">
        <f>IF($D148="","",SUMIF('TALLY BOX DUMP'!$1:$1,'ACH CALC'!AF$2,'TALLY BOX DUMP'!147:147))</f>
        <v/>
      </c>
      <c r="AG148" s="21" t="str">
        <f>IF($D148="","",SUMIF('TALLY BOX DUMP'!$1:$1,'ACH CALC'!AG$2,'TALLY BOX DUMP'!147:147))</f>
        <v/>
      </c>
      <c r="AH148" s="21" t="str">
        <f>IF($D148="","",SUMIF('TALLY BOX DUMP'!$1:$1,'ACH CALC'!AH$2,'TALLY BOX DUMP'!147:147))</f>
        <v/>
      </c>
      <c r="AI148" s="21" t="str">
        <f>IF($D148="","",SUMIF('TALLY BOX DUMP'!$1:$1,'ACH CALC'!AI$2,'TALLY BOX DUMP'!147:147))</f>
        <v/>
      </c>
      <c r="AJ148" s="21" t="str">
        <f>IF($D148="","",SUMIF('TALLY BOX DUMP'!$1:$1,'ACH CALC'!AJ$2,'TALLY BOX DUMP'!147:147))</f>
        <v/>
      </c>
      <c r="AK148" s="21" t="str">
        <f>IF($D148="","",SUMIF('TALLY BOX DUMP'!$1:$1,'ACH CALC'!AK$2,'TALLY BOX DUMP'!147:147))</f>
        <v/>
      </c>
      <c r="AL148" s="21" t="str">
        <f>IF($D148="","",ROUND(SUMIF('TALLY KG DUMP'!$1:$1,'ACH CALC'!AL$2,'TALLY KG DUMP'!147:147)/30,1))</f>
        <v/>
      </c>
      <c r="AM148" s="21" t="str">
        <f>IF($D148="","",SUMIF('TALLY BOX DUMP'!$1:$1,'ACH CALC'!AM$2,'TALLY BOX DUMP'!147:147))</f>
        <v/>
      </c>
      <c r="AN148" s="21" t="str">
        <f>IF($D148="","",SUMIF('TALLY BOX DUMP'!$1:$1,'ACH CALC'!AN$2,'TALLY BOX DUMP'!147:147))</f>
        <v/>
      </c>
      <c r="AO148" s="21" t="str">
        <f>IF($D148="","",SUMIF('TALLY BOX DUMP'!$1:$1,'ACH CALC'!AO$2,'TALLY BOX DUMP'!147:147))</f>
        <v/>
      </c>
      <c r="AP148" s="21" t="str">
        <f>IF($D148="","",SUMIF('TALLY BOX DUMP'!$1:$1,'ACH CALC'!AP$2,'TALLY BOX DUMP'!147:147))</f>
        <v/>
      </c>
      <c r="AQ148" s="21" t="str">
        <f>IF($D148="","",ROUND(SUMIF('TALLY KG DUMP'!$1:$1,'ACH CALC'!AQ$2,'TALLY KG DUMP'!147:147)/30,1))</f>
        <v/>
      </c>
      <c r="AR148" s="21" t="str">
        <f>IF($D148="","",SUMIF('TALLY BOX DUMP'!$1:$1,'ACH CALC'!AR$2,'TALLY BOX DUMP'!147:147))</f>
        <v/>
      </c>
      <c r="AS148" s="21" t="str">
        <f>IF($D148="","",SUMIF('TALLY BOX DUMP'!$1:$1,'ACH CALC'!AS$2,'TALLY BOX DUMP'!147:147))</f>
        <v/>
      </c>
      <c r="AT148" s="21" t="str">
        <f>IF($D148="","",SUMIF('TALLY BOX DUMP'!$1:$1,'ACH CALC'!AT$2,'TALLY BOX DUMP'!147:147))</f>
        <v/>
      </c>
      <c r="AU148" s="21" t="str">
        <f>IF($D148="","",SUMIF('TALLY BOX DUMP'!$1:$1,'ACH CALC'!AU$2,'TALLY BOX DUMP'!147:147))</f>
        <v/>
      </c>
      <c r="AV148" s="21" t="str">
        <f>IF($D148="","",SUMIF('TALLY BOX DUMP'!$1:$1,'ACH CALC'!AV$2,'TALLY BOX DUMP'!147:147))</f>
        <v/>
      </c>
      <c r="AW148" s="21" t="str">
        <f>IF($D148="","",SUMIF('TALLY BOX DUMP'!$1:$1,'ACH CALC'!AW$2,'TALLY BOX DUMP'!147:147))</f>
        <v/>
      </c>
      <c r="AX148" s="21" t="str">
        <f>IF($D148="","",SUMIF('TALLY BOX DUMP'!$1:$1,'ACH CALC'!AX$2,'TALLY BOX DUMP'!147:147))</f>
        <v/>
      </c>
      <c r="AY148" s="21" t="str">
        <f>IF($D148="","",SUMIF('TALLY BOX DUMP'!$1:$1,'ACH CALC'!AY$2,'TALLY BOX DUMP'!147:147))</f>
        <v/>
      </c>
      <c r="AZ148" s="21" t="str">
        <f>IF($D148="","",SUMIF('TALLY BOX DUMP'!$1:$1,'ACH CALC'!AZ$2,'TALLY BOX DUMP'!147:147))</f>
        <v/>
      </c>
      <c r="BA148" s="69">
        <f>(SUMIF('TALLY KG DUMP'!$2:$2,"Qty",'TALLY KG DUMP'!147:147)/1000)-(SUMIF('TALLY KG DUMP'!$1:$1,"GL",'TALLY KG DUMP'!147:147)/1000)</f>
        <v>0</v>
      </c>
      <c r="BB148" s="21" t="b">
        <f t="shared" si="8"/>
        <v>0</v>
      </c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</row>
    <row r="149" spans="2:75" x14ac:dyDescent="0.25">
      <c r="B149" s="21"/>
      <c r="C149" s="21"/>
      <c r="D149" s="21"/>
      <c r="E149" s="21" t="str">
        <f>IF($D149="","",(SUMIF('TALLY KG DUMP'!$2:$2,"Qty",'TALLY KG DUMP'!148:148)/1000)-(SUMIF('TALLY KG DUMP'!$1:$1,"GL",'TALLY KG DUMP'!148:148)/1000))</f>
        <v/>
      </c>
      <c r="F149" s="21" t="str">
        <f>IF($D149="","",(SUMIF('TALLY KG DUMP'!$1:$1,'ACH CALC'!F$2,'TALLY KG DUMP'!148:148)/1000))</f>
        <v/>
      </c>
      <c r="G149" s="21" t="str">
        <f>IF($D149="","",SUMIF('TALLY BOX DUMP'!$1:$1,'ACH CALC'!G$2,'TALLY BOX DUMP'!148:148)+Y149)</f>
        <v/>
      </c>
      <c r="H149" s="21" t="str">
        <f t="shared" si="6"/>
        <v/>
      </c>
      <c r="I149" s="21" t="str">
        <f>IF($D149="","",SUMIF('TALLY BOX DUMP'!$1:$1,'ACH CALC'!I$2,'TALLY BOX DUMP'!148:148)+AA149)</f>
        <v/>
      </c>
      <c r="J149" s="21" t="str">
        <f>IF($D149="","",SUMIF('TALLY BOX DUMP'!$1:$1,'ACH CALC'!J$2,'TALLY BOX DUMP'!148:148)+AB149)</f>
        <v/>
      </c>
      <c r="K149" s="21" t="str">
        <f>IF($D149="","",SUMIF('TALLY BOX DUMP'!$1:$1,'ACH CALC'!K$2,'TALLY BOX DUMP'!148:148)+AC149)</f>
        <v/>
      </c>
      <c r="L149" s="21" t="str">
        <f>IF($D149="","",SUMIF('TALLY BOX DUMP'!$1:$1,'ACH CALC'!L$2,'TALLY BOX DUMP'!148:148))</f>
        <v/>
      </c>
      <c r="M149" s="21" t="str">
        <f>IF($D149="","",SUMIF('TALLY BOX DUMP'!$1:$1,'ACH CALC'!M$2,'TALLY BOX DUMP'!148:148)+AD149)</f>
        <v/>
      </c>
      <c r="N149" s="21" t="str">
        <f>IF($D149="","",SUMIF('TALLY BOX DUMP'!$1:$1,'ACH CALC'!N$2,'TALLY BOX DUMP'!148:148))</f>
        <v/>
      </c>
      <c r="O149" s="21" t="str">
        <f>IF($D149="","",SUMIF('TALLY BOX DUMP'!$1:$1,'ACH CALC'!O$2,'TALLY BOX DUMP'!148:148))</f>
        <v/>
      </c>
      <c r="P149" s="21" t="str">
        <f>IF($D149="","",SUMIF('TALLY BOX DUMP'!$1:$1,'ACH CALC'!P$2,'TALLY BOX DUMP'!148:148))</f>
        <v/>
      </c>
      <c r="Q149" s="21" t="str">
        <f t="shared" si="7"/>
        <v/>
      </c>
      <c r="R149" s="21" t="str">
        <f>IF($D149="","",SUMIF('TALLY BOX DUMP'!$1:$1,'ACH CALC'!R$2,'TALLY BOX DUMP'!148:148))</f>
        <v/>
      </c>
      <c r="S149" s="21" t="str">
        <f>IF($D149="","",SUMIF('TALLY BOX DUMP'!$1:$1,'ACH CALC'!S$2,'TALLY BOX DUMP'!148:148))</f>
        <v/>
      </c>
      <c r="T149" s="21" t="str">
        <f>IF($D149="","",SUMIF('TALLY BOX DUMP'!$1:$1,'ACH CALC'!T$2,'TALLY BOX DUMP'!148:148))</f>
        <v/>
      </c>
      <c r="U149" s="21" t="str">
        <f>IF($D149="","",SUMIF('TALLY BOX DUMP'!$1:$1,'ACH CALC'!U$2,'TALLY BOX DUMP'!148:148))</f>
        <v/>
      </c>
      <c r="V149" s="21" t="str">
        <f>IF($D149="","",SUMIF('TALLY BOX DUMP'!$1:$1,'ACH CALC'!V$2,'TALLY BOX DUMP'!148:148))</f>
        <v/>
      </c>
      <c r="W149" s="21" t="str">
        <f>IF($D149="","",SUMIF('TALLY BOX DUMP'!$1:$1,'ACH CALC'!W$2,'TALLY BOX DUMP'!148:148))</f>
        <v/>
      </c>
      <c r="X149" s="21" t="str">
        <f>IF($D149="","",SUMIF('TALLY BOX DUMP'!$1:$1,'ACH CALC'!X$2,'TALLY BOX DUMP'!148:148))</f>
        <v/>
      </c>
      <c r="Y149" s="21" t="str">
        <f>IF($D149="","",SUMIF('TALLY BOX DUMP'!$1:$1,'ACH CALC'!Y$2,'TALLY BOX DUMP'!148:148))</f>
        <v/>
      </c>
      <c r="Z149" s="21" t="str">
        <f>IF($D149="","",SUMIF('TALLY BOX DUMP'!$1:$1,'ACH CALC'!Z$2,'TALLY BOX DUMP'!148:148)+AE149)</f>
        <v/>
      </c>
      <c r="AA149" s="21" t="str">
        <f>IF($D149="","",SUMIF('TALLY BOX DUMP'!$1:$1,'ACH CALC'!AA$2,'TALLY BOX DUMP'!148:148))</f>
        <v/>
      </c>
      <c r="AB149" s="21" t="str">
        <f>IF($D149="","",SUMIF('TALLY BOX DUMP'!$1:$1,'ACH CALC'!AB$2,'TALLY BOX DUMP'!148:148))</f>
        <v/>
      </c>
      <c r="AC149" s="21" t="str">
        <f>IF($D149="","",SUMIF('TALLY BOX DUMP'!$1:$1,'ACH CALC'!AC$2,'TALLY BOX DUMP'!148:148))</f>
        <v/>
      </c>
      <c r="AD149" s="21" t="str">
        <f>IF($D149="","",SUMIF('TALLY BOX DUMP'!$1:$1,'ACH CALC'!AD$2,'TALLY BOX DUMP'!148:148))</f>
        <v/>
      </c>
      <c r="AE149" s="21" t="str">
        <f>IF($D149="","",SUMIF('TALLY BOX DUMP'!$1:$1,'ACH CALC'!AE$2,'TALLY BOX DUMP'!148:148))</f>
        <v/>
      </c>
      <c r="AF149" s="21" t="str">
        <f>IF($D149="","",SUMIF('TALLY BOX DUMP'!$1:$1,'ACH CALC'!AF$2,'TALLY BOX DUMP'!148:148))</f>
        <v/>
      </c>
      <c r="AG149" s="21" t="str">
        <f>IF($D149="","",SUMIF('TALLY BOX DUMP'!$1:$1,'ACH CALC'!AG$2,'TALLY BOX DUMP'!148:148))</f>
        <v/>
      </c>
      <c r="AH149" s="21" t="str">
        <f>IF($D149="","",SUMIF('TALLY BOX DUMP'!$1:$1,'ACH CALC'!AH$2,'TALLY BOX DUMP'!148:148))</f>
        <v/>
      </c>
      <c r="AI149" s="21" t="str">
        <f>IF($D149="","",SUMIF('TALLY BOX DUMP'!$1:$1,'ACH CALC'!AI$2,'TALLY BOX DUMP'!148:148))</f>
        <v/>
      </c>
      <c r="AJ149" s="21" t="str">
        <f>IF($D149="","",SUMIF('TALLY BOX DUMP'!$1:$1,'ACH CALC'!AJ$2,'TALLY BOX DUMP'!148:148))</f>
        <v/>
      </c>
      <c r="AK149" s="21" t="str">
        <f>IF($D149="","",SUMIF('TALLY BOX DUMP'!$1:$1,'ACH CALC'!AK$2,'TALLY BOX DUMP'!148:148))</f>
        <v/>
      </c>
      <c r="AL149" s="21" t="str">
        <f>IF($D149="","",ROUND(SUMIF('TALLY KG DUMP'!$1:$1,'ACH CALC'!AL$2,'TALLY KG DUMP'!148:148)/30,1))</f>
        <v/>
      </c>
      <c r="AM149" s="21" t="str">
        <f>IF($D149="","",SUMIF('TALLY BOX DUMP'!$1:$1,'ACH CALC'!AM$2,'TALLY BOX DUMP'!148:148))</f>
        <v/>
      </c>
      <c r="AN149" s="21" t="str">
        <f>IF($D149="","",SUMIF('TALLY BOX DUMP'!$1:$1,'ACH CALC'!AN$2,'TALLY BOX DUMP'!148:148))</f>
        <v/>
      </c>
      <c r="AO149" s="21" t="str">
        <f>IF($D149="","",SUMIF('TALLY BOX DUMP'!$1:$1,'ACH CALC'!AO$2,'TALLY BOX DUMP'!148:148))</f>
        <v/>
      </c>
      <c r="AP149" s="21" t="str">
        <f>IF($D149="","",SUMIF('TALLY BOX DUMP'!$1:$1,'ACH CALC'!AP$2,'TALLY BOX DUMP'!148:148))</f>
        <v/>
      </c>
      <c r="AQ149" s="21" t="str">
        <f>IF($D149="","",ROUND(SUMIF('TALLY KG DUMP'!$1:$1,'ACH CALC'!AQ$2,'TALLY KG DUMP'!148:148)/30,1))</f>
        <v/>
      </c>
      <c r="AR149" s="21" t="str">
        <f>IF($D149="","",SUMIF('TALLY BOX DUMP'!$1:$1,'ACH CALC'!AR$2,'TALLY BOX DUMP'!148:148))</f>
        <v/>
      </c>
      <c r="AS149" s="21" t="str">
        <f>IF($D149="","",SUMIF('TALLY BOX DUMP'!$1:$1,'ACH CALC'!AS$2,'TALLY BOX DUMP'!148:148))</f>
        <v/>
      </c>
      <c r="AT149" s="21" t="str">
        <f>IF($D149="","",SUMIF('TALLY BOX DUMP'!$1:$1,'ACH CALC'!AT$2,'TALLY BOX DUMP'!148:148))</f>
        <v/>
      </c>
      <c r="AU149" s="21" t="str">
        <f>IF($D149="","",SUMIF('TALLY BOX DUMP'!$1:$1,'ACH CALC'!AU$2,'TALLY BOX DUMP'!148:148))</f>
        <v/>
      </c>
      <c r="AV149" s="21" t="str">
        <f>IF($D149="","",SUMIF('TALLY BOX DUMP'!$1:$1,'ACH CALC'!AV$2,'TALLY BOX DUMP'!148:148))</f>
        <v/>
      </c>
      <c r="AW149" s="21" t="str">
        <f>IF($D149="","",SUMIF('TALLY BOX DUMP'!$1:$1,'ACH CALC'!AW$2,'TALLY BOX DUMP'!148:148))</f>
        <v/>
      </c>
      <c r="AX149" s="21" t="str">
        <f>IF($D149="","",SUMIF('TALLY BOX DUMP'!$1:$1,'ACH CALC'!AX$2,'TALLY BOX DUMP'!148:148))</f>
        <v/>
      </c>
      <c r="AY149" s="21" t="str">
        <f>IF($D149="","",SUMIF('TALLY BOX DUMP'!$1:$1,'ACH CALC'!AY$2,'TALLY BOX DUMP'!148:148))</f>
        <v/>
      </c>
      <c r="AZ149" s="21" t="str">
        <f>IF($D149="","",SUMIF('TALLY BOX DUMP'!$1:$1,'ACH CALC'!AZ$2,'TALLY BOX DUMP'!148:148))</f>
        <v/>
      </c>
      <c r="BA149" s="69">
        <f>(SUMIF('TALLY KG DUMP'!$2:$2,"Qty",'TALLY KG DUMP'!148:148)/1000)-(SUMIF('TALLY KG DUMP'!$1:$1,"GL",'TALLY KG DUMP'!148:148)/1000)</f>
        <v>0</v>
      </c>
      <c r="BB149" s="21" t="b">
        <f t="shared" si="8"/>
        <v>0</v>
      </c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</row>
    <row r="150" spans="2:75" x14ac:dyDescent="0.25">
      <c r="B150" s="21"/>
      <c r="C150" s="21"/>
      <c r="D150" s="21"/>
      <c r="E150" s="21" t="str">
        <f>IF($D150="","",(SUMIF('TALLY KG DUMP'!$2:$2,"Qty",'TALLY KG DUMP'!149:149)/1000)-(SUMIF('TALLY KG DUMP'!$1:$1,"GL",'TALLY KG DUMP'!149:149)/1000))</f>
        <v/>
      </c>
      <c r="F150" s="21" t="str">
        <f>IF($D150="","",(SUMIF('TALLY KG DUMP'!$1:$1,'ACH CALC'!F$2,'TALLY KG DUMP'!149:149)/1000))</f>
        <v/>
      </c>
      <c r="G150" s="21" t="str">
        <f>IF($D150="","",SUMIF('TALLY BOX DUMP'!$1:$1,'ACH CALC'!G$2,'TALLY BOX DUMP'!149:149)+Y150)</f>
        <v/>
      </c>
      <c r="H150" s="21" t="str">
        <f t="shared" si="6"/>
        <v/>
      </c>
      <c r="I150" s="21" t="str">
        <f>IF($D150="","",SUMIF('TALLY BOX DUMP'!$1:$1,'ACH CALC'!I$2,'TALLY BOX DUMP'!149:149)+AA150)</f>
        <v/>
      </c>
      <c r="J150" s="21" t="str">
        <f>IF($D150="","",SUMIF('TALLY BOX DUMP'!$1:$1,'ACH CALC'!J$2,'TALLY BOX DUMP'!149:149)+AB150)</f>
        <v/>
      </c>
      <c r="K150" s="21" t="str">
        <f>IF($D150="","",SUMIF('TALLY BOX DUMP'!$1:$1,'ACH CALC'!K$2,'TALLY BOX DUMP'!149:149)+AC150)</f>
        <v/>
      </c>
      <c r="L150" s="21" t="str">
        <f>IF($D150="","",SUMIF('TALLY BOX DUMP'!$1:$1,'ACH CALC'!L$2,'TALLY BOX DUMP'!149:149))</f>
        <v/>
      </c>
      <c r="M150" s="21" t="str">
        <f>IF($D150="","",SUMIF('TALLY BOX DUMP'!$1:$1,'ACH CALC'!M$2,'TALLY BOX DUMP'!149:149)+AD150)</f>
        <v/>
      </c>
      <c r="N150" s="21" t="str">
        <f>IF($D150="","",SUMIF('TALLY BOX DUMP'!$1:$1,'ACH CALC'!N$2,'TALLY BOX DUMP'!149:149))</f>
        <v/>
      </c>
      <c r="O150" s="21" t="str">
        <f>IF($D150="","",SUMIF('TALLY BOX DUMP'!$1:$1,'ACH CALC'!O$2,'TALLY BOX DUMP'!149:149))</f>
        <v/>
      </c>
      <c r="P150" s="21" t="str">
        <f>IF($D150="","",SUMIF('TALLY BOX DUMP'!$1:$1,'ACH CALC'!P$2,'TALLY BOX DUMP'!149:149))</f>
        <v/>
      </c>
      <c r="Q150" s="21" t="str">
        <f t="shared" si="7"/>
        <v/>
      </c>
      <c r="R150" s="21" t="str">
        <f>IF($D150="","",SUMIF('TALLY BOX DUMP'!$1:$1,'ACH CALC'!R$2,'TALLY BOX DUMP'!149:149))</f>
        <v/>
      </c>
      <c r="S150" s="21" t="str">
        <f>IF($D150="","",SUMIF('TALLY BOX DUMP'!$1:$1,'ACH CALC'!S$2,'TALLY BOX DUMP'!149:149))</f>
        <v/>
      </c>
      <c r="T150" s="21" t="str">
        <f>IF($D150="","",SUMIF('TALLY BOX DUMP'!$1:$1,'ACH CALC'!T$2,'TALLY BOX DUMP'!149:149))</f>
        <v/>
      </c>
      <c r="U150" s="21" t="str">
        <f>IF($D150="","",SUMIF('TALLY BOX DUMP'!$1:$1,'ACH CALC'!U$2,'TALLY BOX DUMP'!149:149))</f>
        <v/>
      </c>
      <c r="V150" s="21" t="str">
        <f>IF($D150="","",SUMIF('TALLY BOX DUMP'!$1:$1,'ACH CALC'!V$2,'TALLY BOX DUMP'!149:149))</f>
        <v/>
      </c>
      <c r="W150" s="21" t="str">
        <f>IF($D150="","",SUMIF('TALLY BOX DUMP'!$1:$1,'ACH CALC'!W$2,'TALLY BOX DUMP'!149:149))</f>
        <v/>
      </c>
      <c r="X150" s="21" t="str">
        <f>IF($D150="","",SUMIF('TALLY BOX DUMP'!$1:$1,'ACH CALC'!X$2,'TALLY BOX DUMP'!149:149))</f>
        <v/>
      </c>
      <c r="Y150" s="21" t="str">
        <f>IF($D150="","",SUMIF('TALLY BOX DUMP'!$1:$1,'ACH CALC'!Y$2,'TALLY BOX DUMP'!149:149))</f>
        <v/>
      </c>
      <c r="Z150" s="21" t="str">
        <f>IF($D150="","",SUMIF('TALLY BOX DUMP'!$1:$1,'ACH CALC'!Z$2,'TALLY BOX DUMP'!149:149)+AE150)</f>
        <v/>
      </c>
      <c r="AA150" s="21" t="str">
        <f>IF($D150="","",SUMIF('TALLY BOX DUMP'!$1:$1,'ACH CALC'!AA$2,'TALLY BOX DUMP'!149:149))</f>
        <v/>
      </c>
      <c r="AB150" s="21" t="str">
        <f>IF($D150="","",SUMIF('TALLY BOX DUMP'!$1:$1,'ACH CALC'!AB$2,'TALLY BOX DUMP'!149:149))</f>
        <v/>
      </c>
      <c r="AC150" s="21" t="str">
        <f>IF($D150="","",SUMIF('TALLY BOX DUMP'!$1:$1,'ACH CALC'!AC$2,'TALLY BOX DUMP'!149:149))</f>
        <v/>
      </c>
      <c r="AD150" s="21" t="str">
        <f>IF($D150="","",SUMIF('TALLY BOX DUMP'!$1:$1,'ACH CALC'!AD$2,'TALLY BOX DUMP'!149:149))</f>
        <v/>
      </c>
      <c r="AE150" s="21" t="str">
        <f>IF($D150="","",SUMIF('TALLY BOX DUMP'!$1:$1,'ACH CALC'!AE$2,'TALLY BOX DUMP'!149:149))</f>
        <v/>
      </c>
      <c r="AF150" s="21" t="str">
        <f>IF($D150="","",SUMIF('TALLY BOX DUMP'!$1:$1,'ACH CALC'!AF$2,'TALLY BOX DUMP'!149:149))</f>
        <v/>
      </c>
      <c r="AG150" s="21" t="str">
        <f>IF($D150="","",SUMIF('TALLY BOX DUMP'!$1:$1,'ACH CALC'!AG$2,'TALLY BOX DUMP'!149:149))</f>
        <v/>
      </c>
      <c r="AH150" s="21" t="str">
        <f>IF($D150="","",SUMIF('TALLY BOX DUMP'!$1:$1,'ACH CALC'!AH$2,'TALLY BOX DUMP'!149:149))</f>
        <v/>
      </c>
      <c r="AI150" s="21" t="str">
        <f>IF($D150="","",SUMIF('TALLY BOX DUMP'!$1:$1,'ACH CALC'!AI$2,'TALLY BOX DUMP'!149:149))</f>
        <v/>
      </c>
      <c r="AJ150" s="21" t="str">
        <f>IF($D150="","",SUMIF('TALLY BOX DUMP'!$1:$1,'ACH CALC'!AJ$2,'TALLY BOX DUMP'!149:149))</f>
        <v/>
      </c>
      <c r="AK150" s="21" t="str">
        <f>IF($D150="","",SUMIF('TALLY BOX DUMP'!$1:$1,'ACH CALC'!AK$2,'TALLY BOX DUMP'!149:149))</f>
        <v/>
      </c>
      <c r="AL150" s="21" t="str">
        <f>IF($D150="","",ROUND(SUMIF('TALLY KG DUMP'!$1:$1,'ACH CALC'!AL$2,'TALLY KG DUMP'!149:149)/30,1))</f>
        <v/>
      </c>
      <c r="AM150" s="21" t="str">
        <f>IF($D150="","",SUMIF('TALLY BOX DUMP'!$1:$1,'ACH CALC'!AM$2,'TALLY BOX DUMP'!149:149))</f>
        <v/>
      </c>
      <c r="AN150" s="21" t="str">
        <f>IF($D150="","",SUMIF('TALLY BOX DUMP'!$1:$1,'ACH CALC'!AN$2,'TALLY BOX DUMP'!149:149))</f>
        <v/>
      </c>
      <c r="AO150" s="21" t="str">
        <f>IF($D150="","",SUMIF('TALLY BOX DUMP'!$1:$1,'ACH CALC'!AO$2,'TALLY BOX DUMP'!149:149))</f>
        <v/>
      </c>
      <c r="AP150" s="21" t="str">
        <f>IF($D150="","",SUMIF('TALLY BOX DUMP'!$1:$1,'ACH CALC'!AP$2,'TALLY BOX DUMP'!149:149))</f>
        <v/>
      </c>
      <c r="AQ150" s="21" t="str">
        <f>IF($D150="","",ROUND(SUMIF('TALLY KG DUMP'!$1:$1,'ACH CALC'!AQ$2,'TALLY KG DUMP'!149:149)/30,1))</f>
        <v/>
      </c>
      <c r="AR150" s="21" t="str">
        <f>IF($D150="","",SUMIF('TALLY BOX DUMP'!$1:$1,'ACH CALC'!AR$2,'TALLY BOX DUMP'!149:149))</f>
        <v/>
      </c>
      <c r="AS150" s="21" t="str">
        <f>IF($D150="","",SUMIF('TALLY BOX DUMP'!$1:$1,'ACH CALC'!AS$2,'TALLY BOX DUMP'!149:149))</f>
        <v/>
      </c>
      <c r="AT150" s="21" t="str">
        <f>IF($D150="","",SUMIF('TALLY BOX DUMP'!$1:$1,'ACH CALC'!AT$2,'TALLY BOX DUMP'!149:149))</f>
        <v/>
      </c>
      <c r="AU150" s="21" t="str">
        <f>IF($D150="","",SUMIF('TALLY BOX DUMP'!$1:$1,'ACH CALC'!AU$2,'TALLY BOX DUMP'!149:149))</f>
        <v/>
      </c>
      <c r="AV150" s="21" t="str">
        <f>IF($D150="","",SUMIF('TALLY BOX DUMP'!$1:$1,'ACH CALC'!AV$2,'TALLY BOX DUMP'!149:149))</f>
        <v/>
      </c>
      <c r="AW150" s="21" t="str">
        <f>IF($D150="","",SUMIF('TALLY BOX DUMP'!$1:$1,'ACH CALC'!AW$2,'TALLY BOX DUMP'!149:149))</f>
        <v/>
      </c>
      <c r="AX150" s="21" t="str">
        <f>IF($D150="","",SUMIF('TALLY BOX DUMP'!$1:$1,'ACH CALC'!AX$2,'TALLY BOX DUMP'!149:149))</f>
        <v/>
      </c>
      <c r="AY150" s="21" t="str">
        <f>IF($D150="","",SUMIF('TALLY BOX DUMP'!$1:$1,'ACH CALC'!AY$2,'TALLY BOX DUMP'!149:149))</f>
        <v/>
      </c>
      <c r="AZ150" s="21" t="str">
        <f>IF($D150="","",SUMIF('TALLY BOX DUMP'!$1:$1,'ACH CALC'!AZ$2,'TALLY BOX DUMP'!149:149))</f>
        <v/>
      </c>
      <c r="BA150" s="69">
        <f>(SUMIF('TALLY KG DUMP'!$2:$2,"Qty",'TALLY KG DUMP'!149:149)/1000)-(SUMIF('TALLY KG DUMP'!$1:$1,"GL",'TALLY KG DUMP'!149:149)/1000)</f>
        <v>0</v>
      </c>
      <c r="BB150" s="21" t="b">
        <f t="shared" si="8"/>
        <v>0</v>
      </c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</row>
    <row r="151" spans="2:75" x14ac:dyDescent="0.25">
      <c r="B151" s="21"/>
      <c r="C151" s="21"/>
      <c r="D151" s="21"/>
      <c r="E151" s="21" t="str">
        <f>IF($D151="","",(SUMIF('TALLY KG DUMP'!$2:$2,"Qty",'TALLY KG DUMP'!150:150)/1000)-(SUMIF('TALLY KG DUMP'!$1:$1,"GL",'TALLY KG DUMP'!150:150)/1000))</f>
        <v/>
      </c>
      <c r="F151" s="21" t="str">
        <f>IF($D151="","",(SUMIF('TALLY KG DUMP'!$1:$1,'ACH CALC'!F$2,'TALLY KG DUMP'!150:150)/1000))</f>
        <v/>
      </c>
      <c r="G151" s="21" t="str">
        <f>IF($D151="","",SUMIF('TALLY BOX DUMP'!$1:$1,'ACH CALC'!G$2,'TALLY BOX DUMP'!150:150)+Y151)</f>
        <v/>
      </c>
      <c r="H151" s="21" t="str">
        <f t="shared" si="6"/>
        <v/>
      </c>
      <c r="I151" s="21" t="str">
        <f>IF($D151="","",SUMIF('TALLY BOX DUMP'!$1:$1,'ACH CALC'!I$2,'TALLY BOX DUMP'!150:150)+AA151)</f>
        <v/>
      </c>
      <c r="J151" s="21" t="str">
        <f>IF($D151="","",SUMIF('TALLY BOX DUMP'!$1:$1,'ACH CALC'!J$2,'TALLY BOX DUMP'!150:150)+AB151)</f>
        <v/>
      </c>
      <c r="K151" s="21" t="str">
        <f>IF($D151="","",SUMIF('TALLY BOX DUMP'!$1:$1,'ACH CALC'!K$2,'TALLY BOX DUMP'!150:150)+AC151)</f>
        <v/>
      </c>
      <c r="L151" s="21" t="str">
        <f>IF($D151="","",SUMIF('TALLY BOX DUMP'!$1:$1,'ACH CALC'!L$2,'TALLY BOX DUMP'!150:150))</f>
        <v/>
      </c>
      <c r="M151" s="21" t="str">
        <f>IF($D151="","",SUMIF('TALLY BOX DUMP'!$1:$1,'ACH CALC'!M$2,'TALLY BOX DUMP'!150:150)+AD151)</f>
        <v/>
      </c>
      <c r="N151" s="21" t="str">
        <f>IF($D151="","",SUMIF('TALLY BOX DUMP'!$1:$1,'ACH CALC'!N$2,'TALLY BOX DUMP'!150:150))</f>
        <v/>
      </c>
      <c r="O151" s="21" t="str">
        <f>IF($D151="","",SUMIF('TALLY BOX DUMP'!$1:$1,'ACH CALC'!O$2,'TALLY BOX DUMP'!150:150))</f>
        <v/>
      </c>
      <c r="P151" s="21" t="str">
        <f>IF($D151="","",SUMIF('TALLY BOX DUMP'!$1:$1,'ACH CALC'!P$2,'TALLY BOX DUMP'!150:150))</f>
        <v/>
      </c>
      <c r="Q151" s="21" t="str">
        <f t="shared" si="7"/>
        <v/>
      </c>
      <c r="R151" s="21" t="str">
        <f>IF($D151="","",SUMIF('TALLY BOX DUMP'!$1:$1,'ACH CALC'!R$2,'TALLY BOX DUMP'!150:150))</f>
        <v/>
      </c>
      <c r="S151" s="21" t="str">
        <f>IF($D151="","",SUMIF('TALLY BOX DUMP'!$1:$1,'ACH CALC'!S$2,'TALLY BOX DUMP'!150:150))</f>
        <v/>
      </c>
      <c r="T151" s="21" t="str">
        <f>IF($D151="","",SUMIF('TALLY BOX DUMP'!$1:$1,'ACH CALC'!T$2,'TALLY BOX DUMP'!150:150))</f>
        <v/>
      </c>
      <c r="U151" s="21" t="str">
        <f>IF($D151="","",SUMIF('TALLY BOX DUMP'!$1:$1,'ACH CALC'!U$2,'TALLY BOX DUMP'!150:150))</f>
        <v/>
      </c>
      <c r="V151" s="21" t="str">
        <f>IF($D151="","",SUMIF('TALLY BOX DUMP'!$1:$1,'ACH CALC'!V$2,'TALLY BOX DUMP'!150:150))</f>
        <v/>
      </c>
      <c r="W151" s="21" t="str">
        <f>IF($D151="","",SUMIF('TALLY BOX DUMP'!$1:$1,'ACH CALC'!W$2,'TALLY BOX DUMP'!150:150))</f>
        <v/>
      </c>
      <c r="X151" s="21" t="str">
        <f>IF($D151="","",SUMIF('TALLY BOX DUMP'!$1:$1,'ACH CALC'!X$2,'TALLY BOX DUMP'!150:150))</f>
        <v/>
      </c>
      <c r="Y151" s="21" t="str">
        <f>IF($D151="","",SUMIF('TALLY BOX DUMP'!$1:$1,'ACH CALC'!Y$2,'TALLY BOX DUMP'!150:150))</f>
        <v/>
      </c>
      <c r="Z151" s="21" t="str">
        <f>IF($D151="","",SUMIF('TALLY BOX DUMP'!$1:$1,'ACH CALC'!Z$2,'TALLY BOX DUMP'!150:150)+AE151)</f>
        <v/>
      </c>
      <c r="AA151" s="21" t="str">
        <f>IF($D151="","",SUMIF('TALLY BOX DUMP'!$1:$1,'ACH CALC'!AA$2,'TALLY BOX DUMP'!150:150))</f>
        <v/>
      </c>
      <c r="AB151" s="21" t="str">
        <f>IF($D151="","",SUMIF('TALLY BOX DUMP'!$1:$1,'ACH CALC'!AB$2,'TALLY BOX DUMP'!150:150))</f>
        <v/>
      </c>
      <c r="AC151" s="21" t="str">
        <f>IF($D151="","",SUMIF('TALLY BOX DUMP'!$1:$1,'ACH CALC'!AC$2,'TALLY BOX DUMP'!150:150))</f>
        <v/>
      </c>
      <c r="AD151" s="21" t="str">
        <f>IF($D151="","",SUMIF('TALLY BOX DUMP'!$1:$1,'ACH CALC'!AD$2,'TALLY BOX DUMP'!150:150))</f>
        <v/>
      </c>
      <c r="AE151" s="21" t="str">
        <f>IF($D151="","",SUMIF('TALLY BOX DUMP'!$1:$1,'ACH CALC'!AE$2,'TALLY BOX DUMP'!150:150))</f>
        <v/>
      </c>
      <c r="AF151" s="21" t="str">
        <f>IF($D151="","",SUMIF('TALLY BOX DUMP'!$1:$1,'ACH CALC'!AF$2,'TALLY BOX DUMP'!150:150))</f>
        <v/>
      </c>
      <c r="AG151" s="21" t="str">
        <f>IF($D151="","",SUMIF('TALLY BOX DUMP'!$1:$1,'ACH CALC'!AG$2,'TALLY BOX DUMP'!150:150))</f>
        <v/>
      </c>
      <c r="AH151" s="21" t="str">
        <f>IF($D151="","",SUMIF('TALLY BOX DUMP'!$1:$1,'ACH CALC'!AH$2,'TALLY BOX DUMP'!150:150))</f>
        <v/>
      </c>
      <c r="AI151" s="21" t="str">
        <f>IF($D151="","",SUMIF('TALLY BOX DUMP'!$1:$1,'ACH CALC'!AI$2,'TALLY BOX DUMP'!150:150))</f>
        <v/>
      </c>
      <c r="AJ151" s="21" t="str">
        <f>IF($D151="","",SUMIF('TALLY BOX DUMP'!$1:$1,'ACH CALC'!AJ$2,'TALLY BOX DUMP'!150:150))</f>
        <v/>
      </c>
      <c r="AK151" s="21" t="str">
        <f>IF($D151="","",SUMIF('TALLY BOX DUMP'!$1:$1,'ACH CALC'!AK$2,'TALLY BOX DUMP'!150:150))</f>
        <v/>
      </c>
      <c r="AL151" s="21" t="str">
        <f>IF($D151="","",ROUND(SUMIF('TALLY KG DUMP'!$1:$1,'ACH CALC'!AL$2,'TALLY KG DUMP'!150:150)/30,1))</f>
        <v/>
      </c>
      <c r="AM151" s="21" t="str">
        <f>IF($D151="","",SUMIF('TALLY BOX DUMP'!$1:$1,'ACH CALC'!AM$2,'TALLY BOX DUMP'!150:150))</f>
        <v/>
      </c>
      <c r="AN151" s="21" t="str">
        <f>IF($D151="","",SUMIF('TALLY BOX DUMP'!$1:$1,'ACH CALC'!AN$2,'TALLY BOX DUMP'!150:150))</f>
        <v/>
      </c>
      <c r="AO151" s="21" t="str">
        <f>IF($D151="","",SUMIF('TALLY BOX DUMP'!$1:$1,'ACH CALC'!AO$2,'TALLY BOX DUMP'!150:150))</f>
        <v/>
      </c>
      <c r="AP151" s="21" t="str">
        <f>IF($D151="","",SUMIF('TALLY BOX DUMP'!$1:$1,'ACH CALC'!AP$2,'TALLY BOX DUMP'!150:150))</f>
        <v/>
      </c>
      <c r="AQ151" s="21" t="str">
        <f>IF($D151="","",ROUND(SUMIF('TALLY KG DUMP'!$1:$1,'ACH CALC'!AQ$2,'TALLY KG DUMP'!150:150)/30,1))</f>
        <v/>
      </c>
      <c r="AR151" s="21" t="str">
        <f>IF($D151="","",SUMIF('TALLY BOX DUMP'!$1:$1,'ACH CALC'!AR$2,'TALLY BOX DUMP'!150:150))</f>
        <v/>
      </c>
      <c r="AS151" s="21" t="str">
        <f>IF($D151="","",SUMIF('TALLY BOX DUMP'!$1:$1,'ACH CALC'!AS$2,'TALLY BOX DUMP'!150:150))</f>
        <v/>
      </c>
      <c r="AT151" s="21" t="str">
        <f>IF($D151="","",SUMIF('TALLY BOX DUMP'!$1:$1,'ACH CALC'!AT$2,'TALLY BOX DUMP'!150:150))</f>
        <v/>
      </c>
      <c r="AU151" s="21" t="str">
        <f>IF($D151="","",SUMIF('TALLY BOX DUMP'!$1:$1,'ACH CALC'!AU$2,'TALLY BOX DUMP'!150:150))</f>
        <v/>
      </c>
      <c r="AV151" s="21" t="str">
        <f>IF($D151="","",SUMIF('TALLY BOX DUMP'!$1:$1,'ACH CALC'!AV$2,'TALLY BOX DUMP'!150:150))</f>
        <v/>
      </c>
      <c r="AW151" s="21" t="str">
        <f>IF($D151="","",SUMIF('TALLY BOX DUMP'!$1:$1,'ACH CALC'!AW$2,'TALLY BOX DUMP'!150:150))</f>
        <v/>
      </c>
      <c r="AX151" s="21" t="str">
        <f>IF($D151="","",SUMIF('TALLY BOX DUMP'!$1:$1,'ACH CALC'!AX$2,'TALLY BOX DUMP'!150:150))</f>
        <v/>
      </c>
      <c r="AY151" s="21" t="str">
        <f>IF($D151="","",SUMIF('TALLY BOX DUMP'!$1:$1,'ACH CALC'!AY$2,'TALLY BOX DUMP'!150:150))</f>
        <v/>
      </c>
      <c r="AZ151" s="21" t="str">
        <f>IF($D151="","",SUMIF('TALLY BOX DUMP'!$1:$1,'ACH CALC'!AZ$2,'TALLY BOX DUMP'!150:150))</f>
        <v/>
      </c>
      <c r="BA151" s="69">
        <f>(SUMIF('TALLY KG DUMP'!$2:$2,"Qty",'TALLY KG DUMP'!150:150)/1000)-(SUMIF('TALLY KG DUMP'!$1:$1,"GL",'TALLY KG DUMP'!150:150)/1000)</f>
        <v>0</v>
      </c>
      <c r="BB151" s="21" t="b">
        <f t="shared" si="8"/>
        <v>0</v>
      </c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</row>
    <row r="152" spans="2:75" x14ac:dyDescent="0.25">
      <c r="B152" s="21"/>
      <c r="C152" s="21"/>
      <c r="D152" s="21"/>
      <c r="E152" s="21" t="str">
        <f>IF($D152="","",(SUMIF('TALLY KG DUMP'!$2:$2,"Qty",'TALLY KG DUMP'!151:151)/1000)-(SUMIF('TALLY KG DUMP'!$1:$1,"GL",'TALLY KG DUMP'!151:151)/1000))</f>
        <v/>
      </c>
      <c r="F152" s="21" t="str">
        <f>IF($D152="","",(SUMIF('TALLY KG DUMP'!$1:$1,'ACH CALC'!F$2,'TALLY KG DUMP'!151:151)/1000))</f>
        <v/>
      </c>
      <c r="G152" s="21" t="str">
        <f>IF($D152="","",SUMIF('TALLY BOX DUMP'!$1:$1,'ACH CALC'!G$2,'TALLY BOX DUMP'!151:151)+Y152)</f>
        <v/>
      </c>
      <c r="H152" s="21" t="str">
        <f t="shared" si="6"/>
        <v/>
      </c>
      <c r="I152" s="21" t="str">
        <f>IF($D152="","",SUMIF('TALLY BOX DUMP'!$1:$1,'ACH CALC'!I$2,'TALLY BOX DUMP'!151:151)+AA152)</f>
        <v/>
      </c>
      <c r="J152" s="21" t="str">
        <f>IF($D152="","",SUMIF('TALLY BOX DUMP'!$1:$1,'ACH CALC'!J$2,'TALLY BOX DUMP'!151:151)+AB152)</f>
        <v/>
      </c>
      <c r="K152" s="21" t="str">
        <f>IF($D152="","",SUMIF('TALLY BOX DUMP'!$1:$1,'ACH CALC'!K$2,'TALLY BOX DUMP'!151:151)+AC152)</f>
        <v/>
      </c>
      <c r="L152" s="21" t="str">
        <f>IF($D152="","",SUMIF('TALLY BOX DUMP'!$1:$1,'ACH CALC'!L$2,'TALLY BOX DUMP'!151:151))</f>
        <v/>
      </c>
      <c r="M152" s="21" t="str">
        <f>IF($D152="","",SUMIF('TALLY BOX DUMP'!$1:$1,'ACH CALC'!M$2,'TALLY BOX DUMP'!151:151)+AD152)</f>
        <v/>
      </c>
      <c r="N152" s="21" t="str">
        <f>IF($D152="","",SUMIF('TALLY BOX DUMP'!$1:$1,'ACH CALC'!N$2,'TALLY BOX DUMP'!151:151))</f>
        <v/>
      </c>
      <c r="O152" s="21" t="str">
        <f>IF($D152="","",SUMIF('TALLY BOX DUMP'!$1:$1,'ACH CALC'!O$2,'TALLY BOX DUMP'!151:151))</f>
        <v/>
      </c>
      <c r="P152" s="21" t="str">
        <f>IF($D152="","",SUMIF('TALLY BOX DUMP'!$1:$1,'ACH CALC'!P$2,'TALLY BOX DUMP'!151:151))</f>
        <v/>
      </c>
      <c r="Q152" s="21" t="str">
        <f t="shared" si="7"/>
        <v/>
      </c>
      <c r="R152" s="21" t="str">
        <f>IF($D152="","",SUMIF('TALLY BOX DUMP'!$1:$1,'ACH CALC'!R$2,'TALLY BOX DUMP'!151:151))</f>
        <v/>
      </c>
      <c r="S152" s="21" t="str">
        <f>IF($D152="","",SUMIF('TALLY BOX DUMP'!$1:$1,'ACH CALC'!S$2,'TALLY BOX DUMP'!151:151))</f>
        <v/>
      </c>
      <c r="T152" s="21" t="str">
        <f>IF($D152="","",SUMIF('TALLY BOX DUMP'!$1:$1,'ACH CALC'!T$2,'TALLY BOX DUMP'!151:151))</f>
        <v/>
      </c>
      <c r="U152" s="21" t="str">
        <f>IF($D152="","",SUMIF('TALLY BOX DUMP'!$1:$1,'ACH CALC'!U$2,'TALLY BOX DUMP'!151:151))</f>
        <v/>
      </c>
      <c r="V152" s="21" t="str">
        <f>IF($D152="","",SUMIF('TALLY BOX DUMP'!$1:$1,'ACH CALC'!V$2,'TALLY BOX DUMP'!151:151))</f>
        <v/>
      </c>
      <c r="W152" s="21" t="str">
        <f>IF($D152="","",SUMIF('TALLY BOX DUMP'!$1:$1,'ACH CALC'!W$2,'TALLY BOX DUMP'!151:151))</f>
        <v/>
      </c>
      <c r="X152" s="21" t="str">
        <f>IF($D152="","",SUMIF('TALLY BOX DUMP'!$1:$1,'ACH CALC'!X$2,'TALLY BOX DUMP'!151:151))</f>
        <v/>
      </c>
      <c r="Y152" s="21" t="str">
        <f>IF($D152="","",SUMIF('TALLY BOX DUMP'!$1:$1,'ACH CALC'!Y$2,'TALLY BOX DUMP'!151:151))</f>
        <v/>
      </c>
      <c r="Z152" s="21" t="str">
        <f>IF($D152="","",SUMIF('TALLY BOX DUMP'!$1:$1,'ACH CALC'!Z$2,'TALLY BOX DUMP'!151:151)+AE152)</f>
        <v/>
      </c>
      <c r="AA152" s="21" t="str">
        <f>IF($D152="","",SUMIF('TALLY BOX DUMP'!$1:$1,'ACH CALC'!AA$2,'TALLY BOX DUMP'!151:151))</f>
        <v/>
      </c>
      <c r="AB152" s="21" t="str">
        <f>IF($D152="","",SUMIF('TALLY BOX DUMP'!$1:$1,'ACH CALC'!AB$2,'TALLY BOX DUMP'!151:151))</f>
        <v/>
      </c>
      <c r="AC152" s="21" t="str">
        <f>IF($D152="","",SUMIF('TALLY BOX DUMP'!$1:$1,'ACH CALC'!AC$2,'TALLY BOX DUMP'!151:151))</f>
        <v/>
      </c>
      <c r="AD152" s="21" t="str">
        <f>IF($D152="","",SUMIF('TALLY BOX DUMP'!$1:$1,'ACH CALC'!AD$2,'TALLY BOX DUMP'!151:151))</f>
        <v/>
      </c>
      <c r="AE152" s="21" t="str">
        <f>IF($D152="","",SUMIF('TALLY BOX DUMP'!$1:$1,'ACH CALC'!AE$2,'TALLY BOX DUMP'!151:151))</f>
        <v/>
      </c>
      <c r="AF152" s="21" t="str">
        <f>IF($D152="","",SUMIF('TALLY BOX DUMP'!$1:$1,'ACH CALC'!AF$2,'TALLY BOX DUMP'!151:151))</f>
        <v/>
      </c>
      <c r="AG152" s="21" t="str">
        <f>IF($D152="","",SUMIF('TALLY BOX DUMP'!$1:$1,'ACH CALC'!AG$2,'TALLY BOX DUMP'!151:151))</f>
        <v/>
      </c>
      <c r="AH152" s="21" t="str">
        <f>IF($D152="","",SUMIF('TALLY BOX DUMP'!$1:$1,'ACH CALC'!AH$2,'TALLY BOX DUMP'!151:151))</f>
        <v/>
      </c>
      <c r="AI152" s="21" t="str">
        <f>IF($D152="","",SUMIF('TALLY BOX DUMP'!$1:$1,'ACH CALC'!AI$2,'TALLY BOX DUMP'!151:151))</f>
        <v/>
      </c>
      <c r="AJ152" s="21" t="str">
        <f>IF($D152="","",SUMIF('TALLY BOX DUMP'!$1:$1,'ACH CALC'!AJ$2,'TALLY BOX DUMP'!151:151))</f>
        <v/>
      </c>
      <c r="AK152" s="21" t="str">
        <f>IF($D152="","",SUMIF('TALLY BOX DUMP'!$1:$1,'ACH CALC'!AK$2,'TALLY BOX DUMP'!151:151))</f>
        <v/>
      </c>
      <c r="AL152" s="21" t="str">
        <f>IF($D152="","",ROUND(SUMIF('TALLY KG DUMP'!$1:$1,'ACH CALC'!AL$2,'TALLY KG DUMP'!151:151)/30,1))</f>
        <v/>
      </c>
      <c r="AM152" s="21" t="str">
        <f>IF($D152="","",SUMIF('TALLY BOX DUMP'!$1:$1,'ACH CALC'!AM$2,'TALLY BOX DUMP'!151:151))</f>
        <v/>
      </c>
      <c r="AN152" s="21" t="str">
        <f>IF($D152="","",SUMIF('TALLY BOX DUMP'!$1:$1,'ACH CALC'!AN$2,'TALLY BOX DUMP'!151:151))</f>
        <v/>
      </c>
      <c r="AO152" s="21" t="str">
        <f>IF($D152="","",SUMIF('TALLY BOX DUMP'!$1:$1,'ACH CALC'!AO$2,'TALLY BOX DUMP'!151:151))</f>
        <v/>
      </c>
      <c r="AP152" s="21" t="str">
        <f>IF($D152="","",SUMIF('TALLY BOX DUMP'!$1:$1,'ACH CALC'!AP$2,'TALLY BOX DUMP'!151:151))</f>
        <v/>
      </c>
      <c r="AQ152" s="21" t="str">
        <f>IF($D152="","",ROUND(SUMIF('TALLY KG DUMP'!$1:$1,'ACH CALC'!AQ$2,'TALLY KG DUMP'!151:151)/30,1))</f>
        <v/>
      </c>
      <c r="AR152" s="21" t="str">
        <f>IF($D152="","",SUMIF('TALLY BOX DUMP'!$1:$1,'ACH CALC'!AR$2,'TALLY BOX DUMP'!151:151))</f>
        <v/>
      </c>
      <c r="AS152" s="21" t="str">
        <f>IF($D152="","",SUMIF('TALLY BOX DUMP'!$1:$1,'ACH CALC'!AS$2,'TALLY BOX DUMP'!151:151))</f>
        <v/>
      </c>
      <c r="AT152" s="21" t="str">
        <f>IF($D152="","",SUMIF('TALLY BOX DUMP'!$1:$1,'ACH CALC'!AT$2,'TALLY BOX DUMP'!151:151))</f>
        <v/>
      </c>
      <c r="AU152" s="21" t="str">
        <f>IF($D152="","",SUMIF('TALLY BOX DUMP'!$1:$1,'ACH CALC'!AU$2,'TALLY BOX DUMP'!151:151))</f>
        <v/>
      </c>
      <c r="AV152" s="21" t="str">
        <f>IF($D152="","",SUMIF('TALLY BOX DUMP'!$1:$1,'ACH CALC'!AV$2,'TALLY BOX DUMP'!151:151))</f>
        <v/>
      </c>
      <c r="AW152" s="21" t="str">
        <f>IF($D152="","",SUMIF('TALLY BOX DUMP'!$1:$1,'ACH CALC'!AW$2,'TALLY BOX DUMP'!151:151))</f>
        <v/>
      </c>
      <c r="AX152" s="21" t="str">
        <f>IF($D152="","",SUMIF('TALLY BOX DUMP'!$1:$1,'ACH CALC'!AX$2,'TALLY BOX DUMP'!151:151))</f>
        <v/>
      </c>
      <c r="AY152" s="21" t="str">
        <f>IF($D152="","",SUMIF('TALLY BOX DUMP'!$1:$1,'ACH CALC'!AY$2,'TALLY BOX DUMP'!151:151))</f>
        <v/>
      </c>
      <c r="AZ152" s="21" t="str">
        <f>IF($D152="","",SUMIF('TALLY BOX DUMP'!$1:$1,'ACH CALC'!AZ$2,'TALLY BOX DUMP'!151:151))</f>
        <v/>
      </c>
      <c r="BA152" s="69">
        <f>(SUMIF('TALLY KG DUMP'!$2:$2,"Qty",'TALLY KG DUMP'!151:151)/1000)-(SUMIF('TALLY KG DUMP'!$1:$1,"GL",'TALLY KG DUMP'!151:151)/1000)</f>
        <v>0</v>
      </c>
      <c r="BB152" s="21" t="b">
        <f t="shared" si="8"/>
        <v>0</v>
      </c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</row>
    <row r="153" spans="2:75" x14ac:dyDescent="0.25">
      <c r="B153" s="21"/>
      <c r="C153" s="21"/>
      <c r="D153" s="21"/>
      <c r="E153" s="21" t="str">
        <f>IF($D153="","",(SUMIF('TALLY KG DUMP'!$2:$2,"Qty",'TALLY KG DUMP'!152:152)/1000)-(SUMIF('TALLY KG DUMP'!$1:$1,"GL",'TALLY KG DUMP'!152:152)/1000))</f>
        <v/>
      </c>
      <c r="F153" s="21" t="str">
        <f>IF($D153="","",(SUMIF('TALLY KG DUMP'!$1:$1,'ACH CALC'!F$2,'TALLY KG DUMP'!152:152)/1000))</f>
        <v/>
      </c>
      <c r="G153" s="21" t="str">
        <f>IF($D153="","",SUMIF('TALLY BOX DUMP'!$1:$1,'ACH CALC'!G$2,'TALLY BOX DUMP'!152:152)+Y153)</f>
        <v/>
      </c>
      <c r="H153" s="21" t="str">
        <f t="shared" si="6"/>
        <v/>
      </c>
      <c r="I153" s="21" t="str">
        <f>IF($D153="","",SUMIF('TALLY BOX DUMP'!$1:$1,'ACH CALC'!I$2,'TALLY BOX DUMP'!152:152)+AA153)</f>
        <v/>
      </c>
      <c r="J153" s="21" t="str">
        <f>IF($D153="","",SUMIF('TALLY BOX DUMP'!$1:$1,'ACH CALC'!J$2,'TALLY BOX DUMP'!152:152)+AB153)</f>
        <v/>
      </c>
      <c r="K153" s="21" t="str">
        <f>IF($D153="","",SUMIF('TALLY BOX DUMP'!$1:$1,'ACH CALC'!K$2,'TALLY BOX DUMP'!152:152)+AC153)</f>
        <v/>
      </c>
      <c r="L153" s="21" t="str">
        <f>IF($D153="","",SUMIF('TALLY BOX DUMP'!$1:$1,'ACH CALC'!L$2,'TALLY BOX DUMP'!152:152))</f>
        <v/>
      </c>
      <c r="M153" s="21" t="str">
        <f>IF($D153="","",SUMIF('TALLY BOX DUMP'!$1:$1,'ACH CALC'!M$2,'TALLY BOX DUMP'!152:152)+AD153)</f>
        <v/>
      </c>
      <c r="N153" s="21" t="str">
        <f>IF($D153="","",SUMIF('TALLY BOX DUMP'!$1:$1,'ACH CALC'!N$2,'TALLY BOX DUMP'!152:152))</f>
        <v/>
      </c>
      <c r="O153" s="21" t="str">
        <f>IF($D153="","",SUMIF('TALLY BOX DUMP'!$1:$1,'ACH CALC'!O$2,'TALLY BOX DUMP'!152:152))</f>
        <v/>
      </c>
      <c r="P153" s="21" t="str">
        <f>IF($D153="","",SUMIF('TALLY BOX DUMP'!$1:$1,'ACH CALC'!P$2,'TALLY BOX DUMP'!152:152))</f>
        <v/>
      </c>
      <c r="Q153" s="21" t="str">
        <f t="shared" si="7"/>
        <v/>
      </c>
      <c r="R153" s="21" t="str">
        <f>IF($D153="","",SUMIF('TALLY BOX DUMP'!$1:$1,'ACH CALC'!R$2,'TALLY BOX DUMP'!152:152))</f>
        <v/>
      </c>
      <c r="S153" s="21" t="str">
        <f>IF($D153="","",SUMIF('TALLY BOX DUMP'!$1:$1,'ACH CALC'!S$2,'TALLY BOX DUMP'!152:152))</f>
        <v/>
      </c>
      <c r="T153" s="21" t="str">
        <f>IF($D153="","",SUMIF('TALLY BOX DUMP'!$1:$1,'ACH CALC'!T$2,'TALLY BOX DUMP'!152:152))</f>
        <v/>
      </c>
      <c r="U153" s="21" t="str">
        <f>IF($D153="","",SUMIF('TALLY BOX DUMP'!$1:$1,'ACH CALC'!U$2,'TALLY BOX DUMP'!152:152))</f>
        <v/>
      </c>
      <c r="V153" s="21" t="str">
        <f>IF($D153="","",SUMIF('TALLY BOX DUMP'!$1:$1,'ACH CALC'!V$2,'TALLY BOX DUMP'!152:152))</f>
        <v/>
      </c>
      <c r="W153" s="21" t="str">
        <f>IF($D153="","",SUMIF('TALLY BOX DUMP'!$1:$1,'ACH CALC'!W$2,'TALLY BOX DUMP'!152:152))</f>
        <v/>
      </c>
      <c r="X153" s="21" t="str">
        <f>IF($D153="","",SUMIF('TALLY BOX DUMP'!$1:$1,'ACH CALC'!X$2,'TALLY BOX DUMP'!152:152))</f>
        <v/>
      </c>
      <c r="Y153" s="21" t="str">
        <f>IF($D153="","",SUMIF('TALLY BOX DUMP'!$1:$1,'ACH CALC'!Y$2,'TALLY BOX DUMP'!152:152))</f>
        <v/>
      </c>
      <c r="Z153" s="21" t="str">
        <f>IF($D153="","",SUMIF('TALLY BOX DUMP'!$1:$1,'ACH CALC'!Z$2,'TALLY BOX DUMP'!152:152)+AE153)</f>
        <v/>
      </c>
      <c r="AA153" s="21" t="str">
        <f>IF($D153="","",SUMIF('TALLY BOX DUMP'!$1:$1,'ACH CALC'!AA$2,'TALLY BOX DUMP'!152:152))</f>
        <v/>
      </c>
      <c r="AB153" s="21" t="str">
        <f>IF($D153="","",SUMIF('TALLY BOX DUMP'!$1:$1,'ACH CALC'!AB$2,'TALLY BOX DUMP'!152:152))</f>
        <v/>
      </c>
      <c r="AC153" s="21" t="str">
        <f>IF($D153="","",SUMIF('TALLY BOX DUMP'!$1:$1,'ACH CALC'!AC$2,'TALLY BOX DUMP'!152:152))</f>
        <v/>
      </c>
      <c r="AD153" s="21" t="str">
        <f>IF($D153="","",SUMIF('TALLY BOX DUMP'!$1:$1,'ACH CALC'!AD$2,'TALLY BOX DUMP'!152:152))</f>
        <v/>
      </c>
      <c r="AE153" s="21" t="str">
        <f>IF($D153="","",SUMIF('TALLY BOX DUMP'!$1:$1,'ACH CALC'!AE$2,'TALLY BOX DUMP'!152:152))</f>
        <v/>
      </c>
      <c r="AF153" s="21" t="str">
        <f>IF($D153="","",SUMIF('TALLY BOX DUMP'!$1:$1,'ACH CALC'!AF$2,'TALLY BOX DUMP'!152:152))</f>
        <v/>
      </c>
      <c r="AG153" s="21" t="str">
        <f>IF($D153="","",SUMIF('TALLY BOX DUMP'!$1:$1,'ACH CALC'!AG$2,'TALLY BOX DUMP'!152:152))</f>
        <v/>
      </c>
      <c r="AH153" s="21" t="str">
        <f>IF($D153="","",SUMIF('TALLY BOX DUMP'!$1:$1,'ACH CALC'!AH$2,'TALLY BOX DUMP'!152:152))</f>
        <v/>
      </c>
      <c r="AI153" s="21" t="str">
        <f>IF($D153="","",SUMIF('TALLY BOX DUMP'!$1:$1,'ACH CALC'!AI$2,'TALLY BOX DUMP'!152:152))</f>
        <v/>
      </c>
      <c r="AJ153" s="21" t="str">
        <f>IF($D153="","",SUMIF('TALLY BOX DUMP'!$1:$1,'ACH CALC'!AJ$2,'TALLY BOX DUMP'!152:152))</f>
        <v/>
      </c>
      <c r="AK153" s="21" t="str">
        <f>IF($D153="","",SUMIF('TALLY BOX DUMP'!$1:$1,'ACH CALC'!AK$2,'TALLY BOX DUMP'!152:152))</f>
        <v/>
      </c>
      <c r="AL153" s="21" t="str">
        <f>IF($D153="","",ROUND(SUMIF('TALLY KG DUMP'!$1:$1,'ACH CALC'!AL$2,'TALLY KG DUMP'!152:152)/30,1))</f>
        <v/>
      </c>
      <c r="AM153" s="21" t="str">
        <f>IF($D153="","",SUMIF('TALLY BOX DUMP'!$1:$1,'ACH CALC'!AM$2,'TALLY BOX DUMP'!152:152))</f>
        <v/>
      </c>
      <c r="AN153" s="21" t="str">
        <f>IF($D153="","",SUMIF('TALLY BOX DUMP'!$1:$1,'ACH CALC'!AN$2,'TALLY BOX DUMP'!152:152))</f>
        <v/>
      </c>
      <c r="AO153" s="21" t="str">
        <f>IF($D153="","",SUMIF('TALLY BOX DUMP'!$1:$1,'ACH CALC'!AO$2,'TALLY BOX DUMP'!152:152))</f>
        <v/>
      </c>
      <c r="AP153" s="21" t="str">
        <f>IF($D153="","",SUMIF('TALLY BOX DUMP'!$1:$1,'ACH CALC'!AP$2,'TALLY BOX DUMP'!152:152))</f>
        <v/>
      </c>
      <c r="AQ153" s="21" t="str">
        <f>IF($D153="","",ROUND(SUMIF('TALLY KG DUMP'!$1:$1,'ACH CALC'!AQ$2,'TALLY KG DUMP'!152:152)/30,1))</f>
        <v/>
      </c>
      <c r="AR153" s="21" t="str">
        <f>IF($D153="","",SUMIF('TALLY BOX DUMP'!$1:$1,'ACH CALC'!AR$2,'TALLY BOX DUMP'!152:152))</f>
        <v/>
      </c>
      <c r="AS153" s="21" t="str">
        <f>IF($D153="","",SUMIF('TALLY BOX DUMP'!$1:$1,'ACH CALC'!AS$2,'TALLY BOX DUMP'!152:152))</f>
        <v/>
      </c>
      <c r="AT153" s="21" t="str">
        <f>IF($D153="","",SUMIF('TALLY BOX DUMP'!$1:$1,'ACH CALC'!AT$2,'TALLY BOX DUMP'!152:152))</f>
        <v/>
      </c>
      <c r="AU153" s="21" t="str">
        <f>IF($D153="","",SUMIF('TALLY BOX DUMP'!$1:$1,'ACH CALC'!AU$2,'TALLY BOX DUMP'!152:152))</f>
        <v/>
      </c>
      <c r="AV153" s="21" t="str">
        <f>IF($D153="","",SUMIF('TALLY BOX DUMP'!$1:$1,'ACH CALC'!AV$2,'TALLY BOX DUMP'!152:152))</f>
        <v/>
      </c>
      <c r="AW153" s="21" t="str">
        <f>IF($D153="","",SUMIF('TALLY BOX DUMP'!$1:$1,'ACH CALC'!AW$2,'TALLY BOX DUMP'!152:152))</f>
        <v/>
      </c>
      <c r="AX153" s="21" t="str">
        <f>IF($D153="","",SUMIF('TALLY BOX DUMP'!$1:$1,'ACH CALC'!AX$2,'TALLY BOX DUMP'!152:152))</f>
        <v/>
      </c>
      <c r="AY153" s="21" t="str">
        <f>IF($D153="","",SUMIF('TALLY BOX DUMP'!$1:$1,'ACH CALC'!AY$2,'TALLY BOX DUMP'!152:152))</f>
        <v/>
      </c>
      <c r="AZ153" s="21" t="str">
        <f>IF($D153="","",SUMIF('TALLY BOX DUMP'!$1:$1,'ACH CALC'!AZ$2,'TALLY BOX DUMP'!152:152))</f>
        <v/>
      </c>
      <c r="BA153" s="69">
        <f>(SUMIF('TALLY KG DUMP'!$2:$2,"Qty",'TALLY KG DUMP'!152:152)/1000)-(SUMIF('TALLY KG DUMP'!$1:$1,"GL",'TALLY KG DUMP'!152:152)/1000)</f>
        <v>0</v>
      </c>
      <c r="BB153" s="21" t="b">
        <f t="shared" si="8"/>
        <v>0</v>
      </c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</row>
    <row r="154" spans="2:75" x14ac:dyDescent="0.25">
      <c r="B154" s="21"/>
      <c r="C154" s="21"/>
      <c r="D154" s="21"/>
      <c r="E154" s="21" t="str">
        <f>IF($D154="","",(SUMIF('TALLY KG DUMP'!$2:$2,"Qty",'TALLY KG DUMP'!153:153)/1000)-(SUMIF('TALLY KG DUMP'!$1:$1,"GL",'TALLY KG DUMP'!153:153)/1000))</f>
        <v/>
      </c>
      <c r="F154" s="21" t="str">
        <f>IF($D154="","",(SUMIF('TALLY KG DUMP'!$1:$1,'ACH CALC'!F$2,'TALLY KG DUMP'!153:153)/1000))</f>
        <v/>
      </c>
      <c r="G154" s="21" t="str">
        <f>IF($D154="","",SUMIF('TALLY BOX DUMP'!$1:$1,'ACH CALC'!G$2,'TALLY BOX DUMP'!153:153)+Y154)</f>
        <v/>
      </c>
      <c r="H154" s="21" t="str">
        <f t="shared" si="6"/>
        <v/>
      </c>
      <c r="I154" s="21" t="str">
        <f>IF($D154="","",SUMIF('TALLY BOX DUMP'!$1:$1,'ACH CALC'!I$2,'TALLY BOX DUMP'!153:153)+AA154)</f>
        <v/>
      </c>
      <c r="J154" s="21" t="str">
        <f>IF($D154="","",SUMIF('TALLY BOX DUMP'!$1:$1,'ACH CALC'!J$2,'TALLY BOX DUMP'!153:153)+AB154)</f>
        <v/>
      </c>
      <c r="K154" s="21" t="str">
        <f>IF($D154="","",SUMIF('TALLY BOX DUMP'!$1:$1,'ACH CALC'!K$2,'TALLY BOX DUMP'!153:153)+AC154)</f>
        <v/>
      </c>
      <c r="L154" s="21" t="str">
        <f>IF($D154="","",SUMIF('TALLY BOX DUMP'!$1:$1,'ACH CALC'!L$2,'TALLY BOX DUMP'!153:153))</f>
        <v/>
      </c>
      <c r="M154" s="21" t="str">
        <f>IF($D154="","",SUMIF('TALLY BOX DUMP'!$1:$1,'ACH CALC'!M$2,'TALLY BOX DUMP'!153:153)+AD154)</f>
        <v/>
      </c>
      <c r="N154" s="21" t="str">
        <f>IF($D154="","",SUMIF('TALLY BOX DUMP'!$1:$1,'ACH CALC'!N$2,'TALLY BOX DUMP'!153:153))</f>
        <v/>
      </c>
      <c r="O154" s="21" t="str">
        <f>IF($D154="","",SUMIF('TALLY BOX DUMP'!$1:$1,'ACH CALC'!O$2,'TALLY BOX DUMP'!153:153))</f>
        <v/>
      </c>
      <c r="P154" s="21" t="str">
        <f>IF($D154="","",SUMIF('TALLY BOX DUMP'!$1:$1,'ACH CALC'!P$2,'TALLY BOX DUMP'!153:153))</f>
        <v/>
      </c>
      <c r="Q154" s="21" t="str">
        <f t="shared" si="7"/>
        <v/>
      </c>
      <c r="R154" s="21" t="str">
        <f>IF($D154="","",SUMIF('TALLY BOX DUMP'!$1:$1,'ACH CALC'!R$2,'TALLY BOX DUMP'!153:153))</f>
        <v/>
      </c>
      <c r="S154" s="21" t="str">
        <f>IF($D154="","",SUMIF('TALLY BOX DUMP'!$1:$1,'ACH CALC'!S$2,'TALLY BOX DUMP'!153:153))</f>
        <v/>
      </c>
      <c r="T154" s="21" t="str">
        <f>IF($D154="","",SUMIF('TALLY BOX DUMP'!$1:$1,'ACH CALC'!T$2,'TALLY BOX DUMP'!153:153))</f>
        <v/>
      </c>
      <c r="U154" s="21" t="str">
        <f>IF($D154="","",SUMIF('TALLY BOX DUMP'!$1:$1,'ACH CALC'!U$2,'TALLY BOX DUMP'!153:153))</f>
        <v/>
      </c>
      <c r="V154" s="21" t="str">
        <f>IF($D154="","",SUMIF('TALLY BOX DUMP'!$1:$1,'ACH CALC'!V$2,'TALLY BOX DUMP'!153:153))</f>
        <v/>
      </c>
      <c r="W154" s="21" t="str">
        <f>IF($D154="","",SUMIF('TALLY BOX DUMP'!$1:$1,'ACH CALC'!W$2,'TALLY BOX DUMP'!153:153))</f>
        <v/>
      </c>
      <c r="X154" s="21" t="str">
        <f>IF($D154="","",SUMIF('TALLY BOX DUMP'!$1:$1,'ACH CALC'!X$2,'TALLY BOX DUMP'!153:153))</f>
        <v/>
      </c>
      <c r="Y154" s="21" t="str">
        <f>IF($D154="","",SUMIF('TALLY BOX DUMP'!$1:$1,'ACH CALC'!Y$2,'TALLY BOX DUMP'!153:153))</f>
        <v/>
      </c>
      <c r="Z154" s="21" t="str">
        <f>IF($D154="","",SUMIF('TALLY BOX DUMP'!$1:$1,'ACH CALC'!Z$2,'TALLY BOX DUMP'!153:153)+AE154)</f>
        <v/>
      </c>
      <c r="AA154" s="21" t="str">
        <f>IF($D154="","",SUMIF('TALLY BOX DUMP'!$1:$1,'ACH CALC'!AA$2,'TALLY BOX DUMP'!153:153))</f>
        <v/>
      </c>
      <c r="AB154" s="21" t="str">
        <f>IF($D154="","",SUMIF('TALLY BOX DUMP'!$1:$1,'ACH CALC'!AB$2,'TALLY BOX DUMP'!153:153))</f>
        <v/>
      </c>
      <c r="AC154" s="21" t="str">
        <f>IF($D154="","",SUMIF('TALLY BOX DUMP'!$1:$1,'ACH CALC'!AC$2,'TALLY BOX DUMP'!153:153))</f>
        <v/>
      </c>
      <c r="AD154" s="21" t="str">
        <f>IF($D154="","",SUMIF('TALLY BOX DUMP'!$1:$1,'ACH CALC'!AD$2,'TALLY BOX DUMP'!153:153))</f>
        <v/>
      </c>
      <c r="AE154" s="21" t="str">
        <f>IF($D154="","",SUMIF('TALLY BOX DUMP'!$1:$1,'ACH CALC'!AE$2,'TALLY BOX DUMP'!153:153))</f>
        <v/>
      </c>
      <c r="AF154" s="21" t="str">
        <f>IF($D154="","",SUMIF('TALLY BOX DUMP'!$1:$1,'ACH CALC'!AF$2,'TALLY BOX DUMP'!153:153))</f>
        <v/>
      </c>
      <c r="AG154" s="21" t="str">
        <f>IF($D154="","",SUMIF('TALLY BOX DUMP'!$1:$1,'ACH CALC'!AG$2,'TALLY BOX DUMP'!153:153))</f>
        <v/>
      </c>
      <c r="AH154" s="21" t="str">
        <f>IF($D154="","",SUMIF('TALLY BOX DUMP'!$1:$1,'ACH CALC'!AH$2,'TALLY BOX DUMP'!153:153))</f>
        <v/>
      </c>
      <c r="AI154" s="21" t="str">
        <f>IF($D154="","",SUMIF('TALLY BOX DUMP'!$1:$1,'ACH CALC'!AI$2,'TALLY BOX DUMP'!153:153))</f>
        <v/>
      </c>
      <c r="AJ154" s="21" t="str">
        <f>IF($D154="","",SUMIF('TALLY BOX DUMP'!$1:$1,'ACH CALC'!AJ$2,'TALLY BOX DUMP'!153:153))</f>
        <v/>
      </c>
      <c r="AK154" s="21" t="str">
        <f>IF($D154="","",SUMIF('TALLY BOX DUMP'!$1:$1,'ACH CALC'!AK$2,'TALLY BOX DUMP'!153:153))</f>
        <v/>
      </c>
      <c r="AL154" s="21" t="str">
        <f>IF($D154="","",ROUND(SUMIF('TALLY KG DUMP'!$1:$1,'ACH CALC'!AL$2,'TALLY KG DUMP'!153:153)/30,1))</f>
        <v/>
      </c>
      <c r="AM154" s="21" t="str">
        <f>IF($D154="","",SUMIF('TALLY BOX DUMP'!$1:$1,'ACH CALC'!AM$2,'TALLY BOX DUMP'!153:153))</f>
        <v/>
      </c>
      <c r="AN154" s="21" t="str">
        <f>IF($D154="","",SUMIF('TALLY BOX DUMP'!$1:$1,'ACH CALC'!AN$2,'TALLY BOX DUMP'!153:153))</f>
        <v/>
      </c>
      <c r="AO154" s="21" t="str">
        <f>IF($D154="","",SUMIF('TALLY BOX DUMP'!$1:$1,'ACH CALC'!AO$2,'TALLY BOX DUMP'!153:153))</f>
        <v/>
      </c>
      <c r="AP154" s="21" t="str">
        <f>IF($D154="","",SUMIF('TALLY BOX DUMP'!$1:$1,'ACH CALC'!AP$2,'TALLY BOX DUMP'!153:153))</f>
        <v/>
      </c>
      <c r="AQ154" s="21" t="str">
        <f>IF($D154="","",ROUND(SUMIF('TALLY KG DUMP'!$1:$1,'ACH CALC'!AQ$2,'TALLY KG DUMP'!153:153)/30,1))</f>
        <v/>
      </c>
      <c r="AR154" s="21" t="str">
        <f>IF($D154="","",SUMIF('TALLY BOX DUMP'!$1:$1,'ACH CALC'!AR$2,'TALLY BOX DUMP'!153:153))</f>
        <v/>
      </c>
      <c r="AS154" s="21" t="str">
        <f>IF($D154="","",SUMIF('TALLY BOX DUMP'!$1:$1,'ACH CALC'!AS$2,'TALLY BOX DUMP'!153:153))</f>
        <v/>
      </c>
      <c r="AT154" s="21" t="str">
        <f>IF($D154="","",SUMIF('TALLY BOX DUMP'!$1:$1,'ACH CALC'!AT$2,'TALLY BOX DUMP'!153:153))</f>
        <v/>
      </c>
      <c r="AU154" s="21" t="str">
        <f>IF($D154="","",SUMIF('TALLY BOX DUMP'!$1:$1,'ACH CALC'!AU$2,'TALLY BOX DUMP'!153:153))</f>
        <v/>
      </c>
      <c r="AV154" s="21" t="str">
        <f>IF($D154="","",SUMIF('TALLY BOX DUMP'!$1:$1,'ACH CALC'!AV$2,'TALLY BOX DUMP'!153:153))</f>
        <v/>
      </c>
      <c r="AW154" s="21" t="str">
        <f>IF($D154="","",SUMIF('TALLY BOX DUMP'!$1:$1,'ACH CALC'!AW$2,'TALLY BOX DUMP'!153:153))</f>
        <v/>
      </c>
      <c r="AX154" s="21" t="str">
        <f>IF($D154="","",SUMIF('TALLY BOX DUMP'!$1:$1,'ACH CALC'!AX$2,'TALLY BOX DUMP'!153:153))</f>
        <v/>
      </c>
      <c r="AY154" s="21" t="str">
        <f>IF($D154="","",SUMIF('TALLY BOX DUMP'!$1:$1,'ACH CALC'!AY$2,'TALLY BOX DUMP'!153:153))</f>
        <v/>
      </c>
      <c r="AZ154" s="21" t="str">
        <f>IF($D154="","",SUMIF('TALLY BOX DUMP'!$1:$1,'ACH CALC'!AZ$2,'TALLY BOX DUMP'!153:153))</f>
        <v/>
      </c>
      <c r="BA154" s="69">
        <f>(SUMIF('TALLY KG DUMP'!$2:$2,"Qty",'TALLY KG DUMP'!153:153)/1000)-(SUMIF('TALLY KG DUMP'!$1:$1,"GL",'TALLY KG DUMP'!153:153)/1000)</f>
        <v>0</v>
      </c>
      <c r="BB154" s="21" t="b">
        <f t="shared" si="8"/>
        <v>0</v>
      </c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</row>
    <row r="155" spans="2:75" x14ac:dyDescent="0.25">
      <c r="B155" s="21"/>
      <c r="C155" s="21"/>
      <c r="D155" s="21"/>
      <c r="E155" s="21" t="str">
        <f>IF($D155="","",(SUMIF('TALLY KG DUMP'!$2:$2,"Qty",'TALLY KG DUMP'!154:154)/1000)-(SUMIF('TALLY KG DUMP'!$1:$1,"GL",'TALLY KG DUMP'!154:154)/1000))</f>
        <v/>
      </c>
      <c r="F155" s="21" t="str">
        <f>IF($D155="","",(SUMIF('TALLY KG DUMP'!$1:$1,'ACH CALC'!F$2,'TALLY KG DUMP'!154:154)/1000))</f>
        <v/>
      </c>
      <c r="G155" s="21" t="str">
        <f>IF($D155="","",SUMIF('TALLY BOX DUMP'!$1:$1,'ACH CALC'!G$2,'TALLY BOX DUMP'!154:154)+Y155)</f>
        <v/>
      </c>
      <c r="H155" s="21" t="str">
        <f t="shared" si="6"/>
        <v/>
      </c>
      <c r="I155" s="21" t="str">
        <f>IF($D155="","",SUMIF('TALLY BOX DUMP'!$1:$1,'ACH CALC'!I$2,'TALLY BOX DUMP'!154:154)+AA155)</f>
        <v/>
      </c>
      <c r="J155" s="21" t="str">
        <f>IF($D155="","",SUMIF('TALLY BOX DUMP'!$1:$1,'ACH CALC'!J$2,'TALLY BOX DUMP'!154:154)+AB155)</f>
        <v/>
      </c>
      <c r="K155" s="21" t="str">
        <f>IF($D155="","",SUMIF('TALLY BOX DUMP'!$1:$1,'ACH CALC'!K$2,'TALLY BOX DUMP'!154:154)+AC155)</f>
        <v/>
      </c>
      <c r="L155" s="21" t="str">
        <f>IF($D155="","",SUMIF('TALLY BOX DUMP'!$1:$1,'ACH CALC'!L$2,'TALLY BOX DUMP'!154:154))</f>
        <v/>
      </c>
      <c r="M155" s="21" t="str">
        <f>IF($D155="","",SUMIF('TALLY BOX DUMP'!$1:$1,'ACH CALC'!M$2,'TALLY BOX DUMP'!154:154)+AD155)</f>
        <v/>
      </c>
      <c r="N155" s="21" t="str">
        <f>IF($D155="","",SUMIF('TALLY BOX DUMP'!$1:$1,'ACH CALC'!N$2,'TALLY BOX DUMP'!154:154))</f>
        <v/>
      </c>
      <c r="O155" s="21" t="str">
        <f>IF($D155="","",SUMIF('TALLY BOX DUMP'!$1:$1,'ACH CALC'!O$2,'TALLY BOX DUMP'!154:154))</f>
        <v/>
      </c>
      <c r="P155" s="21" t="str">
        <f>IF($D155="","",SUMIF('TALLY BOX DUMP'!$1:$1,'ACH CALC'!P$2,'TALLY BOX DUMP'!154:154))</f>
        <v/>
      </c>
      <c r="Q155" s="21" t="str">
        <f t="shared" si="7"/>
        <v/>
      </c>
      <c r="R155" s="21" t="str">
        <f>IF($D155="","",SUMIF('TALLY BOX DUMP'!$1:$1,'ACH CALC'!R$2,'TALLY BOX DUMP'!154:154))</f>
        <v/>
      </c>
      <c r="S155" s="21" t="str">
        <f>IF($D155="","",SUMIF('TALLY BOX DUMP'!$1:$1,'ACH CALC'!S$2,'TALLY BOX DUMP'!154:154))</f>
        <v/>
      </c>
      <c r="T155" s="21" t="str">
        <f>IF($D155="","",SUMIF('TALLY BOX DUMP'!$1:$1,'ACH CALC'!T$2,'TALLY BOX DUMP'!154:154))</f>
        <v/>
      </c>
      <c r="U155" s="21" t="str">
        <f>IF($D155="","",SUMIF('TALLY BOX DUMP'!$1:$1,'ACH CALC'!U$2,'TALLY BOX DUMP'!154:154))</f>
        <v/>
      </c>
      <c r="V155" s="21" t="str">
        <f>IF($D155="","",SUMIF('TALLY BOX DUMP'!$1:$1,'ACH CALC'!V$2,'TALLY BOX DUMP'!154:154))</f>
        <v/>
      </c>
      <c r="W155" s="21" t="str">
        <f>IF($D155="","",SUMIF('TALLY BOX DUMP'!$1:$1,'ACH CALC'!W$2,'TALLY BOX DUMP'!154:154))</f>
        <v/>
      </c>
      <c r="X155" s="21" t="str">
        <f>IF($D155="","",SUMIF('TALLY BOX DUMP'!$1:$1,'ACH CALC'!X$2,'TALLY BOX DUMP'!154:154))</f>
        <v/>
      </c>
      <c r="Y155" s="21" t="str">
        <f>IF($D155="","",SUMIF('TALLY BOX DUMP'!$1:$1,'ACH CALC'!Y$2,'TALLY BOX DUMP'!154:154))</f>
        <v/>
      </c>
      <c r="Z155" s="21" t="str">
        <f>IF($D155="","",SUMIF('TALLY BOX DUMP'!$1:$1,'ACH CALC'!Z$2,'TALLY BOX DUMP'!154:154)+AE155)</f>
        <v/>
      </c>
      <c r="AA155" s="21" t="str">
        <f>IF($D155="","",SUMIF('TALLY BOX DUMP'!$1:$1,'ACH CALC'!AA$2,'TALLY BOX DUMP'!154:154))</f>
        <v/>
      </c>
      <c r="AB155" s="21" t="str">
        <f>IF($D155="","",SUMIF('TALLY BOX DUMP'!$1:$1,'ACH CALC'!AB$2,'TALLY BOX DUMP'!154:154))</f>
        <v/>
      </c>
      <c r="AC155" s="21" t="str">
        <f>IF($D155="","",SUMIF('TALLY BOX DUMP'!$1:$1,'ACH CALC'!AC$2,'TALLY BOX DUMP'!154:154))</f>
        <v/>
      </c>
      <c r="AD155" s="21" t="str">
        <f>IF($D155="","",SUMIF('TALLY BOX DUMP'!$1:$1,'ACH CALC'!AD$2,'TALLY BOX DUMP'!154:154))</f>
        <v/>
      </c>
      <c r="AE155" s="21" t="str">
        <f>IF($D155="","",SUMIF('TALLY BOX DUMP'!$1:$1,'ACH CALC'!AE$2,'TALLY BOX DUMP'!154:154))</f>
        <v/>
      </c>
      <c r="AF155" s="21" t="str">
        <f>IF($D155="","",SUMIF('TALLY BOX DUMP'!$1:$1,'ACH CALC'!AF$2,'TALLY BOX DUMP'!154:154))</f>
        <v/>
      </c>
      <c r="AG155" s="21" t="str">
        <f>IF($D155="","",SUMIF('TALLY BOX DUMP'!$1:$1,'ACH CALC'!AG$2,'TALLY BOX DUMP'!154:154))</f>
        <v/>
      </c>
      <c r="AH155" s="21" t="str">
        <f>IF($D155="","",SUMIF('TALLY BOX DUMP'!$1:$1,'ACH CALC'!AH$2,'TALLY BOX DUMP'!154:154))</f>
        <v/>
      </c>
      <c r="AI155" s="21" t="str">
        <f>IF($D155="","",SUMIF('TALLY BOX DUMP'!$1:$1,'ACH CALC'!AI$2,'TALLY BOX DUMP'!154:154))</f>
        <v/>
      </c>
      <c r="AJ155" s="21" t="str">
        <f>IF($D155="","",SUMIF('TALLY BOX DUMP'!$1:$1,'ACH CALC'!AJ$2,'TALLY BOX DUMP'!154:154))</f>
        <v/>
      </c>
      <c r="AK155" s="21" t="str">
        <f>IF($D155="","",SUMIF('TALLY BOX DUMP'!$1:$1,'ACH CALC'!AK$2,'TALLY BOX DUMP'!154:154))</f>
        <v/>
      </c>
      <c r="AL155" s="21" t="str">
        <f>IF($D155="","",ROUND(SUMIF('TALLY KG DUMP'!$1:$1,'ACH CALC'!AL$2,'TALLY KG DUMP'!154:154)/30,1))</f>
        <v/>
      </c>
      <c r="AM155" s="21" t="str">
        <f>IF($D155="","",SUMIF('TALLY BOX DUMP'!$1:$1,'ACH CALC'!AM$2,'TALLY BOX DUMP'!154:154))</f>
        <v/>
      </c>
      <c r="AN155" s="21" t="str">
        <f>IF($D155="","",SUMIF('TALLY BOX DUMP'!$1:$1,'ACH CALC'!AN$2,'TALLY BOX DUMP'!154:154))</f>
        <v/>
      </c>
      <c r="AO155" s="21" t="str">
        <f>IF($D155="","",SUMIF('TALLY BOX DUMP'!$1:$1,'ACH CALC'!AO$2,'TALLY BOX DUMP'!154:154))</f>
        <v/>
      </c>
      <c r="AP155" s="21" t="str">
        <f>IF($D155="","",SUMIF('TALLY BOX DUMP'!$1:$1,'ACH CALC'!AP$2,'TALLY BOX DUMP'!154:154))</f>
        <v/>
      </c>
      <c r="AQ155" s="21" t="str">
        <f>IF($D155="","",ROUND(SUMIF('TALLY KG DUMP'!$1:$1,'ACH CALC'!AQ$2,'TALLY KG DUMP'!154:154)/30,1))</f>
        <v/>
      </c>
      <c r="AR155" s="21" t="str">
        <f>IF($D155="","",SUMIF('TALLY BOX DUMP'!$1:$1,'ACH CALC'!AR$2,'TALLY BOX DUMP'!154:154))</f>
        <v/>
      </c>
      <c r="AS155" s="21" t="str">
        <f>IF($D155="","",SUMIF('TALLY BOX DUMP'!$1:$1,'ACH CALC'!AS$2,'TALLY BOX DUMP'!154:154))</f>
        <v/>
      </c>
      <c r="AT155" s="21" t="str">
        <f>IF($D155="","",SUMIF('TALLY BOX DUMP'!$1:$1,'ACH CALC'!AT$2,'TALLY BOX DUMP'!154:154))</f>
        <v/>
      </c>
      <c r="AU155" s="21" t="str">
        <f>IF($D155="","",SUMIF('TALLY BOX DUMP'!$1:$1,'ACH CALC'!AU$2,'TALLY BOX DUMP'!154:154))</f>
        <v/>
      </c>
      <c r="AV155" s="21" t="str">
        <f>IF($D155="","",SUMIF('TALLY BOX DUMP'!$1:$1,'ACH CALC'!AV$2,'TALLY BOX DUMP'!154:154))</f>
        <v/>
      </c>
      <c r="AW155" s="21" t="str">
        <f>IF($D155="","",SUMIF('TALLY BOX DUMP'!$1:$1,'ACH CALC'!AW$2,'TALLY BOX DUMP'!154:154))</f>
        <v/>
      </c>
      <c r="AX155" s="21" t="str">
        <f>IF($D155="","",SUMIF('TALLY BOX DUMP'!$1:$1,'ACH CALC'!AX$2,'TALLY BOX DUMP'!154:154))</f>
        <v/>
      </c>
      <c r="AY155" s="21" t="str">
        <f>IF($D155="","",SUMIF('TALLY BOX DUMP'!$1:$1,'ACH CALC'!AY$2,'TALLY BOX DUMP'!154:154))</f>
        <v/>
      </c>
      <c r="AZ155" s="21" t="str">
        <f>IF($D155="","",SUMIF('TALLY BOX DUMP'!$1:$1,'ACH CALC'!AZ$2,'TALLY BOX DUMP'!154:154))</f>
        <v/>
      </c>
      <c r="BA155" s="69">
        <f>(SUMIF('TALLY KG DUMP'!$2:$2,"Qty",'TALLY KG DUMP'!154:154)/1000)-(SUMIF('TALLY KG DUMP'!$1:$1,"GL",'TALLY KG DUMP'!154:154)/1000)</f>
        <v>0</v>
      </c>
      <c r="BB155" s="21" t="b">
        <f t="shared" si="8"/>
        <v>0</v>
      </c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</row>
    <row r="156" spans="2:75" x14ac:dyDescent="0.25">
      <c r="B156" s="21"/>
      <c r="C156" s="21"/>
      <c r="D156" s="21"/>
      <c r="E156" s="21" t="str">
        <f>IF($D156="","",(SUMIF('TALLY KG DUMP'!$2:$2,"Qty",'TALLY KG DUMP'!155:155)/1000)-(SUMIF('TALLY KG DUMP'!$1:$1,"GL",'TALLY KG DUMP'!155:155)/1000))</f>
        <v/>
      </c>
      <c r="F156" s="21" t="str">
        <f>IF($D156="","",(SUMIF('TALLY KG DUMP'!$1:$1,'ACH CALC'!F$2,'TALLY KG DUMP'!155:155)/1000))</f>
        <v/>
      </c>
      <c r="G156" s="21" t="str">
        <f>IF($D156="","",SUMIF('TALLY BOX DUMP'!$1:$1,'ACH CALC'!G$2,'TALLY BOX DUMP'!155:155)+Y156)</f>
        <v/>
      </c>
      <c r="H156" s="21" t="str">
        <f t="shared" si="6"/>
        <v/>
      </c>
      <c r="I156" s="21" t="str">
        <f>IF($D156="","",SUMIF('TALLY BOX DUMP'!$1:$1,'ACH CALC'!I$2,'TALLY BOX DUMP'!155:155)+AA156)</f>
        <v/>
      </c>
      <c r="J156" s="21" t="str">
        <f>IF($D156="","",SUMIF('TALLY BOX DUMP'!$1:$1,'ACH CALC'!J$2,'TALLY BOX DUMP'!155:155)+AB156)</f>
        <v/>
      </c>
      <c r="K156" s="21" t="str">
        <f>IF($D156="","",SUMIF('TALLY BOX DUMP'!$1:$1,'ACH CALC'!K$2,'TALLY BOX DUMP'!155:155)+AC156)</f>
        <v/>
      </c>
      <c r="L156" s="21" t="str">
        <f>IF($D156="","",SUMIF('TALLY BOX DUMP'!$1:$1,'ACH CALC'!L$2,'TALLY BOX DUMP'!155:155))</f>
        <v/>
      </c>
      <c r="M156" s="21" t="str">
        <f>IF($D156="","",SUMIF('TALLY BOX DUMP'!$1:$1,'ACH CALC'!M$2,'TALLY BOX DUMP'!155:155)+AD156)</f>
        <v/>
      </c>
      <c r="N156" s="21" t="str">
        <f>IF($D156="","",SUMIF('TALLY BOX DUMP'!$1:$1,'ACH CALC'!N$2,'TALLY BOX DUMP'!155:155))</f>
        <v/>
      </c>
      <c r="O156" s="21" t="str">
        <f>IF($D156="","",SUMIF('TALLY BOX DUMP'!$1:$1,'ACH CALC'!O$2,'TALLY BOX DUMP'!155:155))</f>
        <v/>
      </c>
      <c r="P156" s="21" t="str">
        <f>IF($D156="","",SUMIF('TALLY BOX DUMP'!$1:$1,'ACH CALC'!P$2,'TALLY BOX DUMP'!155:155))</f>
        <v/>
      </c>
      <c r="Q156" s="21" t="str">
        <f t="shared" si="7"/>
        <v/>
      </c>
      <c r="R156" s="21" t="str">
        <f>IF($D156="","",SUMIF('TALLY BOX DUMP'!$1:$1,'ACH CALC'!R$2,'TALLY BOX DUMP'!155:155))</f>
        <v/>
      </c>
      <c r="S156" s="21" t="str">
        <f>IF($D156="","",SUMIF('TALLY BOX DUMP'!$1:$1,'ACH CALC'!S$2,'TALLY BOX DUMP'!155:155))</f>
        <v/>
      </c>
      <c r="T156" s="21" t="str">
        <f>IF($D156="","",SUMIF('TALLY BOX DUMP'!$1:$1,'ACH CALC'!T$2,'TALLY BOX DUMP'!155:155))</f>
        <v/>
      </c>
      <c r="U156" s="21" t="str">
        <f>IF($D156="","",SUMIF('TALLY BOX DUMP'!$1:$1,'ACH CALC'!U$2,'TALLY BOX DUMP'!155:155))</f>
        <v/>
      </c>
      <c r="V156" s="21" t="str">
        <f>IF($D156="","",SUMIF('TALLY BOX DUMP'!$1:$1,'ACH CALC'!V$2,'TALLY BOX DUMP'!155:155))</f>
        <v/>
      </c>
      <c r="W156" s="21" t="str">
        <f>IF($D156="","",SUMIF('TALLY BOX DUMP'!$1:$1,'ACH CALC'!W$2,'TALLY BOX DUMP'!155:155))</f>
        <v/>
      </c>
      <c r="X156" s="21" t="str">
        <f>IF($D156="","",SUMIF('TALLY BOX DUMP'!$1:$1,'ACH CALC'!X$2,'TALLY BOX DUMP'!155:155))</f>
        <v/>
      </c>
      <c r="Y156" s="21" t="str">
        <f>IF($D156="","",SUMIF('TALLY BOX DUMP'!$1:$1,'ACH CALC'!Y$2,'TALLY BOX DUMP'!155:155))</f>
        <v/>
      </c>
      <c r="Z156" s="21" t="str">
        <f>IF($D156="","",SUMIF('TALLY BOX DUMP'!$1:$1,'ACH CALC'!Z$2,'TALLY BOX DUMP'!155:155)+AE156)</f>
        <v/>
      </c>
      <c r="AA156" s="21" t="str">
        <f>IF($D156="","",SUMIF('TALLY BOX DUMP'!$1:$1,'ACH CALC'!AA$2,'TALLY BOX DUMP'!155:155))</f>
        <v/>
      </c>
      <c r="AB156" s="21" t="str">
        <f>IF($D156="","",SUMIF('TALLY BOX DUMP'!$1:$1,'ACH CALC'!AB$2,'TALLY BOX DUMP'!155:155))</f>
        <v/>
      </c>
      <c r="AC156" s="21" t="str">
        <f>IF($D156="","",SUMIF('TALLY BOX DUMP'!$1:$1,'ACH CALC'!AC$2,'TALLY BOX DUMP'!155:155))</f>
        <v/>
      </c>
      <c r="AD156" s="21" t="str">
        <f>IF($D156="","",SUMIF('TALLY BOX DUMP'!$1:$1,'ACH CALC'!AD$2,'TALLY BOX DUMP'!155:155))</f>
        <v/>
      </c>
      <c r="AE156" s="21" t="str">
        <f>IF($D156="","",SUMIF('TALLY BOX DUMP'!$1:$1,'ACH CALC'!AE$2,'TALLY BOX DUMP'!155:155))</f>
        <v/>
      </c>
      <c r="AF156" s="21" t="str">
        <f>IF($D156="","",SUMIF('TALLY BOX DUMP'!$1:$1,'ACH CALC'!AF$2,'TALLY BOX DUMP'!155:155))</f>
        <v/>
      </c>
      <c r="AG156" s="21" t="str">
        <f>IF($D156="","",SUMIF('TALLY BOX DUMP'!$1:$1,'ACH CALC'!AG$2,'TALLY BOX DUMP'!155:155))</f>
        <v/>
      </c>
      <c r="AH156" s="21" t="str">
        <f>IF($D156="","",SUMIF('TALLY BOX DUMP'!$1:$1,'ACH CALC'!AH$2,'TALLY BOX DUMP'!155:155))</f>
        <v/>
      </c>
      <c r="AI156" s="21" t="str">
        <f>IF($D156="","",SUMIF('TALLY BOX DUMP'!$1:$1,'ACH CALC'!AI$2,'TALLY BOX DUMP'!155:155))</f>
        <v/>
      </c>
      <c r="AJ156" s="21" t="str">
        <f>IF($D156="","",SUMIF('TALLY BOX DUMP'!$1:$1,'ACH CALC'!AJ$2,'TALLY BOX DUMP'!155:155))</f>
        <v/>
      </c>
      <c r="AK156" s="21" t="str">
        <f>IF($D156="","",SUMIF('TALLY BOX DUMP'!$1:$1,'ACH CALC'!AK$2,'TALLY BOX DUMP'!155:155))</f>
        <v/>
      </c>
      <c r="AL156" s="21" t="str">
        <f>IF($D156="","",ROUND(SUMIF('TALLY KG DUMP'!$1:$1,'ACH CALC'!AL$2,'TALLY KG DUMP'!155:155)/30,1))</f>
        <v/>
      </c>
      <c r="AM156" s="21" t="str">
        <f>IF($D156="","",SUMIF('TALLY BOX DUMP'!$1:$1,'ACH CALC'!AM$2,'TALLY BOX DUMP'!155:155))</f>
        <v/>
      </c>
      <c r="AN156" s="21" t="str">
        <f>IF($D156="","",SUMIF('TALLY BOX DUMP'!$1:$1,'ACH CALC'!AN$2,'TALLY BOX DUMP'!155:155))</f>
        <v/>
      </c>
      <c r="AO156" s="21" t="str">
        <f>IF($D156="","",SUMIF('TALLY BOX DUMP'!$1:$1,'ACH CALC'!AO$2,'TALLY BOX DUMP'!155:155))</f>
        <v/>
      </c>
      <c r="AP156" s="21" t="str">
        <f>IF($D156="","",SUMIF('TALLY BOX DUMP'!$1:$1,'ACH CALC'!AP$2,'TALLY BOX DUMP'!155:155))</f>
        <v/>
      </c>
      <c r="AQ156" s="21" t="str">
        <f>IF($D156="","",ROUND(SUMIF('TALLY KG DUMP'!$1:$1,'ACH CALC'!AQ$2,'TALLY KG DUMP'!155:155)/30,1))</f>
        <v/>
      </c>
      <c r="AR156" s="21" t="str">
        <f>IF($D156="","",SUMIF('TALLY BOX DUMP'!$1:$1,'ACH CALC'!AR$2,'TALLY BOX DUMP'!155:155))</f>
        <v/>
      </c>
      <c r="AS156" s="21" t="str">
        <f>IF($D156="","",SUMIF('TALLY BOX DUMP'!$1:$1,'ACH CALC'!AS$2,'TALLY BOX DUMP'!155:155))</f>
        <v/>
      </c>
      <c r="AT156" s="21" t="str">
        <f>IF($D156="","",SUMIF('TALLY BOX DUMP'!$1:$1,'ACH CALC'!AT$2,'TALLY BOX DUMP'!155:155))</f>
        <v/>
      </c>
      <c r="AU156" s="21" t="str">
        <f>IF($D156="","",SUMIF('TALLY BOX DUMP'!$1:$1,'ACH CALC'!AU$2,'TALLY BOX DUMP'!155:155))</f>
        <v/>
      </c>
      <c r="AV156" s="21" t="str">
        <f>IF($D156="","",SUMIF('TALLY BOX DUMP'!$1:$1,'ACH CALC'!AV$2,'TALLY BOX DUMP'!155:155))</f>
        <v/>
      </c>
      <c r="AW156" s="21" t="str">
        <f>IF($D156="","",SUMIF('TALLY BOX DUMP'!$1:$1,'ACH CALC'!AW$2,'TALLY BOX DUMP'!155:155))</f>
        <v/>
      </c>
      <c r="AX156" s="21" t="str">
        <f>IF($D156="","",SUMIF('TALLY BOX DUMP'!$1:$1,'ACH CALC'!AX$2,'TALLY BOX DUMP'!155:155))</f>
        <v/>
      </c>
      <c r="AY156" s="21" t="str">
        <f>IF($D156="","",SUMIF('TALLY BOX DUMP'!$1:$1,'ACH CALC'!AY$2,'TALLY BOX DUMP'!155:155))</f>
        <v/>
      </c>
      <c r="AZ156" s="21" t="str">
        <f>IF($D156="","",SUMIF('TALLY BOX DUMP'!$1:$1,'ACH CALC'!AZ$2,'TALLY BOX DUMP'!155:155))</f>
        <v/>
      </c>
      <c r="BA156" s="69">
        <f>(SUMIF('TALLY KG DUMP'!$2:$2,"Qty",'TALLY KG DUMP'!155:155)/1000)-(SUMIF('TALLY KG DUMP'!$1:$1,"GL",'TALLY KG DUMP'!155:155)/1000)</f>
        <v>0</v>
      </c>
      <c r="BB156" s="21" t="b">
        <f t="shared" si="8"/>
        <v>0</v>
      </c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</row>
    <row r="157" spans="2:75" x14ac:dyDescent="0.25">
      <c r="B157" s="21"/>
      <c r="C157" s="21"/>
      <c r="D157" s="21"/>
      <c r="E157" s="21" t="str">
        <f>IF($D157="","",(SUMIF('TALLY KG DUMP'!$2:$2,"Qty",'TALLY KG DUMP'!156:156)/1000)-(SUMIF('TALLY KG DUMP'!$1:$1,"GL",'TALLY KG DUMP'!156:156)/1000))</f>
        <v/>
      </c>
      <c r="F157" s="21" t="str">
        <f>IF($D157="","",(SUMIF('TALLY KG DUMP'!$1:$1,'ACH CALC'!F$2,'TALLY KG DUMP'!156:156)/1000))</f>
        <v/>
      </c>
      <c r="G157" s="21" t="str">
        <f>IF($D157="","",SUMIF('TALLY BOX DUMP'!$1:$1,'ACH CALC'!G$2,'TALLY BOX DUMP'!156:156)+Y157)</f>
        <v/>
      </c>
      <c r="H157" s="21" t="str">
        <f t="shared" si="6"/>
        <v/>
      </c>
      <c r="I157" s="21" t="str">
        <f>IF($D157="","",SUMIF('TALLY BOX DUMP'!$1:$1,'ACH CALC'!I$2,'TALLY BOX DUMP'!156:156)+AA157)</f>
        <v/>
      </c>
      <c r="J157" s="21" t="str">
        <f>IF($D157="","",SUMIF('TALLY BOX DUMP'!$1:$1,'ACH CALC'!J$2,'TALLY BOX DUMP'!156:156)+AB157)</f>
        <v/>
      </c>
      <c r="K157" s="21" t="str">
        <f>IF($D157="","",SUMIF('TALLY BOX DUMP'!$1:$1,'ACH CALC'!K$2,'TALLY BOX DUMP'!156:156)+AC157)</f>
        <v/>
      </c>
      <c r="L157" s="21" t="str">
        <f>IF($D157="","",SUMIF('TALLY BOX DUMP'!$1:$1,'ACH CALC'!L$2,'TALLY BOX DUMP'!156:156))</f>
        <v/>
      </c>
      <c r="M157" s="21" t="str">
        <f>IF($D157="","",SUMIF('TALLY BOX DUMP'!$1:$1,'ACH CALC'!M$2,'TALLY BOX DUMP'!156:156)+AD157)</f>
        <v/>
      </c>
      <c r="N157" s="21" t="str">
        <f>IF($D157="","",SUMIF('TALLY BOX DUMP'!$1:$1,'ACH CALC'!N$2,'TALLY BOX DUMP'!156:156))</f>
        <v/>
      </c>
      <c r="O157" s="21" t="str">
        <f>IF($D157="","",SUMIF('TALLY BOX DUMP'!$1:$1,'ACH CALC'!O$2,'TALLY BOX DUMP'!156:156))</f>
        <v/>
      </c>
      <c r="P157" s="21" t="str">
        <f>IF($D157="","",SUMIF('TALLY BOX DUMP'!$1:$1,'ACH CALC'!P$2,'TALLY BOX DUMP'!156:156))</f>
        <v/>
      </c>
      <c r="Q157" s="21" t="str">
        <f t="shared" si="7"/>
        <v/>
      </c>
      <c r="R157" s="21" t="str">
        <f>IF($D157="","",SUMIF('TALLY BOX DUMP'!$1:$1,'ACH CALC'!R$2,'TALLY BOX DUMP'!156:156))</f>
        <v/>
      </c>
      <c r="S157" s="21" t="str">
        <f>IF($D157="","",SUMIF('TALLY BOX DUMP'!$1:$1,'ACH CALC'!S$2,'TALLY BOX DUMP'!156:156))</f>
        <v/>
      </c>
      <c r="T157" s="21" t="str">
        <f>IF($D157="","",SUMIF('TALLY BOX DUMP'!$1:$1,'ACH CALC'!T$2,'TALLY BOX DUMP'!156:156))</f>
        <v/>
      </c>
      <c r="U157" s="21" t="str">
        <f>IF($D157="","",SUMIF('TALLY BOX DUMP'!$1:$1,'ACH CALC'!U$2,'TALLY BOX DUMP'!156:156))</f>
        <v/>
      </c>
      <c r="V157" s="21" t="str">
        <f>IF($D157="","",SUMIF('TALLY BOX DUMP'!$1:$1,'ACH CALC'!V$2,'TALLY BOX DUMP'!156:156))</f>
        <v/>
      </c>
      <c r="W157" s="21" t="str">
        <f>IF($D157="","",SUMIF('TALLY BOX DUMP'!$1:$1,'ACH CALC'!W$2,'TALLY BOX DUMP'!156:156))</f>
        <v/>
      </c>
      <c r="X157" s="21" t="str">
        <f>IF($D157="","",SUMIF('TALLY BOX DUMP'!$1:$1,'ACH CALC'!X$2,'TALLY BOX DUMP'!156:156))</f>
        <v/>
      </c>
      <c r="Y157" s="21" t="str">
        <f>IF($D157="","",SUMIF('TALLY BOX DUMP'!$1:$1,'ACH CALC'!Y$2,'TALLY BOX DUMP'!156:156))</f>
        <v/>
      </c>
      <c r="Z157" s="21" t="str">
        <f>IF($D157="","",SUMIF('TALLY BOX DUMP'!$1:$1,'ACH CALC'!Z$2,'TALLY BOX DUMP'!156:156)+AE157)</f>
        <v/>
      </c>
      <c r="AA157" s="21" t="str">
        <f>IF($D157="","",SUMIF('TALLY BOX DUMP'!$1:$1,'ACH CALC'!AA$2,'TALLY BOX DUMP'!156:156))</f>
        <v/>
      </c>
      <c r="AB157" s="21" t="str">
        <f>IF($D157="","",SUMIF('TALLY BOX DUMP'!$1:$1,'ACH CALC'!AB$2,'TALLY BOX DUMP'!156:156))</f>
        <v/>
      </c>
      <c r="AC157" s="21" t="str">
        <f>IF($D157="","",SUMIF('TALLY BOX DUMP'!$1:$1,'ACH CALC'!AC$2,'TALLY BOX DUMP'!156:156))</f>
        <v/>
      </c>
      <c r="AD157" s="21" t="str">
        <f>IF($D157="","",SUMIF('TALLY BOX DUMP'!$1:$1,'ACH CALC'!AD$2,'TALLY BOX DUMP'!156:156))</f>
        <v/>
      </c>
      <c r="AE157" s="21" t="str">
        <f>IF($D157="","",SUMIF('TALLY BOX DUMP'!$1:$1,'ACH CALC'!AE$2,'TALLY BOX DUMP'!156:156))</f>
        <v/>
      </c>
      <c r="AF157" s="21" t="str">
        <f>IF($D157="","",SUMIF('TALLY BOX DUMP'!$1:$1,'ACH CALC'!AF$2,'TALLY BOX DUMP'!156:156))</f>
        <v/>
      </c>
      <c r="AG157" s="21" t="str">
        <f>IF($D157="","",SUMIF('TALLY BOX DUMP'!$1:$1,'ACH CALC'!AG$2,'TALLY BOX DUMP'!156:156))</f>
        <v/>
      </c>
      <c r="AH157" s="21" t="str">
        <f>IF($D157="","",SUMIF('TALLY BOX DUMP'!$1:$1,'ACH CALC'!AH$2,'TALLY BOX DUMP'!156:156))</f>
        <v/>
      </c>
      <c r="AI157" s="21" t="str">
        <f>IF($D157="","",SUMIF('TALLY BOX DUMP'!$1:$1,'ACH CALC'!AI$2,'TALLY BOX DUMP'!156:156))</f>
        <v/>
      </c>
      <c r="AJ157" s="21" t="str">
        <f>IF($D157="","",SUMIF('TALLY BOX DUMP'!$1:$1,'ACH CALC'!AJ$2,'TALLY BOX DUMP'!156:156))</f>
        <v/>
      </c>
      <c r="AK157" s="21" t="str">
        <f>IF($D157="","",SUMIF('TALLY BOX DUMP'!$1:$1,'ACH CALC'!AK$2,'TALLY BOX DUMP'!156:156))</f>
        <v/>
      </c>
      <c r="AL157" s="21" t="str">
        <f>IF($D157="","",ROUND(SUMIF('TALLY KG DUMP'!$1:$1,'ACH CALC'!AL$2,'TALLY KG DUMP'!156:156)/30,1))</f>
        <v/>
      </c>
      <c r="AM157" s="21" t="str">
        <f>IF($D157="","",SUMIF('TALLY BOX DUMP'!$1:$1,'ACH CALC'!AM$2,'TALLY BOX DUMP'!156:156))</f>
        <v/>
      </c>
      <c r="AN157" s="21" t="str">
        <f>IF($D157="","",SUMIF('TALLY BOX DUMP'!$1:$1,'ACH CALC'!AN$2,'TALLY BOX DUMP'!156:156))</f>
        <v/>
      </c>
      <c r="AO157" s="21" t="str">
        <f>IF($D157="","",SUMIF('TALLY BOX DUMP'!$1:$1,'ACH CALC'!AO$2,'TALLY BOX DUMP'!156:156))</f>
        <v/>
      </c>
      <c r="AP157" s="21" t="str">
        <f>IF($D157="","",SUMIF('TALLY BOX DUMP'!$1:$1,'ACH CALC'!AP$2,'TALLY BOX DUMP'!156:156))</f>
        <v/>
      </c>
      <c r="AQ157" s="21" t="str">
        <f>IF($D157="","",ROUND(SUMIF('TALLY KG DUMP'!$1:$1,'ACH CALC'!AQ$2,'TALLY KG DUMP'!156:156)/30,1))</f>
        <v/>
      </c>
      <c r="AR157" s="21" t="str">
        <f>IF($D157="","",SUMIF('TALLY BOX DUMP'!$1:$1,'ACH CALC'!AR$2,'TALLY BOX DUMP'!156:156))</f>
        <v/>
      </c>
      <c r="AS157" s="21" t="str">
        <f>IF($D157="","",SUMIF('TALLY BOX DUMP'!$1:$1,'ACH CALC'!AS$2,'TALLY BOX DUMP'!156:156))</f>
        <v/>
      </c>
      <c r="AT157" s="21" t="str">
        <f>IF($D157="","",SUMIF('TALLY BOX DUMP'!$1:$1,'ACH CALC'!AT$2,'TALLY BOX DUMP'!156:156))</f>
        <v/>
      </c>
      <c r="AU157" s="21" t="str">
        <f>IF($D157="","",SUMIF('TALLY BOX DUMP'!$1:$1,'ACH CALC'!AU$2,'TALLY BOX DUMP'!156:156))</f>
        <v/>
      </c>
      <c r="AV157" s="21" t="str">
        <f>IF($D157="","",SUMIF('TALLY BOX DUMP'!$1:$1,'ACH CALC'!AV$2,'TALLY BOX DUMP'!156:156))</f>
        <v/>
      </c>
      <c r="AW157" s="21" t="str">
        <f>IF($D157="","",SUMIF('TALLY BOX DUMP'!$1:$1,'ACH CALC'!AW$2,'TALLY BOX DUMP'!156:156))</f>
        <v/>
      </c>
      <c r="AX157" s="21" t="str">
        <f>IF($D157="","",SUMIF('TALLY BOX DUMP'!$1:$1,'ACH CALC'!AX$2,'TALLY BOX DUMP'!156:156))</f>
        <v/>
      </c>
      <c r="AY157" s="21" t="str">
        <f>IF($D157="","",SUMIF('TALLY BOX DUMP'!$1:$1,'ACH CALC'!AY$2,'TALLY BOX DUMP'!156:156))</f>
        <v/>
      </c>
      <c r="AZ157" s="21" t="str">
        <f>IF($D157="","",SUMIF('TALLY BOX DUMP'!$1:$1,'ACH CALC'!AZ$2,'TALLY BOX DUMP'!156:156))</f>
        <v/>
      </c>
      <c r="BA157" s="69">
        <f>(SUMIF('TALLY KG DUMP'!$2:$2,"Qty",'TALLY KG DUMP'!156:156)/1000)-(SUMIF('TALLY KG DUMP'!$1:$1,"GL",'TALLY KG DUMP'!156:156)/1000)</f>
        <v>0</v>
      </c>
      <c r="BB157" s="21" t="b">
        <f t="shared" si="8"/>
        <v>0</v>
      </c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</row>
    <row r="158" spans="2:75" x14ac:dyDescent="0.25">
      <c r="B158" s="21"/>
      <c r="C158" s="21"/>
      <c r="D158" s="21"/>
      <c r="E158" s="21" t="str">
        <f>IF($D158="","",(SUMIF('TALLY KG DUMP'!$2:$2,"Qty",'TALLY KG DUMP'!157:157)/1000)-(SUMIF('TALLY KG DUMP'!$1:$1,"GL",'TALLY KG DUMP'!157:157)/1000))</f>
        <v/>
      </c>
      <c r="F158" s="21" t="str">
        <f>IF($D158="","",(SUMIF('TALLY KG DUMP'!$1:$1,'ACH CALC'!F$2,'TALLY KG DUMP'!157:157)/1000))</f>
        <v/>
      </c>
      <c r="G158" s="21" t="str">
        <f>IF($D158="","",SUMIF('TALLY BOX DUMP'!$1:$1,'ACH CALC'!G$2,'TALLY BOX DUMP'!157:157)+Y158)</f>
        <v/>
      </c>
      <c r="H158" s="21" t="str">
        <f t="shared" si="6"/>
        <v/>
      </c>
      <c r="I158" s="21" t="str">
        <f>IF($D158="","",SUMIF('TALLY BOX DUMP'!$1:$1,'ACH CALC'!I$2,'TALLY BOX DUMP'!157:157)+AA158)</f>
        <v/>
      </c>
      <c r="J158" s="21" t="str">
        <f>IF($D158="","",SUMIF('TALLY BOX DUMP'!$1:$1,'ACH CALC'!J$2,'TALLY BOX DUMP'!157:157)+AB158)</f>
        <v/>
      </c>
      <c r="K158" s="21" t="str">
        <f>IF($D158="","",SUMIF('TALLY BOX DUMP'!$1:$1,'ACH CALC'!K$2,'TALLY BOX DUMP'!157:157)+AC158)</f>
        <v/>
      </c>
      <c r="L158" s="21" t="str">
        <f>IF($D158="","",SUMIF('TALLY BOX DUMP'!$1:$1,'ACH CALC'!L$2,'TALLY BOX DUMP'!157:157))</f>
        <v/>
      </c>
      <c r="M158" s="21" t="str">
        <f>IF($D158="","",SUMIF('TALLY BOX DUMP'!$1:$1,'ACH CALC'!M$2,'TALLY BOX DUMP'!157:157)+AD158)</f>
        <v/>
      </c>
      <c r="N158" s="21" t="str">
        <f>IF($D158="","",SUMIF('TALLY BOX DUMP'!$1:$1,'ACH CALC'!N$2,'TALLY BOX DUMP'!157:157))</f>
        <v/>
      </c>
      <c r="O158" s="21" t="str">
        <f>IF($D158="","",SUMIF('TALLY BOX DUMP'!$1:$1,'ACH CALC'!O$2,'TALLY BOX DUMP'!157:157))</f>
        <v/>
      </c>
      <c r="P158" s="21" t="str">
        <f>IF($D158="","",SUMIF('TALLY BOX DUMP'!$1:$1,'ACH CALC'!P$2,'TALLY BOX DUMP'!157:157))</f>
        <v/>
      </c>
      <c r="Q158" s="21" t="str">
        <f t="shared" si="7"/>
        <v/>
      </c>
      <c r="R158" s="21" t="str">
        <f>IF($D158="","",SUMIF('TALLY BOX DUMP'!$1:$1,'ACH CALC'!R$2,'TALLY BOX DUMP'!157:157))</f>
        <v/>
      </c>
      <c r="S158" s="21" t="str">
        <f>IF($D158="","",SUMIF('TALLY BOX DUMP'!$1:$1,'ACH CALC'!S$2,'TALLY BOX DUMP'!157:157))</f>
        <v/>
      </c>
      <c r="T158" s="21" t="str">
        <f>IF($D158="","",SUMIF('TALLY BOX DUMP'!$1:$1,'ACH CALC'!T$2,'TALLY BOX DUMP'!157:157))</f>
        <v/>
      </c>
      <c r="U158" s="21" t="str">
        <f>IF($D158="","",SUMIF('TALLY BOX DUMP'!$1:$1,'ACH CALC'!U$2,'TALLY BOX DUMP'!157:157))</f>
        <v/>
      </c>
      <c r="V158" s="21" t="str">
        <f>IF($D158="","",SUMIF('TALLY BOX DUMP'!$1:$1,'ACH CALC'!V$2,'TALLY BOX DUMP'!157:157))</f>
        <v/>
      </c>
      <c r="W158" s="21" t="str">
        <f>IF($D158="","",SUMIF('TALLY BOX DUMP'!$1:$1,'ACH CALC'!W$2,'TALLY BOX DUMP'!157:157))</f>
        <v/>
      </c>
      <c r="X158" s="21" t="str">
        <f>IF($D158="","",SUMIF('TALLY BOX DUMP'!$1:$1,'ACH CALC'!X$2,'TALLY BOX DUMP'!157:157))</f>
        <v/>
      </c>
      <c r="Y158" s="21" t="str">
        <f>IF($D158="","",SUMIF('TALLY BOX DUMP'!$1:$1,'ACH CALC'!Y$2,'TALLY BOX DUMP'!157:157))</f>
        <v/>
      </c>
      <c r="Z158" s="21" t="str">
        <f>IF($D158="","",SUMIF('TALLY BOX DUMP'!$1:$1,'ACH CALC'!Z$2,'TALLY BOX DUMP'!157:157)+AE158)</f>
        <v/>
      </c>
      <c r="AA158" s="21" t="str">
        <f>IF($D158="","",SUMIF('TALLY BOX DUMP'!$1:$1,'ACH CALC'!AA$2,'TALLY BOX DUMP'!157:157))</f>
        <v/>
      </c>
      <c r="AB158" s="21" t="str">
        <f>IF($D158="","",SUMIF('TALLY BOX DUMP'!$1:$1,'ACH CALC'!AB$2,'TALLY BOX DUMP'!157:157))</f>
        <v/>
      </c>
      <c r="AC158" s="21" t="str">
        <f>IF($D158="","",SUMIF('TALLY BOX DUMP'!$1:$1,'ACH CALC'!AC$2,'TALLY BOX DUMP'!157:157))</f>
        <v/>
      </c>
      <c r="AD158" s="21" t="str">
        <f>IF($D158="","",SUMIF('TALLY BOX DUMP'!$1:$1,'ACH CALC'!AD$2,'TALLY BOX DUMP'!157:157))</f>
        <v/>
      </c>
      <c r="AE158" s="21" t="str">
        <f>IF($D158="","",SUMIF('TALLY BOX DUMP'!$1:$1,'ACH CALC'!AE$2,'TALLY BOX DUMP'!157:157))</f>
        <v/>
      </c>
      <c r="AF158" s="21" t="str">
        <f>IF($D158="","",SUMIF('TALLY BOX DUMP'!$1:$1,'ACH CALC'!AF$2,'TALLY BOX DUMP'!157:157))</f>
        <v/>
      </c>
      <c r="AG158" s="21" t="str">
        <f>IF($D158="","",SUMIF('TALLY BOX DUMP'!$1:$1,'ACH CALC'!AG$2,'TALLY BOX DUMP'!157:157))</f>
        <v/>
      </c>
      <c r="AH158" s="21" t="str">
        <f>IF($D158="","",SUMIF('TALLY BOX DUMP'!$1:$1,'ACH CALC'!AH$2,'TALLY BOX DUMP'!157:157))</f>
        <v/>
      </c>
      <c r="AI158" s="21" t="str">
        <f>IF($D158="","",SUMIF('TALLY BOX DUMP'!$1:$1,'ACH CALC'!AI$2,'TALLY BOX DUMP'!157:157))</f>
        <v/>
      </c>
      <c r="AJ158" s="21" t="str">
        <f>IF($D158="","",SUMIF('TALLY BOX DUMP'!$1:$1,'ACH CALC'!AJ$2,'TALLY BOX DUMP'!157:157))</f>
        <v/>
      </c>
      <c r="AK158" s="21" t="str">
        <f>IF($D158="","",SUMIF('TALLY BOX DUMP'!$1:$1,'ACH CALC'!AK$2,'TALLY BOX DUMP'!157:157))</f>
        <v/>
      </c>
      <c r="AL158" s="21" t="str">
        <f>IF($D158="","",ROUND(SUMIF('TALLY KG DUMP'!$1:$1,'ACH CALC'!AL$2,'TALLY KG DUMP'!157:157)/30,1))</f>
        <v/>
      </c>
      <c r="AM158" s="21" t="str">
        <f>IF($D158="","",SUMIF('TALLY BOX DUMP'!$1:$1,'ACH CALC'!AM$2,'TALLY BOX DUMP'!157:157))</f>
        <v/>
      </c>
      <c r="AN158" s="21" t="str">
        <f>IF($D158="","",SUMIF('TALLY BOX DUMP'!$1:$1,'ACH CALC'!AN$2,'TALLY BOX DUMP'!157:157))</f>
        <v/>
      </c>
      <c r="AO158" s="21" t="str">
        <f>IF($D158="","",SUMIF('TALLY BOX DUMP'!$1:$1,'ACH CALC'!AO$2,'TALLY BOX DUMP'!157:157))</f>
        <v/>
      </c>
      <c r="AP158" s="21" t="str">
        <f>IF($D158="","",SUMIF('TALLY BOX DUMP'!$1:$1,'ACH CALC'!AP$2,'TALLY BOX DUMP'!157:157))</f>
        <v/>
      </c>
      <c r="AQ158" s="21" t="str">
        <f>IF($D158="","",ROUND(SUMIF('TALLY KG DUMP'!$1:$1,'ACH CALC'!AQ$2,'TALLY KG DUMP'!157:157)/30,1))</f>
        <v/>
      </c>
      <c r="AR158" s="21" t="str">
        <f>IF($D158="","",SUMIF('TALLY BOX DUMP'!$1:$1,'ACH CALC'!AR$2,'TALLY BOX DUMP'!157:157))</f>
        <v/>
      </c>
      <c r="AS158" s="21" t="str">
        <f>IF($D158="","",SUMIF('TALLY BOX DUMP'!$1:$1,'ACH CALC'!AS$2,'TALLY BOX DUMP'!157:157))</f>
        <v/>
      </c>
      <c r="AT158" s="21" t="str">
        <f>IF($D158="","",SUMIF('TALLY BOX DUMP'!$1:$1,'ACH CALC'!AT$2,'TALLY BOX DUMP'!157:157))</f>
        <v/>
      </c>
      <c r="AU158" s="21" t="str">
        <f>IF($D158="","",SUMIF('TALLY BOX DUMP'!$1:$1,'ACH CALC'!AU$2,'TALLY BOX DUMP'!157:157))</f>
        <v/>
      </c>
      <c r="AV158" s="21" t="str">
        <f>IF($D158="","",SUMIF('TALLY BOX DUMP'!$1:$1,'ACH CALC'!AV$2,'TALLY BOX DUMP'!157:157))</f>
        <v/>
      </c>
      <c r="AW158" s="21" t="str">
        <f>IF($D158="","",SUMIF('TALLY BOX DUMP'!$1:$1,'ACH CALC'!AW$2,'TALLY BOX DUMP'!157:157))</f>
        <v/>
      </c>
      <c r="AX158" s="21" t="str">
        <f>IF($D158="","",SUMIF('TALLY BOX DUMP'!$1:$1,'ACH CALC'!AX$2,'TALLY BOX DUMP'!157:157))</f>
        <v/>
      </c>
      <c r="AY158" s="21" t="str">
        <f>IF($D158="","",SUMIF('TALLY BOX DUMP'!$1:$1,'ACH CALC'!AY$2,'TALLY BOX DUMP'!157:157))</f>
        <v/>
      </c>
      <c r="AZ158" s="21" t="str">
        <f>IF($D158="","",SUMIF('TALLY BOX DUMP'!$1:$1,'ACH CALC'!AZ$2,'TALLY BOX DUMP'!157:157))</f>
        <v/>
      </c>
      <c r="BA158" s="69">
        <f>(SUMIF('TALLY KG DUMP'!$2:$2,"Qty",'TALLY KG DUMP'!157:157)/1000)-(SUMIF('TALLY KG DUMP'!$1:$1,"GL",'TALLY KG DUMP'!157:157)/1000)</f>
        <v>0</v>
      </c>
      <c r="BB158" s="21" t="b">
        <f t="shared" si="8"/>
        <v>0</v>
      </c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</row>
    <row r="159" spans="2:75" x14ac:dyDescent="0.25">
      <c r="B159" s="21"/>
      <c r="C159" s="21"/>
      <c r="D159" s="21"/>
      <c r="E159" s="21" t="str">
        <f>IF($D159="","",(SUMIF('TALLY KG DUMP'!$2:$2,"Qty",'TALLY KG DUMP'!158:158)/1000)-(SUMIF('TALLY KG DUMP'!$1:$1,"GL",'TALLY KG DUMP'!158:158)/1000))</f>
        <v/>
      </c>
      <c r="F159" s="21" t="str">
        <f>IF($D159="","",(SUMIF('TALLY KG DUMP'!$1:$1,'ACH CALC'!F$2,'TALLY KG DUMP'!158:158)/1000))</f>
        <v/>
      </c>
      <c r="G159" s="21" t="str">
        <f>IF($D159="","",SUMIF('TALLY BOX DUMP'!$1:$1,'ACH CALC'!G$2,'TALLY BOX DUMP'!158:158)+Y159)</f>
        <v/>
      </c>
      <c r="H159" s="21" t="str">
        <f t="shared" si="6"/>
        <v/>
      </c>
      <c r="I159" s="21" t="str">
        <f>IF($D159="","",SUMIF('TALLY BOX DUMP'!$1:$1,'ACH CALC'!I$2,'TALLY BOX DUMP'!158:158)+AA159)</f>
        <v/>
      </c>
      <c r="J159" s="21" t="str">
        <f>IF($D159="","",SUMIF('TALLY BOX DUMP'!$1:$1,'ACH CALC'!J$2,'TALLY BOX DUMP'!158:158)+AB159)</f>
        <v/>
      </c>
      <c r="K159" s="21" t="str">
        <f>IF($D159="","",SUMIF('TALLY BOX DUMP'!$1:$1,'ACH CALC'!K$2,'TALLY BOX DUMP'!158:158)+AC159)</f>
        <v/>
      </c>
      <c r="L159" s="21" t="str">
        <f>IF($D159="","",SUMIF('TALLY BOX DUMP'!$1:$1,'ACH CALC'!L$2,'TALLY BOX DUMP'!158:158))</f>
        <v/>
      </c>
      <c r="M159" s="21" t="str">
        <f>IF($D159="","",SUMIF('TALLY BOX DUMP'!$1:$1,'ACH CALC'!M$2,'TALLY BOX DUMP'!158:158)+AD159)</f>
        <v/>
      </c>
      <c r="N159" s="21" t="str">
        <f>IF($D159="","",SUMIF('TALLY BOX DUMP'!$1:$1,'ACH CALC'!N$2,'TALLY BOX DUMP'!158:158))</f>
        <v/>
      </c>
      <c r="O159" s="21" t="str">
        <f>IF($D159="","",SUMIF('TALLY BOX DUMP'!$1:$1,'ACH CALC'!O$2,'TALLY BOX DUMP'!158:158))</f>
        <v/>
      </c>
      <c r="P159" s="21" t="str">
        <f>IF($D159="","",SUMIF('TALLY BOX DUMP'!$1:$1,'ACH CALC'!P$2,'TALLY BOX DUMP'!158:158))</f>
        <v/>
      </c>
      <c r="Q159" s="21" t="str">
        <f t="shared" si="7"/>
        <v/>
      </c>
      <c r="R159" s="21" t="str">
        <f>IF($D159="","",SUMIF('TALLY BOX DUMP'!$1:$1,'ACH CALC'!R$2,'TALLY BOX DUMP'!158:158))</f>
        <v/>
      </c>
      <c r="S159" s="21" t="str">
        <f>IF($D159="","",SUMIF('TALLY BOX DUMP'!$1:$1,'ACH CALC'!S$2,'TALLY BOX DUMP'!158:158))</f>
        <v/>
      </c>
      <c r="T159" s="21" t="str">
        <f>IF($D159="","",SUMIF('TALLY BOX DUMP'!$1:$1,'ACH CALC'!T$2,'TALLY BOX DUMP'!158:158))</f>
        <v/>
      </c>
      <c r="U159" s="21" t="str">
        <f>IF($D159="","",SUMIF('TALLY BOX DUMP'!$1:$1,'ACH CALC'!U$2,'TALLY BOX DUMP'!158:158))</f>
        <v/>
      </c>
      <c r="V159" s="21" t="str">
        <f>IF($D159="","",SUMIF('TALLY BOX DUMP'!$1:$1,'ACH CALC'!V$2,'TALLY BOX DUMP'!158:158))</f>
        <v/>
      </c>
      <c r="W159" s="21" t="str">
        <f>IF($D159="","",SUMIF('TALLY BOX DUMP'!$1:$1,'ACH CALC'!W$2,'TALLY BOX DUMP'!158:158))</f>
        <v/>
      </c>
      <c r="X159" s="21" t="str">
        <f>IF($D159="","",SUMIF('TALLY BOX DUMP'!$1:$1,'ACH CALC'!X$2,'TALLY BOX DUMP'!158:158))</f>
        <v/>
      </c>
      <c r="Y159" s="21" t="str">
        <f>IF($D159="","",SUMIF('TALLY BOX DUMP'!$1:$1,'ACH CALC'!Y$2,'TALLY BOX DUMP'!158:158))</f>
        <v/>
      </c>
      <c r="Z159" s="21" t="str">
        <f>IF($D159="","",SUMIF('TALLY BOX DUMP'!$1:$1,'ACH CALC'!Z$2,'TALLY BOX DUMP'!158:158)+AE159)</f>
        <v/>
      </c>
      <c r="AA159" s="21" t="str">
        <f>IF($D159="","",SUMIF('TALLY BOX DUMP'!$1:$1,'ACH CALC'!AA$2,'TALLY BOX DUMP'!158:158))</f>
        <v/>
      </c>
      <c r="AB159" s="21" t="str">
        <f>IF($D159="","",SUMIF('TALLY BOX DUMP'!$1:$1,'ACH CALC'!AB$2,'TALLY BOX DUMP'!158:158))</f>
        <v/>
      </c>
      <c r="AC159" s="21" t="str">
        <f>IF($D159="","",SUMIF('TALLY BOX DUMP'!$1:$1,'ACH CALC'!AC$2,'TALLY BOX DUMP'!158:158))</f>
        <v/>
      </c>
      <c r="AD159" s="21" t="str">
        <f>IF($D159="","",SUMIF('TALLY BOX DUMP'!$1:$1,'ACH CALC'!AD$2,'TALLY BOX DUMP'!158:158))</f>
        <v/>
      </c>
      <c r="AE159" s="21" t="str">
        <f>IF($D159="","",SUMIF('TALLY BOX DUMP'!$1:$1,'ACH CALC'!AE$2,'TALLY BOX DUMP'!158:158))</f>
        <v/>
      </c>
      <c r="AF159" s="21" t="str">
        <f>IF($D159="","",SUMIF('TALLY BOX DUMP'!$1:$1,'ACH CALC'!AF$2,'TALLY BOX DUMP'!158:158))</f>
        <v/>
      </c>
      <c r="AG159" s="21" t="str">
        <f>IF($D159="","",SUMIF('TALLY BOX DUMP'!$1:$1,'ACH CALC'!AG$2,'TALLY BOX DUMP'!158:158))</f>
        <v/>
      </c>
      <c r="AH159" s="21" t="str">
        <f>IF($D159="","",SUMIF('TALLY BOX DUMP'!$1:$1,'ACH CALC'!AH$2,'TALLY BOX DUMP'!158:158))</f>
        <v/>
      </c>
      <c r="AI159" s="21" t="str">
        <f>IF($D159="","",SUMIF('TALLY BOX DUMP'!$1:$1,'ACH CALC'!AI$2,'TALLY BOX DUMP'!158:158))</f>
        <v/>
      </c>
      <c r="AJ159" s="21" t="str">
        <f>IF($D159="","",SUMIF('TALLY BOX DUMP'!$1:$1,'ACH CALC'!AJ$2,'TALLY BOX DUMP'!158:158))</f>
        <v/>
      </c>
      <c r="AK159" s="21" t="str">
        <f>IF($D159="","",SUMIF('TALLY BOX DUMP'!$1:$1,'ACH CALC'!AK$2,'TALLY BOX DUMP'!158:158))</f>
        <v/>
      </c>
      <c r="AL159" s="21" t="str">
        <f>IF($D159="","",ROUND(SUMIF('TALLY KG DUMP'!$1:$1,'ACH CALC'!AL$2,'TALLY KG DUMP'!158:158)/30,1))</f>
        <v/>
      </c>
      <c r="AM159" s="21" t="str">
        <f>IF($D159="","",SUMIF('TALLY BOX DUMP'!$1:$1,'ACH CALC'!AM$2,'TALLY BOX DUMP'!158:158))</f>
        <v/>
      </c>
      <c r="AN159" s="21" t="str">
        <f>IF($D159="","",SUMIF('TALLY BOX DUMP'!$1:$1,'ACH CALC'!AN$2,'TALLY BOX DUMP'!158:158))</f>
        <v/>
      </c>
      <c r="AO159" s="21" t="str">
        <f>IF($D159="","",SUMIF('TALLY BOX DUMP'!$1:$1,'ACH CALC'!AO$2,'TALLY BOX DUMP'!158:158))</f>
        <v/>
      </c>
      <c r="AP159" s="21" t="str">
        <f>IF($D159="","",SUMIF('TALLY BOX DUMP'!$1:$1,'ACH CALC'!AP$2,'TALLY BOX DUMP'!158:158))</f>
        <v/>
      </c>
      <c r="AQ159" s="21" t="str">
        <f>IF($D159="","",ROUND(SUMIF('TALLY KG DUMP'!$1:$1,'ACH CALC'!AQ$2,'TALLY KG DUMP'!158:158)/30,1))</f>
        <v/>
      </c>
      <c r="AR159" s="21" t="str">
        <f>IF($D159="","",SUMIF('TALLY BOX DUMP'!$1:$1,'ACH CALC'!AR$2,'TALLY BOX DUMP'!158:158))</f>
        <v/>
      </c>
      <c r="AS159" s="21" t="str">
        <f>IF($D159="","",SUMIF('TALLY BOX DUMP'!$1:$1,'ACH CALC'!AS$2,'TALLY BOX DUMP'!158:158))</f>
        <v/>
      </c>
      <c r="AT159" s="21" t="str">
        <f>IF($D159="","",SUMIF('TALLY BOX DUMP'!$1:$1,'ACH CALC'!AT$2,'TALLY BOX DUMP'!158:158))</f>
        <v/>
      </c>
      <c r="AU159" s="21" t="str">
        <f>IF($D159="","",SUMIF('TALLY BOX DUMP'!$1:$1,'ACH CALC'!AU$2,'TALLY BOX DUMP'!158:158))</f>
        <v/>
      </c>
      <c r="AV159" s="21" t="str">
        <f>IF($D159="","",SUMIF('TALLY BOX DUMP'!$1:$1,'ACH CALC'!AV$2,'TALLY BOX DUMP'!158:158))</f>
        <v/>
      </c>
      <c r="AW159" s="21" t="str">
        <f>IF($D159="","",SUMIF('TALLY BOX DUMP'!$1:$1,'ACH CALC'!AW$2,'TALLY BOX DUMP'!158:158))</f>
        <v/>
      </c>
      <c r="AX159" s="21" t="str">
        <f>IF($D159="","",SUMIF('TALLY BOX DUMP'!$1:$1,'ACH CALC'!AX$2,'TALLY BOX DUMP'!158:158))</f>
        <v/>
      </c>
      <c r="AY159" s="21" t="str">
        <f>IF($D159="","",SUMIF('TALLY BOX DUMP'!$1:$1,'ACH CALC'!AY$2,'TALLY BOX DUMP'!158:158))</f>
        <v/>
      </c>
      <c r="AZ159" s="21" t="str">
        <f>IF($D159="","",SUMIF('TALLY BOX DUMP'!$1:$1,'ACH CALC'!AZ$2,'TALLY BOX DUMP'!158:158))</f>
        <v/>
      </c>
      <c r="BA159" s="69">
        <f>(SUMIF('TALLY KG DUMP'!$2:$2,"Qty",'TALLY KG DUMP'!158:158)/1000)-(SUMIF('TALLY KG DUMP'!$1:$1,"GL",'TALLY KG DUMP'!158:158)/1000)</f>
        <v>0</v>
      </c>
      <c r="BB159" s="21" t="b">
        <f t="shared" si="8"/>
        <v>0</v>
      </c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</row>
    <row r="160" spans="2:75" x14ac:dyDescent="0.25">
      <c r="B160" s="21"/>
      <c r="C160" s="21"/>
      <c r="D160" s="21"/>
      <c r="E160" s="21" t="str">
        <f>IF($D160="","",(SUMIF('TALLY KG DUMP'!$2:$2,"Qty",'TALLY KG DUMP'!159:159)/1000)-(SUMIF('TALLY KG DUMP'!$1:$1,"GL",'TALLY KG DUMP'!159:159)/1000))</f>
        <v/>
      </c>
      <c r="F160" s="21" t="str">
        <f>IF($D160="","",(SUMIF('TALLY KG DUMP'!$1:$1,'ACH CALC'!F$2,'TALLY KG DUMP'!159:159)/1000))</f>
        <v/>
      </c>
      <c r="G160" s="21" t="str">
        <f>IF($D160="","",SUMIF('TALLY BOX DUMP'!$1:$1,'ACH CALC'!G$2,'TALLY BOX DUMP'!159:159)+Y160)</f>
        <v/>
      </c>
      <c r="H160" s="21" t="str">
        <f t="shared" si="6"/>
        <v/>
      </c>
      <c r="I160" s="21" t="str">
        <f>IF($D160="","",SUMIF('TALLY BOX DUMP'!$1:$1,'ACH CALC'!I$2,'TALLY BOX DUMP'!159:159)+AA160)</f>
        <v/>
      </c>
      <c r="J160" s="21" t="str">
        <f>IF($D160="","",SUMIF('TALLY BOX DUMP'!$1:$1,'ACH CALC'!J$2,'TALLY BOX DUMP'!159:159)+AB160)</f>
        <v/>
      </c>
      <c r="K160" s="21" t="str">
        <f>IF($D160="","",SUMIF('TALLY BOX DUMP'!$1:$1,'ACH CALC'!K$2,'TALLY BOX DUMP'!159:159)+AC160)</f>
        <v/>
      </c>
      <c r="L160" s="21" t="str">
        <f>IF($D160="","",SUMIF('TALLY BOX DUMP'!$1:$1,'ACH CALC'!L$2,'TALLY BOX DUMP'!159:159))</f>
        <v/>
      </c>
      <c r="M160" s="21" t="str">
        <f>IF($D160="","",SUMIF('TALLY BOX DUMP'!$1:$1,'ACH CALC'!M$2,'TALLY BOX DUMP'!159:159)+AD160)</f>
        <v/>
      </c>
      <c r="N160" s="21" t="str">
        <f>IF($D160="","",SUMIF('TALLY BOX DUMP'!$1:$1,'ACH CALC'!N$2,'TALLY BOX DUMP'!159:159))</f>
        <v/>
      </c>
      <c r="O160" s="21" t="str">
        <f>IF($D160="","",SUMIF('TALLY BOX DUMP'!$1:$1,'ACH CALC'!O$2,'TALLY BOX DUMP'!159:159))</f>
        <v/>
      </c>
      <c r="P160" s="21" t="str">
        <f>IF($D160="","",SUMIF('TALLY BOX DUMP'!$1:$1,'ACH CALC'!P$2,'TALLY BOX DUMP'!159:159))</f>
        <v/>
      </c>
      <c r="Q160" s="21" t="str">
        <f t="shared" si="7"/>
        <v/>
      </c>
      <c r="R160" s="21" t="str">
        <f>IF($D160="","",SUMIF('TALLY BOX DUMP'!$1:$1,'ACH CALC'!R$2,'TALLY BOX DUMP'!159:159))</f>
        <v/>
      </c>
      <c r="S160" s="21" t="str">
        <f>IF($D160="","",SUMIF('TALLY BOX DUMP'!$1:$1,'ACH CALC'!S$2,'TALLY BOX DUMP'!159:159))</f>
        <v/>
      </c>
      <c r="T160" s="21" t="str">
        <f>IF($D160="","",SUMIF('TALLY BOX DUMP'!$1:$1,'ACH CALC'!T$2,'TALLY BOX DUMP'!159:159))</f>
        <v/>
      </c>
      <c r="U160" s="21" t="str">
        <f>IF($D160="","",SUMIF('TALLY BOX DUMP'!$1:$1,'ACH CALC'!U$2,'TALLY BOX DUMP'!159:159))</f>
        <v/>
      </c>
      <c r="V160" s="21" t="str">
        <f>IF($D160="","",SUMIF('TALLY BOX DUMP'!$1:$1,'ACH CALC'!V$2,'TALLY BOX DUMP'!159:159))</f>
        <v/>
      </c>
      <c r="W160" s="21" t="str">
        <f>IF($D160="","",SUMIF('TALLY BOX DUMP'!$1:$1,'ACH CALC'!W$2,'TALLY BOX DUMP'!159:159))</f>
        <v/>
      </c>
      <c r="X160" s="21" t="str">
        <f>IF($D160="","",SUMIF('TALLY BOX DUMP'!$1:$1,'ACH CALC'!X$2,'TALLY BOX DUMP'!159:159))</f>
        <v/>
      </c>
      <c r="Y160" s="21" t="str">
        <f>IF($D160="","",SUMIF('TALLY BOX DUMP'!$1:$1,'ACH CALC'!Y$2,'TALLY BOX DUMP'!159:159))</f>
        <v/>
      </c>
      <c r="Z160" s="21" t="str">
        <f>IF($D160="","",SUMIF('TALLY BOX DUMP'!$1:$1,'ACH CALC'!Z$2,'TALLY BOX DUMP'!159:159)+AE160)</f>
        <v/>
      </c>
      <c r="AA160" s="21" t="str">
        <f>IF($D160="","",SUMIF('TALLY BOX DUMP'!$1:$1,'ACH CALC'!AA$2,'TALLY BOX DUMP'!159:159))</f>
        <v/>
      </c>
      <c r="AB160" s="21" t="str">
        <f>IF($D160="","",SUMIF('TALLY BOX DUMP'!$1:$1,'ACH CALC'!AB$2,'TALLY BOX DUMP'!159:159))</f>
        <v/>
      </c>
      <c r="AC160" s="21" t="str">
        <f>IF($D160="","",SUMIF('TALLY BOX DUMP'!$1:$1,'ACH CALC'!AC$2,'TALLY BOX DUMP'!159:159))</f>
        <v/>
      </c>
      <c r="AD160" s="21" t="str">
        <f>IF($D160="","",SUMIF('TALLY BOX DUMP'!$1:$1,'ACH CALC'!AD$2,'TALLY BOX DUMP'!159:159))</f>
        <v/>
      </c>
      <c r="AE160" s="21" t="str">
        <f>IF($D160="","",SUMIF('TALLY BOX DUMP'!$1:$1,'ACH CALC'!AE$2,'TALLY BOX DUMP'!159:159))</f>
        <v/>
      </c>
      <c r="AF160" s="21" t="str">
        <f>IF($D160="","",SUMIF('TALLY BOX DUMP'!$1:$1,'ACH CALC'!AF$2,'TALLY BOX DUMP'!159:159))</f>
        <v/>
      </c>
      <c r="AG160" s="21" t="str">
        <f>IF($D160="","",SUMIF('TALLY BOX DUMP'!$1:$1,'ACH CALC'!AG$2,'TALLY BOX DUMP'!159:159))</f>
        <v/>
      </c>
      <c r="AH160" s="21" t="str">
        <f>IF($D160="","",SUMIF('TALLY BOX DUMP'!$1:$1,'ACH CALC'!AH$2,'TALLY BOX DUMP'!159:159))</f>
        <v/>
      </c>
      <c r="AI160" s="21" t="str">
        <f>IF($D160="","",SUMIF('TALLY BOX DUMP'!$1:$1,'ACH CALC'!AI$2,'TALLY BOX DUMP'!159:159))</f>
        <v/>
      </c>
      <c r="AJ160" s="21" t="str">
        <f>IF($D160="","",SUMIF('TALLY BOX DUMP'!$1:$1,'ACH CALC'!AJ$2,'TALLY BOX DUMP'!159:159))</f>
        <v/>
      </c>
      <c r="AK160" s="21" t="str">
        <f>IF($D160="","",SUMIF('TALLY BOX DUMP'!$1:$1,'ACH CALC'!AK$2,'TALLY BOX DUMP'!159:159))</f>
        <v/>
      </c>
      <c r="AL160" s="21" t="str">
        <f>IF($D160="","",ROUND(SUMIF('TALLY KG DUMP'!$1:$1,'ACH CALC'!AL$2,'TALLY KG DUMP'!159:159)/30,1))</f>
        <v/>
      </c>
      <c r="AM160" s="21" t="str">
        <f>IF($D160="","",SUMIF('TALLY BOX DUMP'!$1:$1,'ACH CALC'!AM$2,'TALLY BOX DUMP'!159:159))</f>
        <v/>
      </c>
      <c r="AN160" s="21" t="str">
        <f>IF($D160="","",SUMIF('TALLY BOX DUMP'!$1:$1,'ACH CALC'!AN$2,'TALLY BOX DUMP'!159:159))</f>
        <v/>
      </c>
      <c r="AO160" s="21" t="str">
        <f>IF($D160="","",SUMIF('TALLY BOX DUMP'!$1:$1,'ACH CALC'!AO$2,'TALLY BOX DUMP'!159:159))</f>
        <v/>
      </c>
      <c r="AP160" s="21" t="str">
        <f>IF($D160="","",SUMIF('TALLY BOX DUMP'!$1:$1,'ACH CALC'!AP$2,'TALLY BOX DUMP'!159:159))</f>
        <v/>
      </c>
      <c r="AQ160" s="21" t="str">
        <f>IF($D160="","",ROUND(SUMIF('TALLY KG DUMP'!$1:$1,'ACH CALC'!AQ$2,'TALLY KG DUMP'!159:159)/30,1))</f>
        <v/>
      </c>
      <c r="AR160" s="21" t="str">
        <f>IF($D160="","",SUMIF('TALLY BOX DUMP'!$1:$1,'ACH CALC'!AR$2,'TALLY BOX DUMP'!159:159))</f>
        <v/>
      </c>
      <c r="AS160" s="21" t="str">
        <f>IF($D160="","",SUMIF('TALLY BOX DUMP'!$1:$1,'ACH CALC'!AS$2,'TALLY BOX DUMP'!159:159))</f>
        <v/>
      </c>
      <c r="AT160" s="21" t="str">
        <f>IF($D160="","",SUMIF('TALLY BOX DUMP'!$1:$1,'ACH CALC'!AT$2,'TALLY BOX DUMP'!159:159))</f>
        <v/>
      </c>
      <c r="AU160" s="21" t="str">
        <f>IF($D160="","",SUMIF('TALLY BOX DUMP'!$1:$1,'ACH CALC'!AU$2,'TALLY BOX DUMP'!159:159))</f>
        <v/>
      </c>
      <c r="AV160" s="21" t="str">
        <f>IF($D160="","",SUMIF('TALLY BOX DUMP'!$1:$1,'ACH CALC'!AV$2,'TALLY BOX DUMP'!159:159))</f>
        <v/>
      </c>
      <c r="AW160" s="21" t="str">
        <f>IF($D160="","",SUMIF('TALLY BOX DUMP'!$1:$1,'ACH CALC'!AW$2,'TALLY BOX DUMP'!159:159))</f>
        <v/>
      </c>
      <c r="AX160" s="21" t="str">
        <f>IF($D160="","",SUMIF('TALLY BOX DUMP'!$1:$1,'ACH CALC'!AX$2,'TALLY BOX DUMP'!159:159))</f>
        <v/>
      </c>
      <c r="AY160" s="21" t="str">
        <f>IF($D160="","",SUMIF('TALLY BOX DUMP'!$1:$1,'ACH CALC'!AY$2,'TALLY BOX DUMP'!159:159))</f>
        <v/>
      </c>
      <c r="AZ160" s="21" t="str">
        <f>IF($D160="","",SUMIF('TALLY BOX DUMP'!$1:$1,'ACH CALC'!AZ$2,'TALLY BOX DUMP'!159:159))</f>
        <v/>
      </c>
      <c r="BA160" s="69">
        <f>(SUMIF('TALLY KG DUMP'!$2:$2,"Qty",'TALLY KG DUMP'!159:159)/1000)-(SUMIF('TALLY KG DUMP'!$1:$1,"GL",'TALLY KG DUMP'!159:159)/1000)</f>
        <v>0</v>
      </c>
      <c r="BB160" s="21" t="b">
        <f t="shared" si="8"/>
        <v>0</v>
      </c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</row>
    <row r="161" spans="2:75" x14ac:dyDescent="0.25">
      <c r="B161" s="21"/>
      <c r="C161" s="21"/>
      <c r="D161" s="21"/>
      <c r="E161" s="21" t="str">
        <f>IF($D161="","",(SUMIF('TALLY KG DUMP'!$2:$2,"Qty",'TALLY KG DUMP'!160:160)/1000)-(SUMIF('TALLY KG DUMP'!$1:$1,"GL",'TALLY KG DUMP'!160:160)/1000))</f>
        <v/>
      </c>
      <c r="F161" s="21" t="str">
        <f>IF($D161="","",(SUMIF('TALLY KG DUMP'!$1:$1,'ACH CALC'!F$2,'TALLY KG DUMP'!160:160)/1000))</f>
        <v/>
      </c>
      <c r="G161" s="21" t="str">
        <f>IF($D161="","",SUMIF('TALLY BOX DUMP'!$1:$1,'ACH CALC'!G$2,'TALLY BOX DUMP'!160:160)+Y161)</f>
        <v/>
      </c>
      <c r="H161" s="21" t="str">
        <f t="shared" si="6"/>
        <v/>
      </c>
      <c r="I161" s="21" t="str">
        <f>IF($D161="","",SUMIF('TALLY BOX DUMP'!$1:$1,'ACH CALC'!I$2,'TALLY BOX DUMP'!160:160)+AA161)</f>
        <v/>
      </c>
      <c r="J161" s="21" t="str">
        <f>IF($D161="","",SUMIF('TALLY BOX DUMP'!$1:$1,'ACH CALC'!J$2,'TALLY BOX DUMP'!160:160)+AB161)</f>
        <v/>
      </c>
      <c r="K161" s="21" t="str">
        <f>IF($D161="","",SUMIF('TALLY BOX DUMP'!$1:$1,'ACH CALC'!K$2,'TALLY BOX DUMP'!160:160)+AC161)</f>
        <v/>
      </c>
      <c r="L161" s="21" t="str">
        <f>IF($D161="","",SUMIF('TALLY BOX DUMP'!$1:$1,'ACH CALC'!L$2,'TALLY BOX DUMP'!160:160))</f>
        <v/>
      </c>
      <c r="M161" s="21" t="str">
        <f>IF($D161="","",SUMIF('TALLY BOX DUMP'!$1:$1,'ACH CALC'!M$2,'TALLY BOX DUMP'!160:160)+AD161)</f>
        <v/>
      </c>
      <c r="N161" s="21" t="str">
        <f>IF($D161="","",SUMIF('TALLY BOX DUMP'!$1:$1,'ACH CALC'!N$2,'TALLY BOX DUMP'!160:160))</f>
        <v/>
      </c>
      <c r="O161" s="21" t="str">
        <f>IF($D161="","",SUMIF('TALLY BOX DUMP'!$1:$1,'ACH CALC'!O$2,'TALLY BOX DUMP'!160:160))</f>
        <v/>
      </c>
      <c r="P161" s="21" t="str">
        <f>IF($D161="","",SUMIF('TALLY BOX DUMP'!$1:$1,'ACH CALC'!P$2,'TALLY BOX DUMP'!160:160))</f>
        <v/>
      </c>
      <c r="Q161" s="21" t="str">
        <f t="shared" si="7"/>
        <v/>
      </c>
      <c r="R161" s="21" t="str">
        <f>IF($D161="","",SUMIF('TALLY BOX DUMP'!$1:$1,'ACH CALC'!R$2,'TALLY BOX DUMP'!160:160))</f>
        <v/>
      </c>
      <c r="S161" s="21" t="str">
        <f>IF($D161="","",SUMIF('TALLY BOX DUMP'!$1:$1,'ACH CALC'!S$2,'TALLY BOX DUMP'!160:160))</f>
        <v/>
      </c>
      <c r="T161" s="21" t="str">
        <f>IF($D161="","",SUMIF('TALLY BOX DUMP'!$1:$1,'ACH CALC'!T$2,'TALLY BOX DUMP'!160:160))</f>
        <v/>
      </c>
      <c r="U161" s="21" t="str">
        <f>IF($D161="","",SUMIF('TALLY BOX DUMP'!$1:$1,'ACH CALC'!U$2,'TALLY BOX DUMP'!160:160))</f>
        <v/>
      </c>
      <c r="V161" s="21" t="str">
        <f>IF($D161="","",SUMIF('TALLY BOX DUMP'!$1:$1,'ACH CALC'!V$2,'TALLY BOX DUMP'!160:160))</f>
        <v/>
      </c>
      <c r="W161" s="21" t="str">
        <f>IF($D161="","",SUMIF('TALLY BOX DUMP'!$1:$1,'ACH CALC'!W$2,'TALLY BOX DUMP'!160:160))</f>
        <v/>
      </c>
      <c r="X161" s="21" t="str">
        <f>IF($D161="","",SUMIF('TALLY BOX DUMP'!$1:$1,'ACH CALC'!X$2,'TALLY BOX DUMP'!160:160))</f>
        <v/>
      </c>
      <c r="Y161" s="21" t="str">
        <f>IF($D161="","",SUMIF('TALLY BOX DUMP'!$1:$1,'ACH CALC'!Y$2,'TALLY BOX DUMP'!160:160))</f>
        <v/>
      </c>
      <c r="Z161" s="21" t="str">
        <f>IF($D161="","",SUMIF('TALLY BOX DUMP'!$1:$1,'ACH CALC'!Z$2,'TALLY BOX DUMP'!160:160)+AE161)</f>
        <v/>
      </c>
      <c r="AA161" s="21" t="str">
        <f>IF($D161="","",SUMIF('TALLY BOX DUMP'!$1:$1,'ACH CALC'!AA$2,'TALLY BOX DUMP'!160:160))</f>
        <v/>
      </c>
      <c r="AB161" s="21" t="str">
        <f>IF($D161="","",SUMIF('TALLY BOX DUMP'!$1:$1,'ACH CALC'!AB$2,'TALLY BOX DUMP'!160:160))</f>
        <v/>
      </c>
      <c r="AC161" s="21" t="str">
        <f>IF($D161="","",SUMIF('TALLY BOX DUMP'!$1:$1,'ACH CALC'!AC$2,'TALLY BOX DUMP'!160:160))</f>
        <v/>
      </c>
      <c r="AD161" s="21" t="str">
        <f>IF($D161="","",SUMIF('TALLY BOX DUMP'!$1:$1,'ACH CALC'!AD$2,'TALLY BOX DUMP'!160:160))</f>
        <v/>
      </c>
      <c r="AE161" s="21" t="str">
        <f>IF($D161="","",SUMIF('TALLY BOX DUMP'!$1:$1,'ACH CALC'!AE$2,'TALLY BOX DUMP'!160:160))</f>
        <v/>
      </c>
      <c r="AF161" s="21" t="str">
        <f>IF($D161="","",SUMIF('TALLY BOX DUMP'!$1:$1,'ACH CALC'!AF$2,'TALLY BOX DUMP'!160:160))</f>
        <v/>
      </c>
      <c r="AG161" s="21" t="str">
        <f>IF($D161="","",SUMIF('TALLY BOX DUMP'!$1:$1,'ACH CALC'!AG$2,'TALLY BOX DUMP'!160:160))</f>
        <v/>
      </c>
      <c r="AH161" s="21" t="str">
        <f>IF($D161="","",SUMIF('TALLY BOX DUMP'!$1:$1,'ACH CALC'!AH$2,'TALLY BOX DUMP'!160:160))</f>
        <v/>
      </c>
      <c r="AI161" s="21" t="str">
        <f>IF($D161="","",SUMIF('TALLY BOX DUMP'!$1:$1,'ACH CALC'!AI$2,'TALLY BOX DUMP'!160:160))</f>
        <v/>
      </c>
      <c r="AJ161" s="21" t="str">
        <f>IF($D161="","",SUMIF('TALLY BOX DUMP'!$1:$1,'ACH CALC'!AJ$2,'TALLY BOX DUMP'!160:160))</f>
        <v/>
      </c>
      <c r="AK161" s="21" t="str">
        <f>IF($D161="","",SUMIF('TALLY BOX DUMP'!$1:$1,'ACH CALC'!AK$2,'TALLY BOX DUMP'!160:160))</f>
        <v/>
      </c>
      <c r="AL161" s="21" t="str">
        <f>IF($D161="","",ROUND(SUMIF('TALLY KG DUMP'!$1:$1,'ACH CALC'!AL$2,'TALLY KG DUMP'!160:160)/30,1))</f>
        <v/>
      </c>
      <c r="AM161" s="21" t="str">
        <f>IF($D161="","",SUMIF('TALLY BOX DUMP'!$1:$1,'ACH CALC'!AM$2,'TALLY BOX DUMP'!160:160))</f>
        <v/>
      </c>
      <c r="AN161" s="21" t="str">
        <f>IF($D161="","",SUMIF('TALLY BOX DUMP'!$1:$1,'ACH CALC'!AN$2,'TALLY BOX DUMP'!160:160))</f>
        <v/>
      </c>
      <c r="AO161" s="21" t="str">
        <f>IF($D161="","",SUMIF('TALLY BOX DUMP'!$1:$1,'ACH CALC'!AO$2,'TALLY BOX DUMP'!160:160))</f>
        <v/>
      </c>
      <c r="AP161" s="21" t="str">
        <f>IF($D161="","",SUMIF('TALLY BOX DUMP'!$1:$1,'ACH CALC'!AP$2,'TALLY BOX DUMP'!160:160))</f>
        <v/>
      </c>
      <c r="AQ161" s="21" t="str">
        <f>IF($D161="","",ROUND(SUMIF('TALLY KG DUMP'!$1:$1,'ACH CALC'!AQ$2,'TALLY KG DUMP'!160:160)/30,1))</f>
        <v/>
      </c>
      <c r="AR161" s="21" t="str">
        <f>IF($D161="","",SUMIF('TALLY BOX DUMP'!$1:$1,'ACH CALC'!AR$2,'TALLY BOX DUMP'!160:160))</f>
        <v/>
      </c>
      <c r="AS161" s="21" t="str">
        <f>IF($D161="","",SUMIF('TALLY BOX DUMP'!$1:$1,'ACH CALC'!AS$2,'TALLY BOX DUMP'!160:160))</f>
        <v/>
      </c>
      <c r="AT161" s="21" t="str">
        <f>IF($D161="","",SUMIF('TALLY BOX DUMP'!$1:$1,'ACH CALC'!AT$2,'TALLY BOX DUMP'!160:160))</f>
        <v/>
      </c>
      <c r="AU161" s="21" t="str">
        <f>IF($D161="","",SUMIF('TALLY BOX DUMP'!$1:$1,'ACH CALC'!AU$2,'TALLY BOX DUMP'!160:160))</f>
        <v/>
      </c>
      <c r="AV161" s="21" t="str">
        <f>IF($D161="","",SUMIF('TALLY BOX DUMP'!$1:$1,'ACH CALC'!AV$2,'TALLY BOX DUMP'!160:160))</f>
        <v/>
      </c>
      <c r="AW161" s="21" t="str">
        <f>IF($D161="","",SUMIF('TALLY BOX DUMP'!$1:$1,'ACH CALC'!AW$2,'TALLY BOX DUMP'!160:160))</f>
        <v/>
      </c>
      <c r="AX161" s="21" t="str">
        <f>IF($D161="","",SUMIF('TALLY BOX DUMP'!$1:$1,'ACH CALC'!AX$2,'TALLY BOX DUMP'!160:160))</f>
        <v/>
      </c>
      <c r="AY161" s="21" t="str">
        <f>IF($D161="","",SUMIF('TALLY BOX DUMP'!$1:$1,'ACH CALC'!AY$2,'TALLY BOX DUMP'!160:160))</f>
        <v/>
      </c>
      <c r="AZ161" s="21" t="str">
        <f>IF($D161="","",SUMIF('TALLY BOX DUMP'!$1:$1,'ACH CALC'!AZ$2,'TALLY BOX DUMP'!160:160))</f>
        <v/>
      </c>
      <c r="BA161" s="69">
        <f>(SUMIF('TALLY KG DUMP'!$2:$2,"Qty",'TALLY KG DUMP'!160:160)/1000)-(SUMIF('TALLY KG DUMP'!$1:$1,"GL",'TALLY KG DUMP'!160:160)/1000)</f>
        <v>0</v>
      </c>
      <c r="BB161" s="21" t="b">
        <f t="shared" si="8"/>
        <v>0</v>
      </c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</row>
    <row r="162" spans="2:75" x14ac:dyDescent="0.25">
      <c r="B162" s="21"/>
      <c r="C162" s="21"/>
      <c r="D162" s="21"/>
      <c r="E162" s="21" t="str">
        <f>IF($D162="","",(SUMIF('TALLY KG DUMP'!$2:$2,"Qty",'TALLY KG DUMP'!161:161)/1000)-(SUMIF('TALLY KG DUMP'!$1:$1,"GL",'TALLY KG DUMP'!161:161)/1000))</f>
        <v/>
      </c>
      <c r="F162" s="21" t="str">
        <f>IF($D162="","",(SUMIF('TALLY KG DUMP'!$1:$1,'ACH CALC'!F$2,'TALLY KG DUMP'!161:161)/1000))</f>
        <v/>
      </c>
      <c r="G162" s="21" t="str">
        <f>IF($D162="","",SUMIF('TALLY BOX DUMP'!$1:$1,'ACH CALC'!G$2,'TALLY BOX DUMP'!161:161)+Y162)</f>
        <v/>
      </c>
      <c r="H162" s="21" t="str">
        <f t="shared" si="6"/>
        <v/>
      </c>
      <c r="I162" s="21" t="str">
        <f>IF($D162="","",SUMIF('TALLY BOX DUMP'!$1:$1,'ACH CALC'!I$2,'TALLY BOX DUMP'!161:161)+AA162)</f>
        <v/>
      </c>
      <c r="J162" s="21" t="str">
        <f>IF($D162="","",SUMIF('TALLY BOX DUMP'!$1:$1,'ACH CALC'!J$2,'TALLY BOX DUMP'!161:161)+AB162)</f>
        <v/>
      </c>
      <c r="K162" s="21" t="str">
        <f>IF($D162="","",SUMIF('TALLY BOX DUMP'!$1:$1,'ACH CALC'!K$2,'TALLY BOX DUMP'!161:161)+AC162)</f>
        <v/>
      </c>
      <c r="L162" s="21" t="str">
        <f>IF($D162="","",SUMIF('TALLY BOX DUMP'!$1:$1,'ACH CALC'!L$2,'TALLY BOX DUMP'!161:161))</f>
        <v/>
      </c>
      <c r="M162" s="21" t="str">
        <f>IF($D162="","",SUMIF('TALLY BOX DUMP'!$1:$1,'ACH CALC'!M$2,'TALLY BOX DUMP'!161:161)+AD162)</f>
        <v/>
      </c>
      <c r="N162" s="21" t="str">
        <f>IF($D162="","",SUMIF('TALLY BOX DUMP'!$1:$1,'ACH CALC'!N$2,'TALLY BOX DUMP'!161:161))</f>
        <v/>
      </c>
      <c r="O162" s="21" t="str">
        <f>IF($D162="","",SUMIF('TALLY BOX DUMP'!$1:$1,'ACH CALC'!O$2,'TALLY BOX DUMP'!161:161))</f>
        <v/>
      </c>
      <c r="P162" s="21" t="str">
        <f>IF($D162="","",SUMIF('TALLY BOX DUMP'!$1:$1,'ACH CALC'!P$2,'TALLY BOX DUMP'!161:161))</f>
        <v/>
      </c>
      <c r="Q162" s="21" t="str">
        <f t="shared" si="7"/>
        <v/>
      </c>
      <c r="R162" s="21" t="str">
        <f>IF($D162="","",SUMIF('TALLY BOX DUMP'!$1:$1,'ACH CALC'!R$2,'TALLY BOX DUMP'!161:161))</f>
        <v/>
      </c>
      <c r="S162" s="21" t="str">
        <f>IF($D162="","",SUMIF('TALLY BOX DUMP'!$1:$1,'ACH CALC'!S$2,'TALLY BOX DUMP'!161:161))</f>
        <v/>
      </c>
      <c r="T162" s="21" t="str">
        <f>IF($D162="","",SUMIF('TALLY BOX DUMP'!$1:$1,'ACH CALC'!T$2,'TALLY BOX DUMP'!161:161))</f>
        <v/>
      </c>
      <c r="U162" s="21" t="str">
        <f>IF($D162="","",SUMIF('TALLY BOX DUMP'!$1:$1,'ACH CALC'!U$2,'TALLY BOX DUMP'!161:161))</f>
        <v/>
      </c>
      <c r="V162" s="21" t="str">
        <f>IF($D162="","",SUMIF('TALLY BOX DUMP'!$1:$1,'ACH CALC'!V$2,'TALLY BOX DUMP'!161:161))</f>
        <v/>
      </c>
      <c r="W162" s="21" t="str">
        <f>IF($D162="","",SUMIF('TALLY BOX DUMP'!$1:$1,'ACH CALC'!W$2,'TALLY BOX DUMP'!161:161))</f>
        <v/>
      </c>
      <c r="X162" s="21" t="str">
        <f>IF($D162="","",SUMIF('TALLY BOX DUMP'!$1:$1,'ACH CALC'!X$2,'TALLY BOX DUMP'!161:161))</f>
        <v/>
      </c>
      <c r="Y162" s="21" t="str">
        <f>IF($D162="","",SUMIF('TALLY BOX DUMP'!$1:$1,'ACH CALC'!Y$2,'TALLY BOX DUMP'!161:161))</f>
        <v/>
      </c>
      <c r="Z162" s="21" t="str">
        <f>IF($D162="","",SUMIF('TALLY BOX DUMP'!$1:$1,'ACH CALC'!Z$2,'TALLY BOX DUMP'!161:161)+AE162)</f>
        <v/>
      </c>
      <c r="AA162" s="21" t="str">
        <f>IF($D162="","",SUMIF('TALLY BOX DUMP'!$1:$1,'ACH CALC'!AA$2,'TALLY BOX DUMP'!161:161))</f>
        <v/>
      </c>
      <c r="AB162" s="21" t="str">
        <f>IF($D162="","",SUMIF('TALLY BOX DUMP'!$1:$1,'ACH CALC'!AB$2,'TALLY BOX DUMP'!161:161))</f>
        <v/>
      </c>
      <c r="AC162" s="21" t="str">
        <f>IF($D162="","",SUMIF('TALLY BOX DUMP'!$1:$1,'ACH CALC'!AC$2,'TALLY BOX DUMP'!161:161))</f>
        <v/>
      </c>
      <c r="AD162" s="21" t="str">
        <f>IF($D162="","",SUMIF('TALLY BOX DUMP'!$1:$1,'ACH CALC'!AD$2,'TALLY BOX DUMP'!161:161))</f>
        <v/>
      </c>
      <c r="AE162" s="21" t="str">
        <f>IF($D162="","",SUMIF('TALLY BOX DUMP'!$1:$1,'ACH CALC'!AE$2,'TALLY BOX DUMP'!161:161))</f>
        <v/>
      </c>
      <c r="AF162" s="21" t="str">
        <f>IF($D162="","",SUMIF('TALLY BOX DUMP'!$1:$1,'ACH CALC'!AF$2,'TALLY BOX DUMP'!161:161))</f>
        <v/>
      </c>
      <c r="AG162" s="21" t="str">
        <f>IF($D162="","",SUMIF('TALLY BOX DUMP'!$1:$1,'ACH CALC'!AG$2,'TALLY BOX DUMP'!161:161))</f>
        <v/>
      </c>
      <c r="AH162" s="21" t="str">
        <f>IF($D162="","",SUMIF('TALLY BOX DUMP'!$1:$1,'ACH CALC'!AH$2,'TALLY BOX DUMP'!161:161))</f>
        <v/>
      </c>
      <c r="AI162" s="21" t="str">
        <f>IF($D162="","",SUMIF('TALLY BOX DUMP'!$1:$1,'ACH CALC'!AI$2,'TALLY BOX DUMP'!161:161))</f>
        <v/>
      </c>
      <c r="AJ162" s="21" t="str">
        <f>IF($D162="","",SUMIF('TALLY BOX DUMP'!$1:$1,'ACH CALC'!AJ$2,'TALLY BOX DUMP'!161:161))</f>
        <v/>
      </c>
      <c r="AK162" s="21" t="str">
        <f>IF($D162="","",SUMIF('TALLY BOX DUMP'!$1:$1,'ACH CALC'!AK$2,'TALLY BOX DUMP'!161:161))</f>
        <v/>
      </c>
      <c r="AL162" s="21" t="str">
        <f>IF($D162="","",ROUND(SUMIF('TALLY KG DUMP'!$1:$1,'ACH CALC'!AL$2,'TALLY KG DUMP'!161:161)/30,1))</f>
        <v/>
      </c>
      <c r="AM162" s="21" t="str">
        <f>IF($D162="","",SUMIF('TALLY BOX DUMP'!$1:$1,'ACH CALC'!AM$2,'TALLY BOX DUMP'!161:161))</f>
        <v/>
      </c>
      <c r="AN162" s="21" t="str">
        <f>IF($D162="","",SUMIF('TALLY BOX DUMP'!$1:$1,'ACH CALC'!AN$2,'TALLY BOX DUMP'!161:161))</f>
        <v/>
      </c>
      <c r="AO162" s="21" t="str">
        <f>IF($D162="","",SUMIF('TALLY BOX DUMP'!$1:$1,'ACH CALC'!AO$2,'TALLY BOX DUMP'!161:161))</f>
        <v/>
      </c>
      <c r="AP162" s="21" t="str">
        <f>IF($D162="","",SUMIF('TALLY BOX DUMP'!$1:$1,'ACH CALC'!AP$2,'TALLY BOX DUMP'!161:161))</f>
        <v/>
      </c>
      <c r="AQ162" s="21" t="str">
        <f>IF($D162="","",ROUND(SUMIF('TALLY KG DUMP'!$1:$1,'ACH CALC'!AQ$2,'TALLY KG DUMP'!161:161)/30,1))</f>
        <v/>
      </c>
      <c r="AR162" s="21" t="str">
        <f>IF($D162="","",SUMIF('TALLY BOX DUMP'!$1:$1,'ACH CALC'!AR$2,'TALLY BOX DUMP'!161:161))</f>
        <v/>
      </c>
      <c r="AS162" s="21" t="str">
        <f>IF($D162="","",SUMIF('TALLY BOX DUMP'!$1:$1,'ACH CALC'!AS$2,'TALLY BOX DUMP'!161:161))</f>
        <v/>
      </c>
      <c r="AT162" s="21" t="str">
        <f>IF($D162="","",SUMIF('TALLY BOX DUMP'!$1:$1,'ACH CALC'!AT$2,'TALLY BOX DUMP'!161:161))</f>
        <v/>
      </c>
      <c r="AU162" s="21" t="str">
        <f>IF($D162="","",SUMIF('TALLY BOX DUMP'!$1:$1,'ACH CALC'!AU$2,'TALLY BOX DUMP'!161:161))</f>
        <v/>
      </c>
      <c r="AV162" s="21" t="str">
        <f>IF($D162="","",SUMIF('TALLY BOX DUMP'!$1:$1,'ACH CALC'!AV$2,'TALLY BOX DUMP'!161:161))</f>
        <v/>
      </c>
      <c r="AW162" s="21" t="str">
        <f>IF($D162="","",SUMIF('TALLY BOX DUMP'!$1:$1,'ACH CALC'!AW$2,'TALLY BOX DUMP'!161:161))</f>
        <v/>
      </c>
      <c r="AX162" s="21" t="str">
        <f>IF($D162="","",SUMIF('TALLY BOX DUMP'!$1:$1,'ACH CALC'!AX$2,'TALLY BOX DUMP'!161:161))</f>
        <v/>
      </c>
      <c r="AY162" s="21" t="str">
        <f>IF($D162="","",SUMIF('TALLY BOX DUMP'!$1:$1,'ACH CALC'!AY$2,'TALLY BOX DUMP'!161:161))</f>
        <v/>
      </c>
      <c r="AZ162" s="21" t="str">
        <f>IF($D162="","",SUMIF('TALLY BOX DUMP'!$1:$1,'ACH CALC'!AZ$2,'TALLY BOX DUMP'!161:161))</f>
        <v/>
      </c>
      <c r="BA162" s="69">
        <f>(SUMIF('TALLY KG DUMP'!$2:$2,"Qty",'TALLY KG DUMP'!161:161)/1000)-(SUMIF('TALLY KG DUMP'!$1:$1,"GL",'TALLY KG DUMP'!161:161)/1000)</f>
        <v>0</v>
      </c>
      <c r="BB162" s="21" t="b">
        <f t="shared" si="8"/>
        <v>0</v>
      </c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</row>
    <row r="163" spans="2:75" x14ac:dyDescent="0.25">
      <c r="B163" s="21"/>
      <c r="C163" s="21"/>
      <c r="D163" s="21"/>
      <c r="E163" s="21" t="str">
        <f>IF($D163="","",(SUMIF('TALLY KG DUMP'!$2:$2,"Qty",'TALLY KG DUMP'!162:162)/1000)-(SUMIF('TALLY KG DUMP'!$1:$1,"GL",'TALLY KG DUMP'!162:162)/1000))</f>
        <v/>
      </c>
      <c r="F163" s="21" t="str">
        <f>IF($D163="","",(SUMIF('TALLY KG DUMP'!$1:$1,'ACH CALC'!F$2,'TALLY KG DUMP'!162:162)/1000))</f>
        <v/>
      </c>
      <c r="G163" s="21" t="str">
        <f>IF($D163="","",SUMIF('TALLY BOX DUMP'!$1:$1,'ACH CALC'!G$2,'TALLY BOX DUMP'!162:162)+Y163)</f>
        <v/>
      </c>
      <c r="H163" s="21" t="str">
        <f t="shared" si="6"/>
        <v/>
      </c>
      <c r="I163" s="21" t="str">
        <f>IF($D163="","",SUMIF('TALLY BOX DUMP'!$1:$1,'ACH CALC'!I$2,'TALLY BOX DUMP'!162:162)+AA163)</f>
        <v/>
      </c>
      <c r="J163" s="21" t="str">
        <f>IF($D163="","",SUMIF('TALLY BOX DUMP'!$1:$1,'ACH CALC'!J$2,'TALLY BOX DUMP'!162:162)+AB163)</f>
        <v/>
      </c>
      <c r="K163" s="21" t="str">
        <f>IF($D163="","",SUMIF('TALLY BOX DUMP'!$1:$1,'ACH CALC'!K$2,'TALLY BOX DUMP'!162:162)+AC163)</f>
        <v/>
      </c>
      <c r="L163" s="21" t="str">
        <f>IF($D163="","",SUMIF('TALLY BOX DUMP'!$1:$1,'ACH CALC'!L$2,'TALLY BOX DUMP'!162:162))</f>
        <v/>
      </c>
      <c r="M163" s="21" t="str">
        <f>IF($D163="","",SUMIF('TALLY BOX DUMP'!$1:$1,'ACH CALC'!M$2,'TALLY BOX DUMP'!162:162)+AD163)</f>
        <v/>
      </c>
      <c r="N163" s="21" t="str">
        <f>IF($D163="","",SUMIF('TALLY BOX DUMP'!$1:$1,'ACH CALC'!N$2,'TALLY BOX DUMP'!162:162))</f>
        <v/>
      </c>
      <c r="O163" s="21" t="str">
        <f>IF($D163="","",SUMIF('TALLY BOX DUMP'!$1:$1,'ACH CALC'!O$2,'TALLY BOX DUMP'!162:162))</f>
        <v/>
      </c>
      <c r="P163" s="21" t="str">
        <f>IF($D163="","",SUMIF('TALLY BOX DUMP'!$1:$1,'ACH CALC'!P$2,'TALLY BOX DUMP'!162:162))</f>
        <v/>
      </c>
      <c r="Q163" s="21" t="str">
        <f t="shared" si="7"/>
        <v/>
      </c>
      <c r="R163" s="21" t="str">
        <f>IF($D163="","",SUMIF('TALLY BOX DUMP'!$1:$1,'ACH CALC'!R$2,'TALLY BOX DUMP'!162:162))</f>
        <v/>
      </c>
      <c r="S163" s="21" t="str">
        <f>IF($D163="","",SUMIF('TALLY BOX DUMP'!$1:$1,'ACH CALC'!S$2,'TALLY BOX DUMP'!162:162))</f>
        <v/>
      </c>
      <c r="T163" s="21" t="str">
        <f>IF($D163="","",SUMIF('TALLY BOX DUMP'!$1:$1,'ACH CALC'!T$2,'TALLY BOX DUMP'!162:162))</f>
        <v/>
      </c>
      <c r="U163" s="21" t="str">
        <f>IF($D163="","",SUMIF('TALLY BOX DUMP'!$1:$1,'ACH CALC'!U$2,'TALLY BOX DUMP'!162:162))</f>
        <v/>
      </c>
      <c r="V163" s="21" t="str">
        <f>IF($D163="","",SUMIF('TALLY BOX DUMP'!$1:$1,'ACH CALC'!V$2,'TALLY BOX DUMP'!162:162))</f>
        <v/>
      </c>
      <c r="W163" s="21" t="str">
        <f>IF($D163="","",SUMIF('TALLY BOX DUMP'!$1:$1,'ACH CALC'!W$2,'TALLY BOX DUMP'!162:162))</f>
        <v/>
      </c>
      <c r="X163" s="21" t="str">
        <f>IF($D163="","",SUMIF('TALLY BOX DUMP'!$1:$1,'ACH CALC'!X$2,'TALLY BOX DUMP'!162:162))</f>
        <v/>
      </c>
      <c r="Y163" s="21" t="str">
        <f>IF($D163="","",SUMIF('TALLY BOX DUMP'!$1:$1,'ACH CALC'!Y$2,'TALLY BOX DUMP'!162:162))</f>
        <v/>
      </c>
      <c r="Z163" s="21" t="str">
        <f>IF($D163="","",SUMIF('TALLY BOX DUMP'!$1:$1,'ACH CALC'!Z$2,'TALLY BOX DUMP'!162:162)+AE163)</f>
        <v/>
      </c>
      <c r="AA163" s="21" t="str">
        <f>IF($D163="","",SUMIF('TALLY BOX DUMP'!$1:$1,'ACH CALC'!AA$2,'TALLY BOX DUMP'!162:162))</f>
        <v/>
      </c>
      <c r="AB163" s="21" t="str">
        <f>IF($D163="","",SUMIF('TALLY BOX DUMP'!$1:$1,'ACH CALC'!AB$2,'TALLY BOX DUMP'!162:162))</f>
        <v/>
      </c>
      <c r="AC163" s="21" t="str">
        <f>IF($D163="","",SUMIF('TALLY BOX DUMP'!$1:$1,'ACH CALC'!AC$2,'TALLY BOX DUMP'!162:162))</f>
        <v/>
      </c>
      <c r="AD163" s="21" t="str">
        <f>IF($D163="","",SUMIF('TALLY BOX DUMP'!$1:$1,'ACH CALC'!AD$2,'TALLY BOX DUMP'!162:162))</f>
        <v/>
      </c>
      <c r="AE163" s="21" t="str">
        <f>IF($D163="","",SUMIF('TALLY BOX DUMP'!$1:$1,'ACH CALC'!AE$2,'TALLY BOX DUMP'!162:162))</f>
        <v/>
      </c>
      <c r="AF163" s="21" t="str">
        <f>IF($D163="","",SUMIF('TALLY BOX DUMP'!$1:$1,'ACH CALC'!AF$2,'TALLY BOX DUMP'!162:162))</f>
        <v/>
      </c>
      <c r="AG163" s="21" t="str">
        <f>IF($D163="","",SUMIF('TALLY BOX DUMP'!$1:$1,'ACH CALC'!AG$2,'TALLY BOX DUMP'!162:162))</f>
        <v/>
      </c>
      <c r="AH163" s="21" t="str">
        <f>IF($D163="","",SUMIF('TALLY BOX DUMP'!$1:$1,'ACH CALC'!AH$2,'TALLY BOX DUMP'!162:162))</f>
        <v/>
      </c>
      <c r="AI163" s="21" t="str">
        <f>IF($D163="","",SUMIF('TALLY BOX DUMP'!$1:$1,'ACH CALC'!AI$2,'TALLY BOX DUMP'!162:162))</f>
        <v/>
      </c>
      <c r="AJ163" s="21" t="str">
        <f>IF($D163="","",SUMIF('TALLY BOX DUMP'!$1:$1,'ACH CALC'!AJ$2,'TALLY BOX DUMP'!162:162))</f>
        <v/>
      </c>
      <c r="AK163" s="21" t="str">
        <f>IF($D163="","",SUMIF('TALLY BOX DUMP'!$1:$1,'ACH CALC'!AK$2,'TALLY BOX DUMP'!162:162))</f>
        <v/>
      </c>
      <c r="AL163" s="21" t="str">
        <f>IF($D163="","",ROUND(SUMIF('TALLY KG DUMP'!$1:$1,'ACH CALC'!AL$2,'TALLY KG DUMP'!162:162)/30,1))</f>
        <v/>
      </c>
      <c r="AM163" s="21" t="str">
        <f>IF($D163="","",SUMIF('TALLY BOX DUMP'!$1:$1,'ACH CALC'!AM$2,'TALLY BOX DUMP'!162:162))</f>
        <v/>
      </c>
      <c r="AN163" s="21" t="str">
        <f>IF($D163="","",SUMIF('TALLY BOX DUMP'!$1:$1,'ACH CALC'!AN$2,'TALLY BOX DUMP'!162:162))</f>
        <v/>
      </c>
      <c r="AO163" s="21" t="str">
        <f>IF($D163="","",SUMIF('TALLY BOX DUMP'!$1:$1,'ACH CALC'!AO$2,'TALLY BOX DUMP'!162:162))</f>
        <v/>
      </c>
      <c r="AP163" s="21" t="str">
        <f>IF($D163="","",SUMIF('TALLY BOX DUMP'!$1:$1,'ACH CALC'!AP$2,'TALLY BOX DUMP'!162:162))</f>
        <v/>
      </c>
      <c r="AQ163" s="21" t="str">
        <f>IF($D163="","",ROUND(SUMIF('TALLY KG DUMP'!$1:$1,'ACH CALC'!AQ$2,'TALLY KG DUMP'!162:162)/30,1))</f>
        <v/>
      </c>
      <c r="AR163" s="21" t="str">
        <f>IF($D163="","",SUMIF('TALLY BOX DUMP'!$1:$1,'ACH CALC'!AR$2,'TALLY BOX DUMP'!162:162))</f>
        <v/>
      </c>
      <c r="AS163" s="21" t="str">
        <f>IF($D163="","",SUMIF('TALLY BOX DUMP'!$1:$1,'ACH CALC'!AS$2,'TALLY BOX DUMP'!162:162))</f>
        <v/>
      </c>
      <c r="AT163" s="21" t="str">
        <f>IF($D163="","",SUMIF('TALLY BOX DUMP'!$1:$1,'ACH CALC'!AT$2,'TALLY BOX DUMP'!162:162))</f>
        <v/>
      </c>
      <c r="AU163" s="21" t="str">
        <f>IF($D163="","",SUMIF('TALLY BOX DUMP'!$1:$1,'ACH CALC'!AU$2,'TALLY BOX DUMP'!162:162))</f>
        <v/>
      </c>
      <c r="AV163" s="21" t="str">
        <f>IF($D163="","",SUMIF('TALLY BOX DUMP'!$1:$1,'ACH CALC'!AV$2,'TALLY BOX DUMP'!162:162))</f>
        <v/>
      </c>
      <c r="AW163" s="21" t="str">
        <f>IF($D163="","",SUMIF('TALLY BOX DUMP'!$1:$1,'ACH CALC'!AW$2,'TALLY BOX DUMP'!162:162))</f>
        <v/>
      </c>
      <c r="AX163" s="21" t="str">
        <f>IF($D163="","",SUMIF('TALLY BOX DUMP'!$1:$1,'ACH CALC'!AX$2,'TALLY BOX DUMP'!162:162))</f>
        <v/>
      </c>
      <c r="AY163" s="21" t="str">
        <f>IF($D163="","",SUMIF('TALLY BOX DUMP'!$1:$1,'ACH CALC'!AY$2,'TALLY BOX DUMP'!162:162))</f>
        <v/>
      </c>
      <c r="AZ163" s="21" t="str">
        <f>IF($D163="","",SUMIF('TALLY BOX DUMP'!$1:$1,'ACH CALC'!AZ$2,'TALLY BOX DUMP'!162:162))</f>
        <v/>
      </c>
      <c r="BA163" s="69">
        <f>(SUMIF('TALLY KG DUMP'!$2:$2,"Qty",'TALLY KG DUMP'!162:162)/1000)-(SUMIF('TALLY KG DUMP'!$1:$1,"GL",'TALLY KG DUMP'!162:162)/1000)</f>
        <v>0</v>
      </c>
      <c r="BB163" s="21" t="b">
        <f t="shared" si="8"/>
        <v>0</v>
      </c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</row>
    <row r="164" spans="2:75" x14ac:dyDescent="0.25">
      <c r="B164" s="21"/>
      <c r="C164" s="21"/>
      <c r="D164" s="21"/>
      <c r="E164" s="21" t="str">
        <f>IF($D164="","",(SUMIF('TALLY KG DUMP'!$2:$2,"Qty",'TALLY KG DUMP'!163:163)/1000)-(SUMIF('TALLY KG DUMP'!$1:$1,"GL",'TALLY KG DUMP'!163:163)/1000))</f>
        <v/>
      </c>
      <c r="F164" s="21" t="str">
        <f>IF($D164="","",(SUMIF('TALLY KG DUMP'!$1:$1,'ACH CALC'!F$2,'TALLY KG DUMP'!163:163)/1000))</f>
        <v/>
      </c>
      <c r="G164" s="21" t="str">
        <f>IF($D164="","",SUMIF('TALLY BOX DUMP'!$1:$1,'ACH CALC'!G$2,'TALLY BOX DUMP'!163:163)+Y164)</f>
        <v/>
      </c>
      <c r="H164" s="21" t="str">
        <f t="shared" si="6"/>
        <v/>
      </c>
      <c r="I164" s="21" t="str">
        <f>IF($D164="","",SUMIF('TALLY BOX DUMP'!$1:$1,'ACH CALC'!I$2,'TALLY BOX DUMP'!163:163)+AA164)</f>
        <v/>
      </c>
      <c r="J164" s="21" t="str">
        <f>IF($D164="","",SUMIF('TALLY BOX DUMP'!$1:$1,'ACH CALC'!J$2,'TALLY BOX DUMP'!163:163)+AB164)</f>
        <v/>
      </c>
      <c r="K164" s="21" t="str">
        <f>IF($D164="","",SUMIF('TALLY BOX DUMP'!$1:$1,'ACH CALC'!K$2,'TALLY BOX DUMP'!163:163)+AC164)</f>
        <v/>
      </c>
      <c r="L164" s="21" t="str">
        <f>IF($D164="","",SUMIF('TALLY BOX DUMP'!$1:$1,'ACH CALC'!L$2,'TALLY BOX DUMP'!163:163))</f>
        <v/>
      </c>
      <c r="M164" s="21" t="str">
        <f>IF($D164="","",SUMIF('TALLY BOX DUMP'!$1:$1,'ACH CALC'!M$2,'TALLY BOX DUMP'!163:163)+AD164)</f>
        <v/>
      </c>
      <c r="N164" s="21" t="str">
        <f>IF($D164="","",SUMIF('TALLY BOX DUMP'!$1:$1,'ACH CALC'!N$2,'TALLY BOX DUMP'!163:163))</f>
        <v/>
      </c>
      <c r="O164" s="21" t="str">
        <f>IF($D164="","",SUMIF('TALLY BOX DUMP'!$1:$1,'ACH CALC'!O$2,'TALLY BOX DUMP'!163:163))</f>
        <v/>
      </c>
      <c r="P164" s="21" t="str">
        <f>IF($D164="","",SUMIF('TALLY BOX DUMP'!$1:$1,'ACH CALC'!P$2,'TALLY BOX DUMP'!163:163))</f>
        <v/>
      </c>
      <c r="Q164" s="21" t="str">
        <f t="shared" si="7"/>
        <v/>
      </c>
      <c r="R164" s="21" t="str">
        <f>IF($D164="","",SUMIF('TALLY BOX DUMP'!$1:$1,'ACH CALC'!R$2,'TALLY BOX DUMP'!163:163))</f>
        <v/>
      </c>
      <c r="S164" s="21" t="str">
        <f>IF($D164="","",SUMIF('TALLY BOX DUMP'!$1:$1,'ACH CALC'!S$2,'TALLY BOX DUMP'!163:163))</f>
        <v/>
      </c>
      <c r="T164" s="21" t="str">
        <f>IF($D164="","",SUMIF('TALLY BOX DUMP'!$1:$1,'ACH CALC'!T$2,'TALLY BOX DUMP'!163:163))</f>
        <v/>
      </c>
      <c r="U164" s="21" t="str">
        <f>IF($D164="","",SUMIF('TALLY BOX DUMP'!$1:$1,'ACH CALC'!U$2,'TALLY BOX DUMP'!163:163))</f>
        <v/>
      </c>
      <c r="V164" s="21" t="str">
        <f>IF($D164="","",SUMIF('TALLY BOX DUMP'!$1:$1,'ACH CALC'!V$2,'TALLY BOX DUMP'!163:163))</f>
        <v/>
      </c>
      <c r="W164" s="21" t="str">
        <f>IF($D164="","",SUMIF('TALLY BOX DUMP'!$1:$1,'ACH CALC'!W$2,'TALLY BOX DUMP'!163:163))</f>
        <v/>
      </c>
      <c r="X164" s="21" t="str">
        <f>IF($D164="","",SUMIF('TALLY BOX DUMP'!$1:$1,'ACH CALC'!X$2,'TALLY BOX DUMP'!163:163))</f>
        <v/>
      </c>
      <c r="Y164" s="21" t="str">
        <f>IF($D164="","",SUMIF('TALLY BOX DUMP'!$1:$1,'ACH CALC'!Y$2,'TALLY BOX DUMP'!163:163))</f>
        <v/>
      </c>
      <c r="Z164" s="21" t="str">
        <f>IF($D164="","",SUMIF('TALLY BOX DUMP'!$1:$1,'ACH CALC'!Z$2,'TALLY BOX DUMP'!163:163)+AE164)</f>
        <v/>
      </c>
      <c r="AA164" s="21" t="str">
        <f>IF($D164="","",SUMIF('TALLY BOX DUMP'!$1:$1,'ACH CALC'!AA$2,'TALLY BOX DUMP'!163:163))</f>
        <v/>
      </c>
      <c r="AB164" s="21" t="str">
        <f>IF($D164="","",SUMIF('TALLY BOX DUMP'!$1:$1,'ACH CALC'!AB$2,'TALLY BOX DUMP'!163:163))</f>
        <v/>
      </c>
      <c r="AC164" s="21" t="str">
        <f>IF($D164="","",SUMIF('TALLY BOX DUMP'!$1:$1,'ACH CALC'!AC$2,'TALLY BOX DUMP'!163:163))</f>
        <v/>
      </c>
      <c r="AD164" s="21" t="str">
        <f>IF($D164="","",SUMIF('TALLY BOX DUMP'!$1:$1,'ACH CALC'!AD$2,'TALLY BOX DUMP'!163:163))</f>
        <v/>
      </c>
      <c r="AE164" s="21" t="str">
        <f>IF($D164="","",SUMIF('TALLY BOX DUMP'!$1:$1,'ACH CALC'!AE$2,'TALLY BOX DUMP'!163:163))</f>
        <v/>
      </c>
      <c r="AF164" s="21" t="str">
        <f>IF($D164="","",SUMIF('TALLY BOX DUMP'!$1:$1,'ACH CALC'!AF$2,'TALLY BOX DUMP'!163:163))</f>
        <v/>
      </c>
      <c r="AG164" s="21" t="str">
        <f>IF($D164="","",SUMIF('TALLY BOX DUMP'!$1:$1,'ACH CALC'!AG$2,'TALLY BOX DUMP'!163:163))</f>
        <v/>
      </c>
      <c r="AH164" s="21" t="str">
        <f>IF($D164="","",SUMIF('TALLY BOX DUMP'!$1:$1,'ACH CALC'!AH$2,'TALLY BOX DUMP'!163:163))</f>
        <v/>
      </c>
      <c r="AI164" s="21" t="str">
        <f>IF($D164="","",SUMIF('TALLY BOX DUMP'!$1:$1,'ACH CALC'!AI$2,'TALLY BOX DUMP'!163:163))</f>
        <v/>
      </c>
      <c r="AJ164" s="21" t="str">
        <f>IF($D164="","",SUMIF('TALLY BOX DUMP'!$1:$1,'ACH CALC'!AJ$2,'TALLY BOX DUMP'!163:163))</f>
        <v/>
      </c>
      <c r="AK164" s="21" t="str">
        <f>IF($D164="","",SUMIF('TALLY BOX DUMP'!$1:$1,'ACH CALC'!AK$2,'TALLY BOX DUMP'!163:163))</f>
        <v/>
      </c>
      <c r="AL164" s="21" t="str">
        <f>IF($D164="","",ROUND(SUMIF('TALLY KG DUMP'!$1:$1,'ACH CALC'!AL$2,'TALLY KG DUMP'!163:163)/30,1))</f>
        <v/>
      </c>
      <c r="AM164" s="21" t="str">
        <f>IF($D164="","",SUMIF('TALLY BOX DUMP'!$1:$1,'ACH CALC'!AM$2,'TALLY BOX DUMP'!163:163))</f>
        <v/>
      </c>
      <c r="AN164" s="21" t="str">
        <f>IF($D164="","",SUMIF('TALLY BOX DUMP'!$1:$1,'ACH CALC'!AN$2,'TALLY BOX DUMP'!163:163))</f>
        <v/>
      </c>
      <c r="AO164" s="21" t="str">
        <f>IF($D164="","",SUMIF('TALLY BOX DUMP'!$1:$1,'ACH CALC'!AO$2,'TALLY BOX DUMP'!163:163))</f>
        <v/>
      </c>
      <c r="AP164" s="21" t="str">
        <f>IF($D164="","",SUMIF('TALLY BOX DUMP'!$1:$1,'ACH CALC'!AP$2,'TALLY BOX DUMP'!163:163))</f>
        <v/>
      </c>
      <c r="AQ164" s="21" t="str">
        <f>IF($D164="","",ROUND(SUMIF('TALLY KG DUMP'!$1:$1,'ACH CALC'!AQ$2,'TALLY KG DUMP'!163:163)/30,1))</f>
        <v/>
      </c>
      <c r="AR164" s="21" t="str">
        <f>IF($D164="","",SUMIF('TALLY BOX DUMP'!$1:$1,'ACH CALC'!AR$2,'TALLY BOX DUMP'!163:163))</f>
        <v/>
      </c>
      <c r="AS164" s="21" t="str">
        <f>IF($D164="","",SUMIF('TALLY BOX DUMP'!$1:$1,'ACH CALC'!AS$2,'TALLY BOX DUMP'!163:163))</f>
        <v/>
      </c>
      <c r="AT164" s="21" t="str">
        <f>IF($D164="","",SUMIF('TALLY BOX DUMP'!$1:$1,'ACH CALC'!AT$2,'TALLY BOX DUMP'!163:163))</f>
        <v/>
      </c>
      <c r="AU164" s="21" t="str">
        <f>IF($D164="","",SUMIF('TALLY BOX DUMP'!$1:$1,'ACH CALC'!AU$2,'TALLY BOX DUMP'!163:163))</f>
        <v/>
      </c>
      <c r="AV164" s="21" t="str">
        <f>IF($D164="","",SUMIF('TALLY BOX DUMP'!$1:$1,'ACH CALC'!AV$2,'TALLY BOX DUMP'!163:163))</f>
        <v/>
      </c>
      <c r="AW164" s="21" t="str">
        <f>IF($D164="","",SUMIF('TALLY BOX DUMP'!$1:$1,'ACH CALC'!AW$2,'TALLY BOX DUMP'!163:163))</f>
        <v/>
      </c>
      <c r="AX164" s="21" t="str">
        <f>IF($D164="","",SUMIF('TALLY BOX DUMP'!$1:$1,'ACH CALC'!AX$2,'TALLY BOX DUMP'!163:163))</f>
        <v/>
      </c>
      <c r="AY164" s="21" t="str">
        <f>IF($D164="","",SUMIF('TALLY BOX DUMP'!$1:$1,'ACH CALC'!AY$2,'TALLY BOX DUMP'!163:163))</f>
        <v/>
      </c>
      <c r="AZ164" s="21" t="str">
        <f>IF($D164="","",SUMIF('TALLY BOX DUMP'!$1:$1,'ACH CALC'!AZ$2,'TALLY BOX DUMP'!163:163))</f>
        <v/>
      </c>
      <c r="BA164" s="69">
        <f>(SUMIF('TALLY KG DUMP'!$2:$2,"Qty",'TALLY KG DUMP'!163:163)/1000)-(SUMIF('TALLY KG DUMP'!$1:$1,"GL",'TALLY KG DUMP'!163:163)/1000)</f>
        <v>0</v>
      </c>
      <c r="BB164" s="21" t="b">
        <f t="shared" si="8"/>
        <v>0</v>
      </c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</row>
    <row r="165" spans="2:75" x14ac:dyDescent="0.25">
      <c r="B165" s="21"/>
      <c r="C165" s="21"/>
      <c r="D165" s="21"/>
      <c r="E165" s="21" t="str">
        <f>IF($D165="","",(SUMIF('TALLY KG DUMP'!$2:$2,"Qty",'TALLY KG DUMP'!164:164)/1000)-(SUMIF('TALLY KG DUMP'!$1:$1,"GL",'TALLY KG DUMP'!164:164)/1000))</f>
        <v/>
      </c>
      <c r="F165" s="21" t="str">
        <f>IF($D165="","",(SUMIF('TALLY KG DUMP'!$1:$1,'ACH CALC'!F$2,'TALLY KG DUMP'!164:164)/1000))</f>
        <v/>
      </c>
      <c r="G165" s="21" t="str">
        <f>IF($D165="","",SUMIF('TALLY BOX DUMP'!$1:$1,'ACH CALC'!G$2,'TALLY BOX DUMP'!164:164)+Y165)</f>
        <v/>
      </c>
      <c r="H165" s="21" t="str">
        <f t="shared" si="6"/>
        <v/>
      </c>
      <c r="I165" s="21" t="str">
        <f>IF($D165="","",SUMIF('TALLY BOX DUMP'!$1:$1,'ACH CALC'!I$2,'TALLY BOX DUMP'!164:164)+AA165)</f>
        <v/>
      </c>
      <c r="J165" s="21" t="str">
        <f>IF($D165="","",SUMIF('TALLY BOX DUMP'!$1:$1,'ACH CALC'!J$2,'TALLY BOX DUMP'!164:164)+AB165)</f>
        <v/>
      </c>
      <c r="K165" s="21" t="str">
        <f>IF($D165="","",SUMIF('TALLY BOX DUMP'!$1:$1,'ACH CALC'!K$2,'TALLY BOX DUMP'!164:164)+AC165)</f>
        <v/>
      </c>
      <c r="L165" s="21" t="str">
        <f>IF($D165="","",SUMIF('TALLY BOX DUMP'!$1:$1,'ACH CALC'!L$2,'TALLY BOX DUMP'!164:164))</f>
        <v/>
      </c>
      <c r="M165" s="21" t="str">
        <f>IF($D165="","",SUMIF('TALLY BOX DUMP'!$1:$1,'ACH CALC'!M$2,'TALLY BOX DUMP'!164:164)+AD165)</f>
        <v/>
      </c>
      <c r="N165" s="21" t="str">
        <f>IF($D165="","",SUMIF('TALLY BOX DUMP'!$1:$1,'ACH CALC'!N$2,'TALLY BOX DUMP'!164:164))</f>
        <v/>
      </c>
      <c r="O165" s="21" t="str">
        <f>IF($D165="","",SUMIF('TALLY BOX DUMP'!$1:$1,'ACH CALC'!O$2,'TALLY BOX DUMP'!164:164))</f>
        <v/>
      </c>
      <c r="P165" s="21" t="str">
        <f>IF($D165="","",SUMIF('TALLY BOX DUMP'!$1:$1,'ACH CALC'!P$2,'TALLY BOX DUMP'!164:164))</f>
        <v/>
      </c>
      <c r="Q165" s="21" t="str">
        <f t="shared" si="7"/>
        <v/>
      </c>
      <c r="R165" s="21" t="str">
        <f>IF($D165="","",SUMIF('TALLY BOX DUMP'!$1:$1,'ACH CALC'!R$2,'TALLY BOX DUMP'!164:164))</f>
        <v/>
      </c>
      <c r="S165" s="21" t="str">
        <f>IF($D165="","",SUMIF('TALLY BOX DUMP'!$1:$1,'ACH CALC'!S$2,'TALLY BOX DUMP'!164:164))</f>
        <v/>
      </c>
      <c r="T165" s="21" t="str">
        <f>IF($D165="","",SUMIF('TALLY BOX DUMP'!$1:$1,'ACH CALC'!T$2,'TALLY BOX DUMP'!164:164))</f>
        <v/>
      </c>
      <c r="U165" s="21" t="str">
        <f>IF($D165="","",SUMIF('TALLY BOX DUMP'!$1:$1,'ACH CALC'!U$2,'TALLY BOX DUMP'!164:164))</f>
        <v/>
      </c>
      <c r="V165" s="21" t="str">
        <f>IF($D165="","",SUMIF('TALLY BOX DUMP'!$1:$1,'ACH CALC'!V$2,'TALLY BOX DUMP'!164:164))</f>
        <v/>
      </c>
      <c r="W165" s="21" t="str">
        <f>IF($D165="","",SUMIF('TALLY BOX DUMP'!$1:$1,'ACH CALC'!W$2,'TALLY BOX DUMP'!164:164))</f>
        <v/>
      </c>
      <c r="X165" s="21" t="str">
        <f>IF($D165="","",SUMIF('TALLY BOX DUMP'!$1:$1,'ACH CALC'!X$2,'TALLY BOX DUMP'!164:164))</f>
        <v/>
      </c>
      <c r="Y165" s="21" t="str">
        <f>IF($D165="","",SUMIF('TALLY BOX DUMP'!$1:$1,'ACH CALC'!Y$2,'TALLY BOX DUMP'!164:164))</f>
        <v/>
      </c>
      <c r="Z165" s="21" t="str">
        <f>IF($D165="","",SUMIF('TALLY BOX DUMP'!$1:$1,'ACH CALC'!Z$2,'TALLY BOX DUMP'!164:164)+AE165)</f>
        <v/>
      </c>
      <c r="AA165" s="21" t="str">
        <f>IF($D165="","",SUMIF('TALLY BOX DUMP'!$1:$1,'ACH CALC'!AA$2,'TALLY BOX DUMP'!164:164))</f>
        <v/>
      </c>
      <c r="AB165" s="21" t="str">
        <f>IF($D165="","",SUMIF('TALLY BOX DUMP'!$1:$1,'ACH CALC'!AB$2,'TALLY BOX DUMP'!164:164))</f>
        <v/>
      </c>
      <c r="AC165" s="21" t="str">
        <f>IF($D165="","",SUMIF('TALLY BOX DUMP'!$1:$1,'ACH CALC'!AC$2,'TALLY BOX DUMP'!164:164))</f>
        <v/>
      </c>
      <c r="AD165" s="21" t="str">
        <f>IF($D165="","",SUMIF('TALLY BOX DUMP'!$1:$1,'ACH CALC'!AD$2,'TALLY BOX DUMP'!164:164))</f>
        <v/>
      </c>
      <c r="AE165" s="21" t="str">
        <f>IF($D165="","",SUMIF('TALLY BOX DUMP'!$1:$1,'ACH CALC'!AE$2,'TALLY BOX DUMP'!164:164))</f>
        <v/>
      </c>
      <c r="AF165" s="21" t="str">
        <f>IF($D165="","",SUMIF('TALLY BOX DUMP'!$1:$1,'ACH CALC'!AF$2,'TALLY BOX DUMP'!164:164))</f>
        <v/>
      </c>
      <c r="AG165" s="21" t="str">
        <f>IF($D165="","",SUMIF('TALLY BOX DUMP'!$1:$1,'ACH CALC'!AG$2,'TALLY BOX DUMP'!164:164))</f>
        <v/>
      </c>
      <c r="AH165" s="21" t="str">
        <f>IF($D165="","",SUMIF('TALLY BOX DUMP'!$1:$1,'ACH CALC'!AH$2,'TALLY BOX DUMP'!164:164))</f>
        <v/>
      </c>
      <c r="AI165" s="21" t="str">
        <f>IF($D165="","",SUMIF('TALLY BOX DUMP'!$1:$1,'ACH CALC'!AI$2,'TALLY BOX DUMP'!164:164))</f>
        <v/>
      </c>
      <c r="AJ165" s="21" t="str">
        <f>IF($D165="","",SUMIF('TALLY BOX DUMP'!$1:$1,'ACH CALC'!AJ$2,'TALLY BOX DUMP'!164:164))</f>
        <v/>
      </c>
      <c r="AK165" s="21" t="str">
        <f>IF($D165="","",SUMIF('TALLY BOX DUMP'!$1:$1,'ACH CALC'!AK$2,'TALLY BOX DUMP'!164:164))</f>
        <v/>
      </c>
      <c r="AL165" s="21" t="str">
        <f>IF($D165="","",ROUND(SUMIF('TALLY KG DUMP'!$1:$1,'ACH CALC'!AL$2,'TALLY KG DUMP'!164:164)/30,1))</f>
        <v/>
      </c>
      <c r="AM165" s="21" t="str">
        <f>IF($D165="","",SUMIF('TALLY BOX DUMP'!$1:$1,'ACH CALC'!AM$2,'TALLY BOX DUMP'!164:164))</f>
        <v/>
      </c>
      <c r="AN165" s="21" t="str">
        <f>IF($D165="","",SUMIF('TALLY BOX DUMP'!$1:$1,'ACH CALC'!AN$2,'TALLY BOX DUMP'!164:164))</f>
        <v/>
      </c>
      <c r="AO165" s="21" t="str">
        <f>IF($D165="","",SUMIF('TALLY BOX DUMP'!$1:$1,'ACH CALC'!AO$2,'TALLY BOX DUMP'!164:164))</f>
        <v/>
      </c>
      <c r="AP165" s="21" t="str">
        <f>IF($D165="","",SUMIF('TALLY BOX DUMP'!$1:$1,'ACH CALC'!AP$2,'TALLY BOX DUMP'!164:164))</f>
        <v/>
      </c>
      <c r="AQ165" s="21" t="str">
        <f>IF($D165="","",ROUND(SUMIF('TALLY KG DUMP'!$1:$1,'ACH CALC'!AQ$2,'TALLY KG DUMP'!164:164)/30,1))</f>
        <v/>
      </c>
      <c r="AR165" s="21" t="str">
        <f>IF($D165="","",SUMIF('TALLY BOX DUMP'!$1:$1,'ACH CALC'!AR$2,'TALLY BOX DUMP'!164:164))</f>
        <v/>
      </c>
      <c r="AS165" s="21" t="str">
        <f>IF($D165="","",SUMIF('TALLY BOX DUMP'!$1:$1,'ACH CALC'!AS$2,'TALLY BOX DUMP'!164:164))</f>
        <v/>
      </c>
      <c r="AT165" s="21" t="str">
        <f>IF($D165="","",SUMIF('TALLY BOX DUMP'!$1:$1,'ACH CALC'!AT$2,'TALLY BOX DUMP'!164:164))</f>
        <v/>
      </c>
      <c r="AU165" s="21" t="str">
        <f>IF($D165="","",SUMIF('TALLY BOX DUMP'!$1:$1,'ACH CALC'!AU$2,'TALLY BOX DUMP'!164:164))</f>
        <v/>
      </c>
      <c r="AV165" s="21" t="str">
        <f>IF($D165="","",SUMIF('TALLY BOX DUMP'!$1:$1,'ACH CALC'!AV$2,'TALLY BOX DUMP'!164:164))</f>
        <v/>
      </c>
      <c r="AW165" s="21" t="str">
        <f>IF($D165="","",SUMIF('TALLY BOX DUMP'!$1:$1,'ACH CALC'!AW$2,'TALLY BOX DUMP'!164:164))</f>
        <v/>
      </c>
      <c r="AX165" s="21" t="str">
        <f>IF($D165="","",SUMIF('TALLY BOX DUMP'!$1:$1,'ACH CALC'!AX$2,'TALLY BOX DUMP'!164:164))</f>
        <v/>
      </c>
      <c r="AY165" s="21" t="str">
        <f>IF($D165="","",SUMIF('TALLY BOX DUMP'!$1:$1,'ACH CALC'!AY$2,'TALLY BOX DUMP'!164:164))</f>
        <v/>
      </c>
      <c r="AZ165" s="21" t="str">
        <f>IF($D165="","",SUMIF('TALLY BOX DUMP'!$1:$1,'ACH CALC'!AZ$2,'TALLY BOX DUMP'!164:164))</f>
        <v/>
      </c>
      <c r="BA165" s="69">
        <f>(SUMIF('TALLY KG DUMP'!$2:$2,"Qty",'TALLY KG DUMP'!164:164)/1000)-(SUMIF('TALLY KG DUMP'!$1:$1,"GL",'TALLY KG DUMP'!164:164)/1000)</f>
        <v>0</v>
      </c>
      <c r="BB165" s="21" t="b">
        <f t="shared" si="8"/>
        <v>0</v>
      </c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</row>
    <row r="166" spans="2:75" x14ac:dyDescent="0.25">
      <c r="B166" s="21"/>
      <c r="C166" s="21"/>
      <c r="D166" s="21"/>
      <c r="E166" s="21" t="str">
        <f>IF($D166="","",(SUMIF('TALLY KG DUMP'!$2:$2,"Qty",'TALLY KG DUMP'!165:165)/1000)-(SUMIF('TALLY KG DUMP'!$1:$1,"GL",'TALLY KG DUMP'!165:165)/1000))</f>
        <v/>
      </c>
      <c r="F166" s="21" t="str">
        <f>IF($D166="","",(SUMIF('TALLY KG DUMP'!$1:$1,'ACH CALC'!F$2,'TALLY KG DUMP'!165:165)/1000))</f>
        <v/>
      </c>
      <c r="G166" s="21" t="str">
        <f>IF($D166="","",SUMIF('TALLY BOX DUMP'!$1:$1,'ACH CALC'!G$2,'TALLY BOX DUMP'!165:165)+Y166)</f>
        <v/>
      </c>
      <c r="H166" s="21" t="str">
        <f t="shared" si="6"/>
        <v/>
      </c>
      <c r="I166" s="21" t="str">
        <f>IF($D166="","",SUMIF('TALLY BOX DUMP'!$1:$1,'ACH CALC'!I$2,'TALLY BOX DUMP'!165:165)+AA166)</f>
        <v/>
      </c>
      <c r="J166" s="21" t="str">
        <f>IF($D166="","",SUMIF('TALLY BOX DUMP'!$1:$1,'ACH CALC'!J$2,'TALLY BOX DUMP'!165:165)+AB166)</f>
        <v/>
      </c>
      <c r="K166" s="21" t="str">
        <f>IF($D166="","",SUMIF('TALLY BOX DUMP'!$1:$1,'ACH CALC'!K$2,'TALLY BOX DUMP'!165:165)+AC166)</f>
        <v/>
      </c>
      <c r="L166" s="21" t="str">
        <f>IF($D166="","",SUMIF('TALLY BOX DUMP'!$1:$1,'ACH CALC'!L$2,'TALLY BOX DUMP'!165:165))</f>
        <v/>
      </c>
      <c r="M166" s="21" t="str">
        <f>IF($D166="","",SUMIF('TALLY BOX DUMP'!$1:$1,'ACH CALC'!M$2,'TALLY BOX DUMP'!165:165)+AD166)</f>
        <v/>
      </c>
      <c r="N166" s="21" t="str">
        <f>IF($D166="","",SUMIF('TALLY BOX DUMP'!$1:$1,'ACH CALC'!N$2,'TALLY BOX DUMP'!165:165))</f>
        <v/>
      </c>
      <c r="O166" s="21" t="str">
        <f>IF($D166="","",SUMIF('TALLY BOX DUMP'!$1:$1,'ACH CALC'!O$2,'TALLY BOX DUMP'!165:165))</f>
        <v/>
      </c>
      <c r="P166" s="21" t="str">
        <f>IF($D166="","",SUMIF('TALLY BOX DUMP'!$1:$1,'ACH CALC'!P$2,'TALLY BOX DUMP'!165:165))</f>
        <v/>
      </c>
      <c r="Q166" s="21" t="str">
        <f t="shared" si="7"/>
        <v/>
      </c>
      <c r="R166" s="21" t="str">
        <f>IF($D166="","",SUMIF('TALLY BOX DUMP'!$1:$1,'ACH CALC'!R$2,'TALLY BOX DUMP'!165:165))</f>
        <v/>
      </c>
      <c r="S166" s="21" t="str">
        <f>IF($D166="","",SUMIF('TALLY BOX DUMP'!$1:$1,'ACH CALC'!S$2,'TALLY BOX DUMP'!165:165))</f>
        <v/>
      </c>
      <c r="T166" s="21" t="str">
        <f>IF($D166="","",SUMIF('TALLY BOX DUMP'!$1:$1,'ACH CALC'!T$2,'TALLY BOX DUMP'!165:165))</f>
        <v/>
      </c>
      <c r="U166" s="21" t="str">
        <f>IF($D166="","",SUMIF('TALLY BOX DUMP'!$1:$1,'ACH CALC'!U$2,'TALLY BOX DUMP'!165:165))</f>
        <v/>
      </c>
      <c r="V166" s="21" t="str">
        <f>IF($D166="","",SUMIF('TALLY BOX DUMP'!$1:$1,'ACH CALC'!V$2,'TALLY BOX DUMP'!165:165))</f>
        <v/>
      </c>
      <c r="W166" s="21" t="str">
        <f>IF($D166="","",SUMIF('TALLY BOX DUMP'!$1:$1,'ACH CALC'!W$2,'TALLY BOX DUMP'!165:165))</f>
        <v/>
      </c>
      <c r="X166" s="21" t="str">
        <f>IF($D166="","",SUMIF('TALLY BOX DUMP'!$1:$1,'ACH CALC'!X$2,'TALLY BOX DUMP'!165:165))</f>
        <v/>
      </c>
      <c r="Y166" s="21" t="str">
        <f>IF($D166="","",SUMIF('TALLY BOX DUMP'!$1:$1,'ACH CALC'!Y$2,'TALLY BOX DUMP'!165:165))</f>
        <v/>
      </c>
      <c r="Z166" s="21" t="str">
        <f>IF($D166="","",SUMIF('TALLY BOX DUMP'!$1:$1,'ACH CALC'!Z$2,'TALLY BOX DUMP'!165:165)+AE166)</f>
        <v/>
      </c>
      <c r="AA166" s="21" t="str">
        <f>IF($D166="","",SUMIF('TALLY BOX DUMP'!$1:$1,'ACH CALC'!AA$2,'TALLY BOX DUMP'!165:165))</f>
        <v/>
      </c>
      <c r="AB166" s="21" t="str">
        <f>IF($D166="","",SUMIF('TALLY BOX DUMP'!$1:$1,'ACH CALC'!AB$2,'TALLY BOX DUMP'!165:165))</f>
        <v/>
      </c>
      <c r="AC166" s="21" t="str">
        <f>IF($D166="","",SUMIF('TALLY BOX DUMP'!$1:$1,'ACH CALC'!AC$2,'TALLY BOX DUMP'!165:165))</f>
        <v/>
      </c>
      <c r="AD166" s="21" t="str">
        <f>IF($D166="","",SUMIF('TALLY BOX DUMP'!$1:$1,'ACH CALC'!AD$2,'TALLY BOX DUMP'!165:165))</f>
        <v/>
      </c>
      <c r="AE166" s="21" t="str">
        <f>IF($D166="","",SUMIF('TALLY BOX DUMP'!$1:$1,'ACH CALC'!AE$2,'TALLY BOX DUMP'!165:165))</f>
        <v/>
      </c>
      <c r="AF166" s="21" t="str">
        <f>IF($D166="","",SUMIF('TALLY BOX DUMP'!$1:$1,'ACH CALC'!AF$2,'TALLY BOX DUMP'!165:165))</f>
        <v/>
      </c>
      <c r="AG166" s="21" t="str">
        <f>IF($D166="","",SUMIF('TALLY BOX DUMP'!$1:$1,'ACH CALC'!AG$2,'TALLY BOX DUMP'!165:165))</f>
        <v/>
      </c>
      <c r="AH166" s="21" t="str">
        <f>IF($D166="","",SUMIF('TALLY BOX DUMP'!$1:$1,'ACH CALC'!AH$2,'TALLY BOX DUMP'!165:165))</f>
        <v/>
      </c>
      <c r="AI166" s="21" t="str">
        <f>IF($D166="","",SUMIF('TALLY BOX DUMP'!$1:$1,'ACH CALC'!AI$2,'TALLY BOX DUMP'!165:165))</f>
        <v/>
      </c>
      <c r="AJ166" s="21" t="str">
        <f>IF($D166="","",SUMIF('TALLY BOX DUMP'!$1:$1,'ACH CALC'!AJ$2,'TALLY BOX DUMP'!165:165))</f>
        <v/>
      </c>
      <c r="AK166" s="21" t="str">
        <f>IF($D166="","",SUMIF('TALLY BOX DUMP'!$1:$1,'ACH CALC'!AK$2,'TALLY BOX DUMP'!165:165))</f>
        <v/>
      </c>
      <c r="AL166" s="21" t="str">
        <f>IF($D166="","",ROUND(SUMIF('TALLY KG DUMP'!$1:$1,'ACH CALC'!AL$2,'TALLY KG DUMP'!165:165)/30,1))</f>
        <v/>
      </c>
      <c r="AM166" s="21" t="str">
        <f>IF($D166="","",SUMIF('TALLY BOX DUMP'!$1:$1,'ACH CALC'!AM$2,'TALLY BOX DUMP'!165:165))</f>
        <v/>
      </c>
      <c r="AN166" s="21" t="str">
        <f>IF($D166="","",SUMIF('TALLY BOX DUMP'!$1:$1,'ACH CALC'!AN$2,'TALLY BOX DUMP'!165:165))</f>
        <v/>
      </c>
      <c r="AO166" s="21" t="str">
        <f>IF($D166="","",SUMIF('TALLY BOX DUMP'!$1:$1,'ACH CALC'!AO$2,'TALLY BOX DUMP'!165:165))</f>
        <v/>
      </c>
      <c r="AP166" s="21" t="str">
        <f>IF($D166="","",SUMIF('TALLY BOX DUMP'!$1:$1,'ACH CALC'!AP$2,'TALLY BOX DUMP'!165:165))</f>
        <v/>
      </c>
      <c r="AQ166" s="21" t="str">
        <f>IF($D166="","",ROUND(SUMIF('TALLY KG DUMP'!$1:$1,'ACH CALC'!AQ$2,'TALLY KG DUMP'!165:165)/30,1))</f>
        <v/>
      </c>
      <c r="AR166" s="21" t="str">
        <f>IF($D166="","",SUMIF('TALLY BOX DUMP'!$1:$1,'ACH CALC'!AR$2,'TALLY BOX DUMP'!165:165))</f>
        <v/>
      </c>
      <c r="AS166" s="21" t="str">
        <f>IF($D166="","",SUMIF('TALLY BOX DUMP'!$1:$1,'ACH CALC'!AS$2,'TALLY BOX DUMP'!165:165))</f>
        <v/>
      </c>
      <c r="AT166" s="21" t="str">
        <f>IF($D166="","",SUMIF('TALLY BOX DUMP'!$1:$1,'ACH CALC'!AT$2,'TALLY BOX DUMP'!165:165))</f>
        <v/>
      </c>
      <c r="AU166" s="21" t="str">
        <f>IF($D166="","",SUMIF('TALLY BOX DUMP'!$1:$1,'ACH CALC'!AU$2,'TALLY BOX DUMP'!165:165))</f>
        <v/>
      </c>
      <c r="AV166" s="21" t="str">
        <f>IF($D166="","",SUMIF('TALLY BOX DUMP'!$1:$1,'ACH CALC'!AV$2,'TALLY BOX DUMP'!165:165))</f>
        <v/>
      </c>
      <c r="AW166" s="21" t="str">
        <f>IF($D166="","",SUMIF('TALLY BOX DUMP'!$1:$1,'ACH CALC'!AW$2,'TALLY BOX DUMP'!165:165))</f>
        <v/>
      </c>
      <c r="AX166" s="21" t="str">
        <f>IF($D166="","",SUMIF('TALLY BOX DUMP'!$1:$1,'ACH CALC'!AX$2,'TALLY BOX DUMP'!165:165))</f>
        <v/>
      </c>
      <c r="AY166" s="21" t="str">
        <f>IF($D166="","",SUMIF('TALLY BOX DUMP'!$1:$1,'ACH CALC'!AY$2,'TALLY BOX DUMP'!165:165))</f>
        <v/>
      </c>
      <c r="AZ166" s="21" t="str">
        <f>IF($D166="","",SUMIF('TALLY BOX DUMP'!$1:$1,'ACH CALC'!AZ$2,'TALLY BOX DUMP'!165:165))</f>
        <v/>
      </c>
      <c r="BA166" s="69">
        <f>(SUMIF('TALLY KG DUMP'!$2:$2,"Qty",'TALLY KG DUMP'!165:165)/1000)-(SUMIF('TALLY KG DUMP'!$1:$1,"GL",'TALLY KG DUMP'!165:165)/1000)</f>
        <v>0</v>
      </c>
      <c r="BB166" s="21" t="b">
        <f t="shared" si="8"/>
        <v>0</v>
      </c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</row>
    <row r="167" spans="2:75" x14ac:dyDescent="0.25">
      <c r="B167" s="21"/>
      <c r="C167" s="21"/>
      <c r="D167" s="21"/>
      <c r="E167" s="21" t="str">
        <f>IF($D167="","",(SUMIF('TALLY KG DUMP'!$2:$2,"Qty",'TALLY KG DUMP'!166:166)/1000)-(SUMIF('TALLY KG DUMP'!$1:$1,"GL",'TALLY KG DUMP'!166:166)/1000))</f>
        <v/>
      </c>
      <c r="F167" s="21" t="str">
        <f>IF($D167="","",(SUMIF('TALLY KG DUMP'!$1:$1,'ACH CALC'!F$2,'TALLY KG DUMP'!166:166)/1000))</f>
        <v/>
      </c>
      <c r="G167" s="21" t="str">
        <f>IF($D167="","",SUMIF('TALLY BOX DUMP'!$1:$1,'ACH CALC'!G$2,'TALLY BOX DUMP'!166:166)+Y167)</f>
        <v/>
      </c>
      <c r="H167" s="21" t="str">
        <f t="shared" si="6"/>
        <v/>
      </c>
      <c r="I167" s="21" t="str">
        <f>IF($D167="","",SUMIF('TALLY BOX DUMP'!$1:$1,'ACH CALC'!I$2,'TALLY BOX DUMP'!166:166)+AA167)</f>
        <v/>
      </c>
      <c r="J167" s="21" t="str">
        <f>IF($D167="","",SUMIF('TALLY BOX DUMP'!$1:$1,'ACH CALC'!J$2,'TALLY BOX DUMP'!166:166)+AB167)</f>
        <v/>
      </c>
      <c r="K167" s="21" t="str">
        <f>IF($D167="","",SUMIF('TALLY BOX DUMP'!$1:$1,'ACH CALC'!K$2,'TALLY BOX DUMP'!166:166)+AC167)</f>
        <v/>
      </c>
      <c r="L167" s="21" t="str">
        <f>IF($D167="","",SUMIF('TALLY BOX DUMP'!$1:$1,'ACH CALC'!L$2,'TALLY BOX DUMP'!166:166))</f>
        <v/>
      </c>
      <c r="M167" s="21" t="str">
        <f>IF($D167="","",SUMIF('TALLY BOX DUMP'!$1:$1,'ACH CALC'!M$2,'TALLY BOX DUMP'!166:166)+AD167)</f>
        <v/>
      </c>
      <c r="N167" s="21" t="str">
        <f>IF($D167="","",SUMIF('TALLY BOX DUMP'!$1:$1,'ACH CALC'!N$2,'TALLY BOX DUMP'!166:166))</f>
        <v/>
      </c>
      <c r="O167" s="21" t="str">
        <f>IF($D167="","",SUMIF('TALLY BOX DUMP'!$1:$1,'ACH CALC'!O$2,'TALLY BOX DUMP'!166:166))</f>
        <v/>
      </c>
      <c r="P167" s="21" t="str">
        <f>IF($D167="","",SUMIF('TALLY BOX DUMP'!$1:$1,'ACH CALC'!P$2,'TALLY BOX DUMP'!166:166))</f>
        <v/>
      </c>
      <c r="Q167" s="21" t="str">
        <f t="shared" si="7"/>
        <v/>
      </c>
      <c r="R167" s="21" t="str">
        <f>IF($D167="","",SUMIF('TALLY BOX DUMP'!$1:$1,'ACH CALC'!R$2,'TALLY BOX DUMP'!166:166))</f>
        <v/>
      </c>
      <c r="S167" s="21" t="str">
        <f>IF($D167="","",SUMIF('TALLY BOX DUMP'!$1:$1,'ACH CALC'!S$2,'TALLY BOX DUMP'!166:166))</f>
        <v/>
      </c>
      <c r="T167" s="21" t="str">
        <f>IF($D167="","",SUMIF('TALLY BOX DUMP'!$1:$1,'ACH CALC'!T$2,'TALLY BOX DUMP'!166:166))</f>
        <v/>
      </c>
      <c r="U167" s="21" t="str">
        <f>IF($D167="","",SUMIF('TALLY BOX DUMP'!$1:$1,'ACH CALC'!U$2,'TALLY BOX DUMP'!166:166))</f>
        <v/>
      </c>
      <c r="V167" s="21" t="str">
        <f>IF($D167="","",SUMIF('TALLY BOX DUMP'!$1:$1,'ACH CALC'!V$2,'TALLY BOX DUMP'!166:166))</f>
        <v/>
      </c>
      <c r="W167" s="21" t="str">
        <f>IF($D167="","",SUMIF('TALLY BOX DUMP'!$1:$1,'ACH CALC'!W$2,'TALLY BOX DUMP'!166:166))</f>
        <v/>
      </c>
      <c r="X167" s="21" t="str">
        <f>IF($D167="","",SUMIF('TALLY BOX DUMP'!$1:$1,'ACH CALC'!X$2,'TALLY BOX DUMP'!166:166))</f>
        <v/>
      </c>
      <c r="Y167" s="21" t="str">
        <f>IF($D167="","",SUMIF('TALLY BOX DUMP'!$1:$1,'ACH CALC'!Y$2,'TALLY BOX DUMP'!166:166))</f>
        <v/>
      </c>
      <c r="Z167" s="21" t="str">
        <f>IF($D167="","",SUMIF('TALLY BOX DUMP'!$1:$1,'ACH CALC'!Z$2,'TALLY BOX DUMP'!166:166)+AE167)</f>
        <v/>
      </c>
      <c r="AA167" s="21" t="str">
        <f>IF($D167="","",SUMIF('TALLY BOX DUMP'!$1:$1,'ACH CALC'!AA$2,'TALLY BOX DUMP'!166:166))</f>
        <v/>
      </c>
      <c r="AB167" s="21" t="str">
        <f>IF($D167="","",SUMIF('TALLY BOX DUMP'!$1:$1,'ACH CALC'!AB$2,'TALLY BOX DUMP'!166:166))</f>
        <v/>
      </c>
      <c r="AC167" s="21" t="str">
        <f>IF($D167="","",SUMIF('TALLY BOX DUMP'!$1:$1,'ACH CALC'!AC$2,'TALLY BOX DUMP'!166:166))</f>
        <v/>
      </c>
      <c r="AD167" s="21" t="str">
        <f>IF($D167="","",SUMIF('TALLY BOX DUMP'!$1:$1,'ACH CALC'!AD$2,'TALLY BOX DUMP'!166:166))</f>
        <v/>
      </c>
      <c r="AE167" s="21" t="str">
        <f>IF($D167="","",SUMIF('TALLY BOX DUMP'!$1:$1,'ACH CALC'!AE$2,'TALLY BOX DUMP'!166:166))</f>
        <v/>
      </c>
      <c r="AF167" s="21" t="str">
        <f>IF($D167="","",SUMIF('TALLY BOX DUMP'!$1:$1,'ACH CALC'!AF$2,'TALLY BOX DUMP'!166:166))</f>
        <v/>
      </c>
      <c r="AG167" s="21" t="str">
        <f>IF($D167="","",SUMIF('TALLY BOX DUMP'!$1:$1,'ACH CALC'!AG$2,'TALLY BOX DUMP'!166:166))</f>
        <v/>
      </c>
      <c r="AH167" s="21" t="str">
        <f>IF($D167="","",SUMIF('TALLY BOX DUMP'!$1:$1,'ACH CALC'!AH$2,'TALLY BOX DUMP'!166:166))</f>
        <v/>
      </c>
      <c r="AI167" s="21" t="str">
        <f>IF($D167="","",SUMIF('TALLY BOX DUMP'!$1:$1,'ACH CALC'!AI$2,'TALLY BOX DUMP'!166:166))</f>
        <v/>
      </c>
      <c r="AJ167" s="21" t="str">
        <f>IF($D167="","",SUMIF('TALLY BOX DUMP'!$1:$1,'ACH CALC'!AJ$2,'TALLY BOX DUMP'!166:166))</f>
        <v/>
      </c>
      <c r="AK167" s="21" t="str">
        <f>IF($D167="","",SUMIF('TALLY BOX DUMP'!$1:$1,'ACH CALC'!AK$2,'TALLY BOX DUMP'!166:166))</f>
        <v/>
      </c>
      <c r="AL167" s="21" t="str">
        <f>IF($D167="","",ROUND(SUMIF('TALLY KG DUMP'!$1:$1,'ACH CALC'!AL$2,'TALLY KG DUMP'!166:166)/30,1))</f>
        <v/>
      </c>
      <c r="AM167" s="21" t="str">
        <f>IF($D167="","",SUMIF('TALLY BOX DUMP'!$1:$1,'ACH CALC'!AM$2,'TALLY BOX DUMP'!166:166))</f>
        <v/>
      </c>
      <c r="AN167" s="21" t="str">
        <f>IF($D167="","",SUMIF('TALLY BOX DUMP'!$1:$1,'ACH CALC'!AN$2,'TALLY BOX DUMP'!166:166))</f>
        <v/>
      </c>
      <c r="AO167" s="21" t="str">
        <f>IF($D167="","",SUMIF('TALLY BOX DUMP'!$1:$1,'ACH CALC'!AO$2,'TALLY BOX DUMP'!166:166))</f>
        <v/>
      </c>
      <c r="AP167" s="21" t="str">
        <f>IF($D167="","",SUMIF('TALLY BOX DUMP'!$1:$1,'ACH CALC'!AP$2,'TALLY BOX DUMP'!166:166))</f>
        <v/>
      </c>
      <c r="AQ167" s="21" t="str">
        <f>IF($D167="","",ROUND(SUMIF('TALLY KG DUMP'!$1:$1,'ACH CALC'!AQ$2,'TALLY KG DUMP'!166:166)/30,1))</f>
        <v/>
      </c>
      <c r="AR167" s="21" t="str">
        <f>IF($D167="","",SUMIF('TALLY BOX DUMP'!$1:$1,'ACH CALC'!AR$2,'TALLY BOX DUMP'!166:166))</f>
        <v/>
      </c>
      <c r="AS167" s="21" t="str">
        <f>IF($D167="","",SUMIF('TALLY BOX DUMP'!$1:$1,'ACH CALC'!AS$2,'TALLY BOX DUMP'!166:166))</f>
        <v/>
      </c>
      <c r="AT167" s="21" t="str">
        <f>IF($D167="","",SUMIF('TALLY BOX DUMP'!$1:$1,'ACH CALC'!AT$2,'TALLY BOX DUMP'!166:166))</f>
        <v/>
      </c>
      <c r="AU167" s="21" t="str">
        <f>IF($D167="","",SUMIF('TALLY BOX DUMP'!$1:$1,'ACH CALC'!AU$2,'TALLY BOX DUMP'!166:166))</f>
        <v/>
      </c>
      <c r="AV167" s="21" t="str">
        <f>IF($D167="","",SUMIF('TALLY BOX DUMP'!$1:$1,'ACH CALC'!AV$2,'TALLY BOX DUMP'!166:166))</f>
        <v/>
      </c>
      <c r="AW167" s="21" t="str">
        <f>IF($D167="","",SUMIF('TALLY BOX DUMP'!$1:$1,'ACH CALC'!AW$2,'TALLY BOX DUMP'!166:166))</f>
        <v/>
      </c>
      <c r="AX167" s="21" t="str">
        <f>IF($D167="","",SUMIF('TALLY BOX DUMP'!$1:$1,'ACH CALC'!AX$2,'TALLY BOX DUMP'!166:166))</f>
        <v/>
      </c>
      <c r="AY167" s="21" t="str">
        <f>IF($D167="","",SUMIF('TALLY BOX DUMP'!$1:$1,'ACH CALC'!AY$2,'TALLY BOX DUMP'!166:166))</f>
        <v/>
      </c>
      <c r="AZ167" s="21" t="str">
        <f>IF($D167="","",SUMIF('TALLY BOX DUMP'!$1:$1,'ACH CALC'!AZ$2,'TALLY BOX DUMP'!166:166))</f>
        <v/>
      </c>
      <c r="BA167" s="69">
        <f>(SUMIF('TALLY KG DUMP'!$2:$2,"Qty",'TALLY KG DUMP'!166:166)/1000)-(SUMIF('TALLY KG DUMP'!$1:$1,"GL",'TALLY KG DUMP'!166:166)/1000)</f>
        <v>0</v>
      </c>
      <c r="BB167" s="21" t="b">
        <f t="shared" si="8"/>
        <v>0</v>
      </c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</row>
    <row r="168" spans="2:75" x14ac:dyDescent="0.25">
      <c r="B168" s="21"/>
      <c r="C168" s="21"/>
      <c r="D168" s="21"/>
      <c r="E168" s="21" t="str">
        <f>IF($D168="","",(SUMIF('TALLY KG DUMP'!$2:$2,"Qty",'TALLY KG DUMP'!167:167)/1000)-(SUMIF('TALLY KG DUMP'!$1:$1,"GL",'TALLY KG DUMP'!167:167)/1000))</f>
        <v/>
      </c>
      <c r="F168" s="21" t="str">
        <f>IF($D168="","",(SUMIF('TALLY KG DUMP'!$1:$1,'ACH CALC'!F$2,'TALLY KG DUMP'!167:167)/1000))</f>
        <v/>
      </c>
      <c r="G168" s="21" t="str">
        <f>IF($D168="","",SUMIF('TALLY BOX DUMP'!$1:$1,'ACH CALC'!G$2,'TALLY BOX DUMP'!167:167)+Y168)</f>
        <v/>
      </c>
      <c r="H168" s="21" t="str">
        <f t="shared" si="6"/>
        <v/>
      </c>
      <c r="I168" s="21" t="str">
        <f>IF($D168="","",SUMIF('TALLY BOX DUMP'!$1:$1,'ACH CALC'!I$2,'TALLY BOX DUMP'!167:167)+AA168)</f>
        <v/>
      </c>
      <c r="J168" s="21" t="str">
        <f>IF($D168="","",SUMIF('TALLY BOX DUMP'!$1:$1,'ACH CALC'!J$2,'TALLY BOX DUMP'!167:167)+AB168)</f>
        <v/>
      </c>
      <c r="K168" s="21" t="str">
        <f>IF($D168="","",SUMIF('TALLY BOX DUMP'!$1:$1,'ACH CALC'!K$2,'TALLY BOX DUMP'!167:167)+AC168)</f>
        <v/>
      </c>
      <c r="L168" s="21" t="str">
        <f>IF($D168="","",SUMIF('TALLY BOX DUMP'!$1:$1,'ACH CALC'!L$2,'TALLY BOX DUMP'!167:167))</f>
        <v/>
      </c>
      <c r="M168" s="21" t="str">
        <f>IF($D168="","",SUMIF('TALLY BOX DUMP'!$1:$1,'ACH CALC'!M$2,'TALLY BOX DUMP'!167:167)+AD168)</f>
        <v/>
      </c>
      <c r="N168" s="21" t="str">
        <f>IF($D168="","",SUMIF('TALLY BOX DUMP'!$1:$1,'ACH CALC'!N$2,'TALLY BOX DUMP'!167:167))</f>
        <v/>
      </c>
      <c r="O168" s="21" t="str">
        <f>IF($D168="","",SUMIF('TALLY BOX DUMP'!$1:$1,'ACH CALC'!O$2,'TALLY BOX DUMP'!167:167))</f>
        <v/>
      </c>
      <c r="P168" s="21" t="str">
        <f>IF($D168="","",SUMIF('TALLY BOX DUMP'!$1:$1,'ACH CALC'!P$2,'TALLY BOX DUMP'!167:167))</f>
        <v/>
      </c>
      <c r="Q168" s="21" t="str">
        <f t="shared" si="7"/>
        <v/>
      </c>
      <c r="R168" s="21" t="str">
        <f>IF($D168="","",SUMIF('TALLY BOX DUMP'!$1:$1,'ACH CALC'!R$2,'TALLY BOX DUMP'!167:167))</f>
        <v/>
      </c>
      <c r="S168" s="21" t="str">
        <f>IF($D168="","",SUMIF('TALLY BOX DUMP'!$1:$1,'ACH CALC'!S$2,'TALLY BOX DUMP'!167:167))</f>
        <v/>
      </c>
      <c r="T168" s="21" t="str">
        <f>IF($D168="","",SUMIF('TALLY BOX DUMP'!$1:$1,'ACH CALC'!T$2,'TALLY BOX DUMP'!167:167))</f>
        <v/>
      </c>
      <c r="U168" s="21" t="str">
        <f>IF($D168="","",SUMIF('TALLY BOX DUMP'!$1:$1,'ACH CALC'!U$2,'TALLY BOX DUMP'!167:167))</f>
        <v/>
      </c>
      <c r="V168" s="21" t="str">
        <f>IF($D168="","",SUMIF('TALLY BOX DUMP'!$1:$1,'ACH CALC'!V$2,'TALLY BOX DUMP'!167:167))</f>
        <v/>
      </c>
      <c r="W168" s="21" t="str">
        <f>IF($D168="","",SUMIF('TALLY BOX DUMP'!$1:$1,'ACH CALC'!W$2,'TALLY BOX DUMP'!167:167))</f>
        <v/>
      </c>
      <c r="X168" s="21" t="str">
        <f>IF($D168="","",SUMIF('TALLY BOX DUMP'!$1:$1,'ACH CALC'!X$2,'TALLY BOX DUMP'!167:167))</f>
        <v/>
      </c>
      <c r="Y168" s="21" t="str">
        <f>IF($D168="","",SUMIF('TALLY BOX DUMP'!$1:$1,'ACH CALC'!Y$2,'TALLY BOX DUMP'!167:167))</f>
        <v/>
      </c>
      <c r="Z168" s="21" t="str">
        <f>IF($D168="","",SUMIF('TALLY BOX DUMP'!$1:$1,'ACH CALC'!Z$2,'TALLY BOX DUMP'!167:167)+AE168)</f>
        <v/>
      </c>
      <c r="AA168" s="21" t="str">
        <f>IF($D168="","",SUMIF('TALLY BOX DUMP'!$1:$1,'ACH CALC'!AA$2,'TALLY BOX DUMP'!167:167))</f>
        <v/>
      </c>
      <c r="AB168" s="21" t="str">
        <f>IF($D168="","",SUMIF('TALLY BOX DUMP'!$1:$1,'ACH CALC'!AB$2,'TALLY BOX DUMP'!167:167))</f>
        <v/>
      </c>
      <c r="AC168" s="21" t="str">
        <f>IF($D168="","",SUMIF('TALLY BOX DUMP'!$1:$1,'ACH CALC'!AC$2,'TALLY BOX DUMP'!167:167))</f>
        <v/>
      </c>
      <c r="AD168" s="21" t="str">
        <f>IF($D168="","",SUMIF('TALLY BOX DUMP'!$1:$1,'ACH CALC'!AD$2,'TALLY BOX DUMP'!167:167))</f>
        <v/>
      </c>
      <c r="AE168" s="21" t="str">
        <f>IF($D168="","",SUMIF('TALLY BOX DUMP'!$1:$1,'ACH CALC'!AE$2,'TALLY BOX DUMP'!167:167))</f>
        <v/>
      </c>
      <c r="AF168" s="21" t="str">
        <f>IF($D168="","",SUMIF('TALLY BOX DUMP'!$1:$1,'ACH CALC'!AF$2,'TALLY BOX DUMP'!167:167))</f>
        <v/>
      </c>
      <c r="AG168" s="21" t="str">
        <f>IF($D168="","",SUMIF('TALLY BOX DUMP'!$1:$1,'ACH CALC'!AG$2,'TALLY BOX DUMP'!167:167))</f>
        <v/>
      </c>
      <c r="AH168" s="21" t="str">
        <f>IF($D168="","",SUMIF('TALLY BOX DUMP'!$1:$1,'ACH CALC'!AH$2,'TALLY BOX DUMP'!167:167))</f>
        <v/>
      </c>
      <c r="AI168" s="21" t="str">
        <f>IF($D168="","",SUMIF('TALLY BOX DUMP'!$1:$1,'ACH CALC'!AI$2,'TALLY BOX DUMP'!167:167))</f>
        <v/>
      </c>
      <c r="AJ168" s="21" t="str">
        <f>IF($D168="","",SUMIF('TALLY BOX DUMP'!$1:$1,'ACH CALC'!AJ$2,'TALLY BOX DUMP'!167:167))</f>
        <v/>
      </c>
      <c r="AK168" s="21" t="str">
        <f>IF($D168="","",SUMIF('TALLY BOX DUMP'!$1:$1,'ACH CALC'!AK$2,'TALLY BOX DUMP'!167:167))</f>
        <v/>
      </c>
      <c r="AL168" s="21" t="str">
        <f>IF($D168="","",ROUND(SUMIF('TALLY KG DUMP'!$1:$1,'ACH CALC'!AL$2,'TALLY KG DUMP'!167:167)/30,1))</f>
        <v/>
      </c>
      <c r="AM168" s="21" t="str">
        <f>IF($D168="","",SUMIF('TALLY BOX DUMP'!$1:$1,'ACH CALC'!AM$2,'TALLY BOX DUMP'!167:167))</f>
        <v/>
      </c>
      <c r="AN168" s="21" t="str">
        <f>IF($D168="","",SUMIF('TALLY BOX DUMP'!$1:$1,'ACH CALC'!AN$2,'TALLY BOX DUMP'!167:167))</f>
        <v/>
      </c>
      <c r="AO168" s="21" t="str">
        <f>IF($D168="","",SUMIF('TALLY BOX DUMP'!$1:$1,'ACH CALC'!AO$2,'TALLY BOX DUMP'!167:167))</f>
        <v/>
      </c>
      <c r="AP168" s="21" t="str">
        <f>IF($D168="","",SUMIF('TALLY BOX DUMP'!$1:$1,'ACH CALC'!AP$2,'TALLY BOX DUMP'!167:167))</f>
        <v/>
      </c>
      <c r="AQ168" s="21" t="str">
        <f>IF($D168="","",ROUND(SUMIF('TALLY KG DUMP'!$1:$1,'ACH CALC'!AQ$2,'TALLY KG DUMP'!167:167)/30,1))</f>
        <v/>
      </c>
      <c r="AR168" s="21" t="str">
        <f>IF($D168="","",SUMIF('TALLY BOX DUMP'!$1:$1,'ACH CALC'!AR$2,'TALLY BOX DUMP'!167:167))</f>
        <v/>
      </c>
      <c r="AS168" s="21" t="str">
        <f>IF($D168="","",SUMIF('TALLY BOX DUMP'!$1:$1,'ACH CALC'!AS$2,'TALLY BOX DUMP'!167:167))</f>
        <v/>
      </c>
      <c r="AT168" s="21" t="str">
        <f>IF($D168="","",SUMIF('TALLY BOX DUMP'!$1:$1,'ACH CALC'!AT$2,'TALLY BOX DUMP'!167:167))</f>
        <v/>
      </c>
      <c r="AU168" s="21" t="str">
        <f>IF($D168="","",SUMIF('TALLY BOX DUMP'!$1:$1,'ACH CALC'!AU$2,'TALLY BOX DUMP'!167:167))</f>
        <v/>
      </c>
      <c r="AV168" s="21" t="str">
        <f>IF($D168="","",SUMIF('TALLY BOX DUMP'!$1:$1,'ACH CALC'!AV$2,'TALLY BOX DUMP'!167:167))</f>
        <v/>
      </c>
      <c r="AW168" s="21" t="str">
        <f>IF($D168="","",SUMIF('TALLY BOX DUMP'!$1:$1,'ACH CALC'!AW$2,'TALLY BOX DUMP'!167:167))</f>
        <v/>
      </c>
      <c r="AX168" s="21" t="str">
        <f>IF($D168="","",SUMIF('TALLY BOX DUMP'!$1:$1,'ACH CALC'!AX$2,'TALLY BOX DUMP'!167:167))</f>
        <v/>
      </c>
      <c r="AY168" s="21" t="str">
        <f>IF($D168="","",SUMIF('TALLY BOX DUMP'!$1:$1,'ACH CALC'!AY$2,'TALLY BOX DUMP'!167:167))</f>
        <v/>
      </c>
      <c r="AZ168" s="21" t="str">
        <f>IF($D168="","",SUMIF('TALLY BOX DUMP'!$1:$1,'ACH CALC'!AZ$2,'TALLY BOX DUMP'!167:167))</f>
        <v/>
      </c>
      <c r="BA168" s="69">
        <f>(SUMIF('TALLY KG DUMP'!$2:$2,"Qty",'TALLY KG DUMP'!167:167)/1000)-(SUMIF('TALLY KG DUMP'!$1:$1,"GL",'TALLY KG DUMP'!167:167)/1000)</f>
        <v>0</v>
      </c>
      <c r="BB168" s="21" t="b">
        <f t="shared" si="8"/>
        <v>0</v>
      </c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</row>
    <row r="169" spans="2:75" x14ac:dyDescent="0.25">
      <c r="B169" s="21"/>
      <c r="C169" s="21"/>
      <c r="D169" s="21"/>
      <c r="E169" s="21" t="str">
        <f>IF($D169="","",(SUMIF('TALLY KG DUMP'!$2:$2,"Qty",'TALLY KG DUMP'!168:168)/1000)-(SUMIF('TALLY KG DUMP'!$1:$1,"GL",'TALLY KG DUMP'!168:168)/1000))</f>
        <v/>
      </c>
      <c r="F169" s="21" t="str">
        <f>IF($D169="","",(SUMIF('TALLY KG DUMP'!$1:$1,'ACH CALC'!F$2,'TALLY KG DUMP'!168:168)/1000))</f>
        <v/>
      </c>
      <c r="G169" s="21" t="str">
        <f>IF($D169="","",SUMIF('TALLY BOX DUMP'!$1:$1,'ACH CALC'!G$2,'TALLY BOX DUMP'!168:168)+Y169)</f>
        <v/>
      </c>
      <c r="H169" s="21" t="str">
        <f t="shared" si="6"/>
        <v/>
      </c>
      <c r="I169" s="21" t="str">
        <f>IF($D169="","",SUMIF('TALLY BOX DUMP'!$1:$1,'ACH CALC'!I$2,'TALLY BOX DUMP'!168:168)+AA169)</f>
        <v/>
      </c>
      <c r="J169" s="21" t="str">
        <f>IF($D169="","",SUMIF('TALLY BOX DUMP'!$1:$1,'ACH CALC'!J$2,'TALLY BOX DUMP'!168:168)+AB169)</f>
        <v/>
      </c>
      <c r="K169" s="21" t="str">
        <f>IF($D169="","",SUMIF('TALLY BOX DUMP'!$1:$1,'ACH CALC'!K$2,'TALLY BOX DUMP'!168:168)+AC169)</f>
        <v/>
      </c>
      <c r="L169" s="21" t="str">
        <f>IF($D169="","",SUMIF('TALLY BOX DUMP'!$1:$1,'ACH CALC'!L$2,'TALLY BOX DUMP'!168:168))</f>
        <v/>
      </c>
      <c r="M169" s="21" t="str">
        <f>IF($D169="","",SUMIF('TALLY BOX DUMP'!$1:$1,'ACH CALC'!M$2,'TALLY BOX DUMP'!168:168)+AD169)</f>
        <v/>
      </c>
      <c r="N169" s="21" t="str">
        <f>IF($D169="","",SUMIF('TALLY BOX DUMP'!$1:$1,'ACH CALC'!N$2,'TALLY BOX DUMP'!168:168))</f>
        <v/>
      </c>
      <c r="O169" s="21" t="str">
        <f>IF($D169="","",SUMIF('TALLY BOX DUMP'!$1:$1,'ACH CALC'!O$2,'TALLY BOX DUMP'!168:168))</f>
        <v/>
      </c>
      <c r="P169" s="21" t="str">
        <f>IF($D169="","",SUMIF('TALLY BOX DUMP'!$1:$1,'ACH CALC'!P$2,'TALLY BOX DUMP'!168:168))</f>
        <v/>
      </c>
      <c r="Q169" s="21" t="str">
        <f t="shared" si="7"/>
        <v/>
      </c>
      <c r="R169" s="21" t="str">
        <f>IF($D169="","",SUMIF('TALLY BOX DUMP'!$1:$1,'ACH CALC'!R$2,'TALLY BOX DUMP'!168:168))</f>
        <v/>
      </c>
      <c r="S169" s="21" t="str">
        <f>IF($D169="","",SUMIF('TALLY BOX DUMP'!$1:$1,'ACH CALC'!S$2,'TALLY BOX DUMP'!168:168))</f>
        <v/>
      </c>
      <c r="T169" s="21" t="str">
        <f>IF($D169="","",SUMIF('TALLY BOX DUMP'!$1:$1,'ACH CALC'!T$2,'TALLY BOX DUMP'!168:168))</f>
        <v/>
      </c>
      <c r="U169" s="21" t="str">
        <f>IF($D169="","",SUMIF('TALLY BOX DUMP'!$1:$1,'ACH CALC'!U$2,'TALLY BOX DUMP'!168:168))</f>
        <v/>
      </c>
      <c r="V169" s="21" t="str">
        <f>IF($D169="","",SUMIF('TALLY BOX DUMP'!$1:$1,'ACH CALC'!V$2,'TALLY BOX DUMP'!168:168))</f>
        <v/>
      </c>
      <c r="W169" s="21" t="str">
        <f>IF($D169="","",SUMIF('TALLY BOX DUMP'!$1:$1,'ACH CALC'!W$2,'TALLY BOX DUMP'!168:168))</f>
        <v/>
      </c>
      <c r="X169" s="21" t="str">
        <f>IF($D169="","",SUMIF('TALLY BOX DUMP'!$1:$1,'ACH CALC'!X$2,'TALLY BOX DUMP'!168:168))</f>
        <v/>
      </c>
      <c r="Y169" s="21" t="str">
        <f>IF($D169="","",SUMIF('TALLY BOX DUMP'!$1:$1,'ACH CALC'!Y$2,'TALLY BOX DUMP'!168:168))</f>
        <v/>
      </c>
      <c r="Z169" s="21" t="str">
        <f>IF($D169="","",SUMIF('TALLY BOX DUMP'!$1:$1,'ACH CALC'!Z$2,'TALLY BOX DUMP'!168:168)+AE169)</f>
        <v/>
      </c>
      <c r="AA169" s="21" t="str">
        <f>IF($D169="","",SUMIF('TALLY BOX DUMP'!$1:$1,'ACH CALC'!AA$2,'TALLY BOX DUMP'!168:168))</f>
        <v/>
      </c>
      <c r="AB169" s="21" t="str">
        <f>IF($D169="","",SUMIF('TALLY BOX DUMP'!$1:$1,'ACH CALC'!AB$2,'TALLY BOX DUMP'!168:168))</f>
        <v/>
      </c>
      <c r="AC169" s="21" t="str">
        <f>IF($D169="","",SUMIF('TALLY BOX DUMP'!$1:$1,'ACH CALC'!AC$2,'TALLY BOX DUMP'!168:168))</f>
        <v/>
      </c>
      <c r="AD169" s="21" t="str">
        <f>IF($D169="","",SUMIF('TALLY BOX DUMP'!$1:$1,'ACH CALC'!AD$2,'TALLY BOX DUMP'!168:168))</f>
        <v/>
      </c>
      <c r="AE169" s="21" t="str">
        <f>IF($D169="","",SUMIF('TALLY BOX DUMP'!$1:$1,'ACH CALC'!AE$2,'TALLY BOX DUMP'!168:168))</f>
        <v/>
      </c>
      <c r="AF169" s="21" t="str">
        <f>IF($D169="","",SUMIF('TALLY BOX DUMP'!$1:$1,'ACH CALC'!AF$2,'TALLY BOX DUMP'!168:168))</f>
        <v/>
      </c>
      <c r="AG169" s="21" t="str">
        <f>IF($D169="","",SUMIF('TALLY BOX DUMP'!$1:$1,'ACH CALC'!AG$2,'TALLY BOX DUMP'!168:168))</f>
        <v/>
      </c>
      <c r="AH169" s="21" t="str">
        <f>IF($D169="","",SUMIF('TALLY BOX DUMP'!$1:$1,'ACH CALC'!AH$2,'TALLY BOX DUMP'!168:168))</f>
        <v/>
      </c>
      <c r="AI169" s="21" t="str">
        <f>IF($D169="","",SUMIF('TALLY BOX DUMP'!$1:$1,'ACH CALC'!AI$2,'TALLY BOX DUMP'!168:168))</f>
        <v/>
      </c>
      <c r="AJ169" s="21" t="str">
        <f>IF($D169="","",SUMIF('TALLY BOX DUMP'!$1:$1,'ACH CALC'!AJ$2,'TALLY BOX DUMP'!168:168))</f>
        <v/>
      </c>
      <c r="AK169" s="21" t="str">
        <f>IF($D169="","",SUMIF('TALLY BOX DUMP'!$1:$1,'ACH CALC'!AK$2,'TALLY BOX DUMP'!168:168))</f>
        <v/>
      </c>
      <c r="AL169" s="21" t="str">
        <f>IF($D169="","",ROUND(SUMIF('TALLY KG DUMP'!$1:$1,'ACH CALC'!AL$2,'TALLY KG DUMP'!168:168)/30,1))</f>
        <v/>
      </c>
      <c r="AM169" s="21" t="str">
        <f>IF($D169="","",SUMIF('TALLY BOX DUMP'!$1:$1,'ACH CALC'!AM$2,'TALLY BOX DUMP'!168:168))</f>
        <v/>
      </c>
      <c r="AN169" s="21" t="str">
        <f>IF($D169="","",SUMIF('TALLY BOX DUMP'!$1:$1,'ACH CALC'!AN$2,'TALLY BOX DUMP'!168:168))</f>
        <v/>
      </c>
      <c r="AO169" s="21" t="str">
        <f>IF($D169="","",SUMIF('TALLY BOX DUMP'!$1:$1,'ACH CALC'!AO$2,'TALLY BOX DUMP'!168:168))</f>
        <v/>
      </c>
      <c r="AP169" s="21" t="str">
        <f>IF($D169="","",SUMIF('TALLY BOX DUMP'!$1:$1,'ACH CALC'!AP$2,'TALLY BOX DUMP'!168:168))</f>
        <v/>
      </c>
      <c r="AQ169" s="21" t="str">
        <f>IF($D169="","",ROUND(SUMIF('TALLY KG DUMP'!$1:$1,'ACH CALC'!AQ$2,'TALLY KG DUMP'!168:168)/30,1))</f>
        <v/>
      </c>
      <c r="AR169" s="21" t="str">
        <f>IF($D169="","",SUMIF('TALLY BOX DUMP'!$1:$1,'ACH CALC'!AR$2,'TALLY BOX DUMP'!168:168))</f>
        <v/>
      </c>
      <c r="AS169" s="21" t="str">
        <f>IF($D169="","",SUMIF('TALLY BOX DUMP'!$1:$1,'ACH CALC'!AS$2,'TALLY BOX DUMP'!168:168))</f>
        <v/>
      </c>
      <c r="AT169" s="21" t="str">
        <f>IF($D169="","",SUMIF('TALLY BOX DUMP'!$1:$1,'ACH CALC'!AT$2,'TALLY BOX DUMP'!168:168))</f>
        <v/>
      </c>
      <c r="AU169" s="21" t="str">
        <f>IF($D169="","",SUMIF('TALLY BOX DUMP'!$1:$1,'ACH CALC'!AU$2,'TALLY BOX DUMP'!168:168))</f>
        <v/>
      </c>
      <c r="AV169" s="21" t="str">
        <f>IF($D169="","",SUMIF('TALLY BOX DUMP'!$1:$1,'ACH CALC'!AV$2,'TALLY BOX DUMP'!168:168))</f>
        <v/>
      </c>
      <c r="AW169" s="21" t="str">
        <f>IF($D169="","",SUMIF('TALLY BOX DUMP'!$1:$1,'ACH CALC'!AW$2,'TALLY BOX DUMP'!168:168))</f>
        <v/>
      </c>
      <c r="AX169" s="21" t="str">
        <f>IF($D169="","",SUMIF('TALLY BOX DUMP'!$1:$1,'ACH CALC'!AX$2,'TALLY BOX DUMP'!168:168))</f>
        <v/>
      </c>
      <c r="AY169" s="21" t="str">
        <f>IF($D169="","",SUMIF('TALLY BOX DUMP'!$1:$1,'ACH CALC'!AY$2,'TALLY BOX DUMP'!168:168))</f>
        <v/>
      </c>
      <c r="AZ169" s="21" t="str">
        <f>IF($D169="","",SUMIF('TALLY BOX DUMP'!$1:$1,'ACH CALC'!AZ$2,'TALLY BOX DUMP'!168:168))</f>
        <v/>
      </c>
      <c r="BA169" s="69">
        <f>(SUMIF('TALLY KG DUMP'!$2:$2,"Qty",'TALLY KG DUMP'!168:168)/1000)-(SUMIF('TALLY KG DUMP'!$1:$1,"GL",'TALLY KG DUMP'!168:168)/1000)</f>
        <v>0</v>
      </c>
      <c r="BB169" s="21" t="b">
        <f t="shared" si="8"/>
        <v>0</v>
      </c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</row>
    <row r="170" spans="2:75" x14ac:dyDescent="0.25">
      <c r="B170" s="21"/>
      <c r="C170" s="21"/>
      <c r="D170" s="21"/>
      <c r="E170" s="21" t="str">
        <f>IF($D170="","",(SUMIF('TALLY KG DUMP'!$2:$2,"Qty",'TALLY KG DUMP'!169:169)/1000)-(SUMIF('TALLY KG DUMP'!$1:$1,"GL",'TALLY KG DUMP'!169:169)/1000))</f>
        <v/>
      </c>
      <c r="F170" s="21" t="str">
        <f>IF($D170="","",(SUMIF('TALLY KG DUMP'!$1:$1,'ACH CALC'!F$2,'TALLY KG DUMP'!169:169)/1000))</f>
        <v/>
      </c>
      <c r="G170" s="21" t="str">
        <f>IF($D170="","",SUMIF('TALLY BOX DUMP'!$1:$1,'ACH CALC'!G$2,'TALLY BOX DUMP'!169:169)+Y170)</f>
        <v/>
      </c>
      <c r="H170" s="21" t="str">
        <f t="shared" si="6"/>
        <v/>
      </c>
      <c r="I170" s="21" t="str">
        <f>IF($D170="","",SUMIF('TALLY BOX DUMP'!$1:$1,'ACH CALC'!I$2,'TALLY BOX DUMP'!169:169)+AA170)</f>
        <v/>
      </c>
      <c r="J170" s="21" t="str">
        <f>IF($D170="","",SUMIF('TALLY BOX DUMP'!$1:$1,'ACH CALC'!J$2,'TALLY BOX DUMP'!169:169)+AB170)</f>
        <v/>
      </c>
      <c r="K170" s="21" t="str">
        <f>IF($D170="","",SUMIF('TALLY BOX DUMP'!$1:$1,'ACH CALC'!K$2,'TALLY BOX DUMP'!169:169)+AC170)</f>
        <v/>
      </c>
      <c r="L170" s="21" t="str">
        <f>IF($D170="","",SUMIF('TALLY BOX DUMP'!$1:$1,'ACH CALC'!L$2,'TALLY BOX DUMP'!169:169))</f>
        <v/>
      </c>
      <c r="M170" s="21" t="str">
        <f>IF($D170="","",SUMIF('TALLY BOX DUMP'!$1:$1,'ACH CALC'!M$2,'TALLY BOX DUMP'!169:169)+AD170)</f>
        <v/>
      </c>
      <c r="N170" s="21" t="str">
        <f>IF($D170="","",SUMIF('TALLY BOX DUMP'!$1:$1,'ACH CALC'!N$2,'TALLY BOX DUMP'!169:169))</f>
        <v/>
      </c>
      <c r="O170" s="21" t="str">
        <f>IF($D170="","",SUMIF('TALLY BOX DUMP'!$1:$1,'ACH CALC'!O$2,'TALLY BOX DUMP'!169:169))</f>
        <v/>
      </c>
      <c r="P170" s="21" t="str">
        <f>IF($D170="","",SUMIF('TALLY BOX DUMP'!$1:$1,'ACH CALC'!P$2,'TALLY BOX DUMP'!169:169))</f>
        <v/>
      </c>
      <c r="Q170" s="21" t="str">
        <f t="shared" si="7"/>
        <v/>
      </c>
      <c r="R170" s="21" t="str">
        <f>IF($D170="","",SUMIF('TALLY BOX DUMP'!$1:$1,'ACH CALC'!R$2,'TALLY BOX DUMP'!169:169))</f>
        <v/>
      </c>
      <c r="S170" s="21" t="str">
        <f>IF($D170="","",SUMIF('TALLY BOX DUMP'!$1:$1,'ACH CALC'!S$2,'TALLY BOX DUMP'!169:169))</f>
        <v/>
      </c>
      <c r="T170" s="21" t="str">
        <f>IF($D170="","",SUMIF('TALLY BOX DUMP'!$1:$1,'ACH CALC'!T$2,'TALLY BOX DUMP'!169:169))</f>
        <v/>
      </c>
      <c r="U170" s="21" t="str">
        <f>IF($D170="","",SUMIF('TALLY BOX DUMP'!$1:$1,'ACH CALC'!U$2,'TALLY BOX DUMP'!169:169))</f>
        <v/>
      </c>
      <c r="V170" s="21" t="str">
        <f>IF($D170="","",SUMIF('TALLY BOX DUMP'!$1:$1,'ACH CALC'!V$2,'TALLY BOX DUMP'!169:169))</f>
        <v/>
      </c>
      <c r="W170" s="21" t="str">
        <f>IF($D170="","",SUMIF('TALLY BOX DUMP'!$1:$1,'ACH CALC'!W$2,'TALLY BOX DUMP'!169:169))</f>
        <v/>
      </c>
      <c r="X170" s="21" t="str">
        <f>IF($D170="","",SUMIF('TALLY BOX DUMP'!$1:$1,'ACH CALC'!X$2,'TALLY BOX DUMP'!169:169))</f>
        <v/>
      </c>
      <c r="Y170" s="21" t="str">
        <f>IF($D170="","",SUMIF('TALLY BOX DUMP'!$1:$1,'ACH CALC'!Y$2,'TALLY BOX DUMP'!169:169))</f>
        <v/>
      </c>
      <c r="Z170" s="21" t="str">
        <f>IF($D170="","",SUMIF('TALLY BOX DUMP'!$1:$1,'ACH CALC'!Z$2,'TALLY BOX DUMP'!169:169)+AE170)</f>
        <v/>
      </c>
      <c r="AA170" s="21" t="str">
        <f>IF($D170="","",SUMIF('TALLY BOX DUMP'!$1:$1,'ACH CALC'!AA$2,'TALLY BOX DUMP'!169:169))</f>
        <v/>
      </c>
      <c r="AB170" s="21" t="str">
        <f>IF($D170="","",SUMIF('TALLY BOX DUMP'!$1:$1,'ACH CALC'!AB$2,'TALLY BOX DUMP'!169:169))</f>
        <v/>
      </c>
      <c r="AC170" s="21" t="str">
        <f>IF($D170="","",SUMIF('TALLY BOX DUMP'!$1:$1,'ACH CALC'!AC$2,'TALLY BOX DUMP'!169:169))</f>
        <v/>
      </c>
      <c r="AD170" s="21" t="str">
        <f>IF($D170="","",SUMIF('TALLY BOX DUMP'!$1:$1,'ACH CALC'!AD$2,'TALLY BOX DUMP'!169:169))</f>
        <v/>
      </c>
      <c r="AE170" s="21" t="str">
        <f>IF($D170="","",SUMIF('TALLY BOX DUMP'!$1:$1,'ACH CALC'!AE$2,'TALLY BOX DUMP'!169:169))</f>
        <v/>
      </c>
      <c r="AF170" s="21" t="str">
        <f>IF($D170="","",SUMIF('TALLY BOX DUMP'!$1:$1,'ACH CALC'!AF$2,'TALLY BOX DUMP'!169:169))</f>
        <v/>
      </c>
      <c r="AG170" s="21" t="str">
        <f>IF($D170="","",SUMIF('TALLY BOX DUMP'!$1:$1,'ACH CALC'!AG$2,'TALLY BOX DUMP'!169:169))</f>
        <v/>
      </c>
      <c r="AH170" s="21" t="str">
        <f>IF($D170="","",SUMIF('TALLY BOX DUMP'!$1:$1,'ACH CALC'!AH$2,'TALLY BOX DUMP'!169:169))</f>
        <v/>
      </c>
      <c r="AI170" s="21" t="str">
        <f>IF($D170="","",SUMIF('TALLY BOX DUMP'!$1:$1,'ACH CALC'!AI$2,'TALLY BOX DUMP'!169:169))</f>
        <v/>
      </c>
      <c r="AJ170" s="21" t="str">
        <f>IF($D170="","",SUMIF('TALLY BOX DUMP'!$1:$1,'ACH CALC'!AJ$2,'TALLY BOX DUMP'!169:169))</f>
        <v/>
      </c>
      <c r="AK170" s="21" t="str">
        <f>IF($D170="","",SUMIF('TALLY BOX DUMP'!$1:$1,'ACH CALC'!AK$2,'TALLY BOX DUMP'!169:169))</f>
        <v/>
      </c>
      <c r="AL170" s="21" t="str">
        <f>IF($D170="","",ROUND(SUMIF('TALLY KG DUMP'!$1:$1,'ACH CALC'!AL$2,'TALLY KG DUMP'!169:169)/30,1))</f>
        <v/>
      </c>
      <c r="AM170" s="21" t="str">
        <f>IF($D170="","",SUMIF('TALLY BOX DUMP'!$1:$1,'ACH CALC'!AM$2,'TALLY BOX DUMP'!169:169))</f>
        <v/>
      </c>
      <c r="AN170" s="21" t="str">
        <f>IF($D170="","",SUMIF('TALLY BOX DUMP'!$1:$1,'ACH CALC'!AN$2,'TALLY BOX DUMP'!169:169))</f>
        <v/>
      </c>
      <c r="AO170" s="21" t="str">
        <f>IF($D170="","",SUMIF('TALLY BOX DUMP'!$1:$1,'ACH CALC'!AO$2,'TALLY BOX DUMP'!169:169))</f>
        <v/>
      </c>
      <c r="AP170" s="21" t="str">
        <f>IF($D170="","",SUMIF('TALLY BOX DUMP'!$1:$1,'ACH CALC'!AP$2,'TALLY BOX DUMP'!169:169))</f>
        <v/>
      </c>
      <c r="AQ170" s="21" t="str">
        <f>IF($D170="","",ROUND(SUMIF('TALLY KG DUMP'!$1:$1,'ACH CALC'!AQ$2,'TALLY KG DUMP'!169:169)/30,1))</f>
        <v/>
      </c>
      <c r="AR170" s="21" t="str">
        <f>IF($D170="","",SUMIF('TALLY BOX DUMP'!$1:$1,'ACH CALC'!AR$2,'TALLY BOX DUMP'!169:169))</f>
        <v/>
      </c>
      <c r="AS170" s="21" t="str">
        <f>IF($D170="","",SUMIF('TALLY BOX DUMP'!$1:$1,'ACH CALC'!AS$2,'TALLY BOX DUMP'!169:169))</f>
        <v/>
      </c>
      <c r="AT170" s="21" t="str">
        <f>IF($D170="","",SUMIF('TALLY BOX DUMP'!$1:$1,'ACH CALC'!AT$2,'TALLY BOX DUMP'!169:169))</f>
        <v/>
      </c>
      <c r="AU170" s="21" t="str">
        <f>IF($D170="","",SUMIF('TALLY BOX DUMP'!$1:$1,'ACH CALC'!AU$2,'TALLY BOX DUMP'!169:169))</f>
        <v/>
      </c>
      <c r="AV170" s="21" t="str">
        <f>IF($D170="","",SUMIF('TALLY BOX DUMP'!$1:$1,'ACH CALC'!AV$2,'TALLY BOX DUMP'!169:169))</f>
        <v/>
      </c>
      <c r="AW170" s="21" t="str">
        <f>IF($D170="","",SUMIF('TALLY BOX DUMP'!$1:$1,'ACH CALC'!AW$2,'TALLY BOX DUMP'!169:169))</f>
        <v/>
      </c>
      <c r="AX170" s="21" t="str">
        <f>IF($D170="","",SUMIF('TALLY BOX DUMP'!$1:$1,'ACH CALC'!AX$2,'TALLY BOX DUMP'!169:169))</f>
        <v/>
      </c>
      <c r="AY170" s="21" t="str">
        <f>IF($D170="","",SUMIF('TALLY BOX DUMP'!$1:$1,'ACH CALC'!AY$2,'TALLY BOX DUMP'!169:169))</f>
        <v/>
      </c>
      <c r="AZ170" s="21" t="str">
        <f>IF($D170="","",SUMIF('TALLY BOX DUMP'!$1:$1,'ACH CALC'!AZ$2,'TALLY BOX DUMP'!169:169))</f>
        <v/>
      </c>
      <c r="BA170" s="69">
        <f>(SUMIF('TALLY KG DUMP'!$2:$2,"Qty",'TALLY KG DUMP'!169:169)/1000)-(SUMIF('TALLY KG DUMP'!$1:$1,"GL",'TALLY KG DUMP'!169:169)/1000)</f>
        <v>0</v>
      </c>
      <c r="BB170" s="21" t="b">
        <f t="shared" si="8"/>
        <v>0</v>
      </c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</row>
    <row r="171" spans="2:75" x14ac:dyDescent="0.25">
      <c r="B171" s="21"/>
      <c r="C171" s="21"/>
      <c r="D171" s="21"/>
      <c r="E171" s="21" t="str">
        <f>IF($D171="","",(SUMIF('TALLY KG DUMP'!$2:$2,"Qty",'TALLY KG DUMP'!170:170)/1000)-(SUMIF('TALLY KG DUMP'!$1:$1,"GL",'TALLY KG DUMP'!170:170)/1000))</f>
        <v/>
      </c>
      <c r="F171" s="21" t="str">
        <f>IF($D171="","",(SUMIF('TALLY KG DUMP'!$1:$1,'ACH CALC'!F$2,'TALLY KG DUMP'!170:170)/1000))</f>
        <v/>
      </c>
      <c r="G171" s="21" t="str">
        <f>IF($D171="","",SUMIF('TALLY BOX DUMP'!$1:$1,'ACH CALC'!G$2,'TALLY BOX DUMP'!170:170)+Y171)</f>
        <v/>
      </c>
      <c r="H171" s="21" t="str">
        <f t="shared" si="6"/>
        <v/>
      </c>
      <c r="I171" s="21" t="str">
        <f>IF($D171="","",SUMIF('TALLY BOX DUMP'!$1:$1,'ACH CALC'!I$2,'TALLY BOX DUMP'!170:170)+AA171)</f>
        <v/>
      </c>
      <c r="J171" s="21" t="str">
        <f>IF($D171="","",SUMIF('TALLY BOX DUMP'!$1:$1,'ACH CALC'!J$2,'TALLY BOX DUMP'!170:170)+AB171)</f>
        <v/>
      </c>
      <c r="K171" s="21" t="str">
        <f>IF($D171="","",SUMIF('TALLY BOX DUMP'!$1:$1,'ACH CALC'!K$2,'TALLY BOX DUMP'!170:170)+AC171)</f>
        <v/>
      </c>
      <c r="L171" s="21" t="str">
        <f>IF($D171="","",SUMIF('TALLY BOX DUMP'!$1:$1,'ACH CALC'!L$2,'TALLY BOX DUMP'!170:170))</f>
        <v/>
      </c>
      <c r="M171" s="21" t="str">
        <f>IF($D171="","",SUMIF('TALLY BOX DUMP'!$1:$1,'ACH CALC'!M$2,'TALLY BOX DUMP'!170:170)+AD171)</f>
        <v/>
      </c>
      <c r="N171" s="21" t="str">
        <f>IF($D171="","",SUMIF('TALLY BOX DUMP'!$1:$1,'ACH CALC'!N$2,'TALLY BOX DUMP'!170:170))</f>
        <v/>
      </c>
      <c r="O171" s="21" t="str">
        <f>IF($D171="","",SUMIF('TALLY BOX DUMP'!$1:$1,'ACH CALC'!O$2,'TALLY BOX DUMP'!170:170))</f>
        <v/>
      </c>
      <c r="P171" s="21" t="str">
        <f>IF($D171="","",SUMIF('TALLY BOX DUMP'!$1:$1,'ACH CALC'!P$2,'TALLY BOX DUMP'!170:170))</f>
        <v/>
      </c>
      <c r="Q171" s="21" t="str">
        <f t="shared" si="7"/>
        <v/>
      </c>
      <c r="R171" s="21" t="str">
        <f>IF($D171="","",SUMIF('TALLY BOX DUMP'!$1:$1,'ACH CALC'!R$2,'TALLY BOX DUMP'!170:170))</f>
        <v/>
      </c>
      <c r="S171" s="21" t="str">
        <f>IF($D171="","",SUMIF('TALLY BOX DUMP'!$1:$1,'ACH CALC'!S$2,'TALLY BOX DUMP'!170:170))</f>
        <v/>
      </c>
      <c r="T171" s="21" t="str">
        <f>IF($D171="","",SUMIF('TALLY BOX DUMP'!$1:$1,'ACH CALC'!T$2,'TALLY BOX DUMP'!170:170))</f>
        <v/>
      </c>
      <c r="U171" s="21" t="str">
        <f>IF($D171="","",SUMIF('TALLY BOX DUMP'!$1:$1,'ACH CALC'!U$2,'TALLY BOX DUMP'!170:170))</f>
        <v/>
      </c>
      <c r="V171" s="21" t="str">
        <f>IF($D171="","",SUMIF('TALLY BOX DUMP'!$1:$1,'ACH CALC'!V$2,'TALLY BOX DUMP'!170:170))</f>
        <v/>
      </c>
      <c r="W171" s="21" t="str">
        <f>IF($D171="","",SUMIF('TALLY BOX DUMP'!$1:$1,'ACH CALC'!W$2,'TALLY BOX DUMP'!170:170))</f>
        <v/>
      </c>
      <c r="X171" s="21" t="str">
        <f>IF($D171="","",SUMIF('TALLY BOX DUMP'!$1:$1,'ACH CALC'!X$2,'TALLY BOX DUMP'!170:170))</f>
        <v/>
      </c>
      <c r="Y171" s="21" t="str">
        <f>IF($D171="","",SUMIF('TALLY BOX DUMP'!$1:$1,'ACH CALC'!Y$2,'TALLY BOX DUMP'!170:170))</f>
        <v/>
      </c>
      <c r="Z171" s="21" t="str">
        <f>IF($D171="","",SUMIF('TALLY BOX DUMP'!$1:$1,'ACH CALC'!Z$2,'TALLY BOX DUMP'!170:170)+AE171)</f>
        <v/>
      </c>
      <c r="AA171" s="21" t="str">
        <f>IF($D171="","",SUMIF('TALLY BOX DUMP'!$1:$1,'ACH CALC'!AA$2,'TALLY BOX DUMP'!170:170))</f>
        <v/>
      </c>
      <c r="AB171" s="21" t="str">
        <f>IF($D171="","",SUMIF('TALLY BOX DUMP'!$1:$1,'ACH CALC'!AB$2,'TALLY BOX DUMP'!170:170))</f>
        <v/>
      </c>
      <c r="AC171" s="21" t="str">
        <f>IF($D171="","",SUMIF('TALLY BOX DUMP'!$1:$1,'ACH CALC'!AC$2,'TALLY BOX DUMP'!170:170))</f>
        <v/>
      </c>
      <c r="AD171" s="21" t="str">
        <f>IF($D171="","",SUMIF('TALLY BOX DUMP'!$1:$1,'ACH CALC'!AD$2,'TALLY BOX DUMP'!170:170))</f>
        <v/>
      </c>
      <c r="AE171" s="21" t="str">
        <f>IF($D171="","",SUMIF('TALLY BOX DUMP'!$1:$1,'ACH CALC'!AE$2,'TALLY BOX DUMP'!170:170))</f>
        <v/>
      </c>
      <c r="AF171" s="21" t="str">
        <f>IF($D171="","",SUMIF('TALLY BOX DUMP'!$1:$1,'ACH CALC'!AF$2,'TALLY BOX DUMP'!170:170))</f>
        <v/>
      </c>
      <c r="AG171" s="21" t="str">
        <f>IF($D171="","",SUMIF('TALLY BOX DUMP'!$1:$1,'ACH CALC'!AG$2,'TALLY BOX DUMP'!170:170))</f>
        <v/>
      </c>
      <c r="AH171" s="21" t="str">
        <f>IF($D171="","",SUMIF('TALLY BOX DUMP'!$1:$1,'ACH CALC'!AH$2,'TALLY BOX DUMP'!170:170))</f>
        <v/>
      </c>
      <c r="AI171" s="21" t="str">
        <f>IF($D171="","",SUMIF('TALLY BOX DUMP'!$1:$1,'ACH CALC'!AI$2,'TALLY BOX DUMP'!170:170))</f>
        <v/>
      </c>
      <c r="AJ171" s="21" t="str">
        <f>IF($D171="","",SUMIF('TALLY BOX DUMP'!$1:$1,'ACH CALC'!AJ$2,'TALLY BOX DUMP'!170:170))</f>
        <v/>
      </c>
      <c r="AK171" s="21" t="str">
        <f>IF($D171="","",SUMIF('TALLY BOX DUMP'!$1:$1,'ACH CALC'!AK$2,'TALLY BOX DUMP'!170:170))</f>
        <v/>
      </c>
      <c r="AL171" s="21" t="str">
        <f>IF($D171="","",ROUND(SUMIF('TALLY KG DUMP'!$1:$1,'ACH CALC'!AL$2,'TALLY KG DUMP'!170:170)/30,1))</f>
        <v/>
      </c>
      <c r="AM171" s="21" t="str">
        <f>IF($D171="","",SUMIF('TALLY BOX DUMP'!$1:$1,'ACH CALC'!AM$2,'TALLY BOX DUMP'!170:170))</f>
        <v/>
      </c>
      <c r="AN171" s="21" t="str">
        <f>IF($D171="","",SUMIF('TALLY BOX DUMP'!$1:$1,'ACH CALC'!AN$2,'TALLY BOX DUMP'!170:170))</f>
        <v/>
      </c>
      <c r="AO171" s="21" t="str">
        <f>IF($D171="","",SUMIF('TALLY BOX DUMP'!$1:$1,'ACH CALC'!AO$2,'TALLY BOX DUMP'!170:170))</f>
        <v/>
      </c>
      <c r="AP171" s="21" t="str">
        <f>IF($D171="","",SUMIF('TALLY BOX DUMP'!$1:$1,'ACH CALC'!AP$2,'TALLY BOX DUMP'!170:170))</f>
        <v/>
      </c>
      <c r="AQ171" s="21" t="str">
        <f>IF($D171="","",ROUND(SUMIF('TALLY KG DUMP'!$1:$1,'ACH CALC'!AQ$2,'TALLY KG DUMP'!170:170)/30,1))</f>
        <v/>
      </c>
      <c r="AR171" s="21" t="str">
        <f>IF($D171="","",SUMIF('TALLY BOX DUMP'!$1:$1,'ACH CALC'!AR$2,'TALLY BOX DUMP'!170:170))</f>
        <v/>
      </c>
      <c r="AS171" s="21" t="str">
        <f>IF($D171="","",SUMIF('TALLY BOX DUMP'!$1:$1,'ACH CALC'!AS$2,'TALLY BOX DUMP'!170:170))</f>
        <v/>
      </c>
      <c r="AT171" s="21" t="str">
        <f>IF($D171="","",SUMIF('TALLY BOX DUMP'!$1:$1,'ACH CALC'!AT$2,'TALLY BOX DUMP'!170:170))</f>
        <v/>
      </c>
      <c r="AU171" s="21" t="str">
        <f>IF($D171="","",SUMIF('TALLY BOX DUMP'!$1:$1,'ACH CALC'!AU$2,'TALLY BOX DUMP'!170:170))</f>
        <v/>
      </c>
      <c r="AV171" s="21" t="str">
        <f>IF($D171="","",SUMIF('TALLY BOX DUMP'!$1:$1,'ACH CALC'!AV$2,'TALLY BOX DUMP'!170:170))</f>
        <v/>
      </c>
      <c r="AW171" s="21" t="str">
        <f>IF($D171="","",SUMIF('TALLY BOX DUMP'!$1:$1,'ACH CALC'!AW$2,'TALLY BOX DUMP'!170:170))</f>
        <v/>
      </c>
      <c r="AX171" s="21" t="str">
        <f>IF($D171="","",SUMIF('TALLY BOX DUMP'!$1:$1,'ACH CALC'!AX$2,'TALLY BOX DUMP'!170:170))</f>
        <v/>
      </c>
      <c r="AY171" s="21" t="str">
        <f>IF($D171="","",SUMIF('TALLY BOX DUMP'!$1:$1,'ACH CALC'!AY$2,'TALLY BOX DUMP'!170:170))</f>
        <v/>
      </c>
      <c r="AZ171" s="21" t="str">
        <f>IF($D171="","",SUMIF('TALLY BOX DUMP'!$1:$1,'ACH CALC'!AZ$2,'TALLY BOX DUMP'!170:170))</f>
        <v/>
      </c>
      <c r="BA171" s="69">
        <f>(SUMIF('TALLY KG DUMP'!$2:$2,"Qty",'TALLY KG DUMP'!170:170)/1000)-(SUMIF('TALLY KG DUMP'!$1:$1,"GL",'TALLY KG DUMP'!170:170)/1000)</f>
        <v>0</v>
      </c>
      <c r="BB171" s="21" t="b">
        <f t="shared" si="8"/>
        <v>0</v>
      </c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</row>
    <row r="172" spans="2:75" x14ac:dyDescent="0.25">
      <c r="B172" s="21"/>
      <c r="C172" s="21"/>
      <c r="D172" s="21"/>
      <c r="E172" s="21" t="str">
        <f>IF($D172="","",(SUMIF('TALLY KG DUMP'!$2:$2,"Qty",'TALLY KG DUMP'!171:171)/1000)-(SUMIF('TALLY KG DUMP'!$1:$1,"GL",'TALLY KG DUMP'!171:171)/1000))</f>
        <v/>
      </c>
      <c r="F172" s="21" t="str">
        <f>IF($D172="","",(SUMIF('TALLY KG DUMP'!$1:$1,'ACH CALC'!F$2,'TALLY KG DUMP'!171:171)/1000))</f>
        <v/>
      </c>
      <c r="G172" s="21" t="str">
        <f>IF($D172="","",SUMIF('TALLY BOX DUMP'!$1:$1,'ACH CALC'!G$2,'TALLY BOX DUMP'!171:171)+Y172)</f>
        <v/>
      </c>
      <c r="H172" s="21" t="str">
        <f t="shared" si="6"/>
        <v/>
      </c>
      <c r="I172" s="21" t="str">
        <f>IF($D172="","",SUMIF('TALLY BOX DUMP'!$1:$1,'ACH CALC'!I$2,'TALLY BOX DUMP'!171:171)+AA172)</f>
        <v/>
      </c>
      <c r="J172" s="21" t="str">
        <f>IF($D172="","",SUMIF('TALLY BOX DUMP'!$1:$1,'ACH CALC'!J$2,'TALLY BOX DUMP'!171:171)+AB172)</f>
        <v/>
      </c>
      <c r="K172" s="21" t="str">
        <f>IF($D172="","",SUMIF('TALLY BOX DUMP'!$1:$1,'ACH CALC'!K$2,'TALLY BOX DUMP'!171:171)+AC172)</f>
        <v/>
      </c>
      <c r="L172" s="21" t="str">
        <f>IF($D172="","",SUMIF('TALLY BOX DUMP'!$1:$1,'ACH CALC'!L$2,'TALLY BOX DUMP'!171:171))</f>
        <v/>
      </c>
      <c r="M172" s="21" t="str">
        <f>IF($D172="","",SUMIF('TALLY BOX DUMP'!$1:$1,'ACH CALC'!M$2,'TALLY BOX DUMP'!171:171)+AD172)</f>
        <v/>
      </c>
      <c r="N172" s="21" t="str">
        <f>IF($D172="","",SUMIF('TALLY BOX DUMP'!$1:$1,'ACH CALC'!N$2,'TALLY BOX DUMP'!171:171))</f>
        <v/>
      </c>
      <c r="O172" s="21" t="str">
        <f>IF($D172="","",SUMIF('TALLY BOX DUMP'!$1:$1,'ACH CALC'!O$2,'TALLY BOX DUMP'!171:171))</f>
        <v/>
      </c>
      <c r="P172" s="21" t="str">
        <f>IF($D172="","",SUMIF('TALLY BOX DUMP'!$1:$1,'ACH CALC'!P$2,'TALLY BOX DUMP'!171:171))</f>
        <v/>
      </c>
      <c r="Q172" s="21" t="str">
        <f t="shared" si="7"/>
        <v/>
      </c>
      <c r="R172" s="21" t="str">
        <f>IF($D172="","",SUMIF('TALLY BOX DUMP'!$1:$1,'ACH CALC'!R$2,'TALLY BOX DUMP'!171:171))</f>
        <v/>
      </c>
      <c r="S172" s="21" t="str">
        <f>IF($D172="","",SUMIF('TALLY BOX DUMP'!$1:$1,'ACH CALC'!S$2,'TALLY BOX DUMP'!171:171))</f>
        <v/>
      </c>
      <c r="T172" s="21" t="str">
        <f>IF($D172="","",SUMIF('TALLY BOX DUMP'!$1:$1,'ACH CALC'!T$2,'TALLY BOX DUMP'!171:171))</f>
        <v/>
      </c>
      <c r="U172" s="21" t="str">
        <f>IF($D172="","",SUMIF('TALLY BOX DUMP'!$1:$1,'ACH CALC'!U$2,'TALLY BOX DUMP'!171:171))</f>
        <v/>
      </c>
      <c r="V172" s="21" t="str">
        <f>IF($D172="","",SUMIF('TALLY BOX DUMP'!$1:$1,'ACH CALC'!V$2,'TALLY BOX DUMP'!171:171))</f>
        <v/>
      </c>
      <c r="W172" s="21" t="str">
        <f>IF($D172="","",SUMIF('TALLY BOX DUMP'!$1:$1,'ACH CALC'!W$2,'TALLY BOX DUMP'!171:171))</f>
        <v/>
      </c>
      <c r="X172" s="21" t="str">
        <f>IF($D172="","",SUMIF('TALLY BOX DUMP'!$1:$1,'ACH CALC'!X$2,'TALLY BOX DUMP'!171:171))</f>
        <v/>
      </c>
      <c r="Y172" s="21" t="str">
        <f>IF($D172="","",SUMIF('TALLY BOX DUMP'!$1:$1,'ACH CALC'!Y$2,'TALLY BOX DUMP'!171:171))</f>
        <v/>
      </c>
      <c r="Z172" s="21" t="str">
        <f>IF($D172="","",SUMIF('TALLY BOX DUMP'!$1:$1,'ACH CALC'!Z$2,'TALLY BOX DUMP'!171:171)+AE172)</f>
        <v/>
      </c>
      <c r="AA172" s="21" t="str">
        <f>IF($D172="","",SUMIF('TALLY BOX DUMP'!$1:$1,'ACH CALC'!AA$2,'TALLY BOX DUMP'!171:171))</f>
        <v/>
      </c>
      <c r="AB172" s="21" t="str">
        <f>IF($D172="","",SUMIF('TALLY BOX DUMP'!$1:$1,'ACH CALC'!AB$2,'TALLY BOX DUMP'!171:171))</f>
        <v/>
      </c>
      <c r="AC172" s="21" t="str">
        <f>IF($D172="","",SUMIF('TALLY BOX DUMP'!$1:$1,'ACH CALC'!AC$2,'TALLY BOX DUMP'!171:171))</f>
        <v/>
      </c>
      <c r="AD172" s="21" t="str">
        <f>IF($D172="","",SUMIF('TALLY BOX DUMP'!$1:$1,'ACH CALC'!AD$2,'TALLY BOX DUMP'!171:171))</f>
        <v/>
      </c>
      <c r="AE172" s="21" t="str">
        <f>IF($D172="","",SUMIF('TALLY BOX DUMP'!$1:$1,'ACH CALC'!AE$2,'TALLY BOX DUMP'!171:171))</f>
        <v/>
      </c>
      <c r="AF172" s="21" t="str">
        <f>IF($D172="","",SUMIF('TALLY BOX DUMP'!$1:$1,'ACH CALC'!AF$2,'TALLY BOX DUMP'!171:171))</f>
        <v/>
      </c>
      <c r="AG172" s="21" t="str">
        <f>IF($D172="","",SUMIF('TALLY BOX DUMP'!$1:$1,'ACH CALC'!AG$2,'TALLY BOX DUMP'!171:171))</f>
        <v/>
      </c>
      <c r="AH172" s="21" t="str">
        <f>IF($D172="","",SUMIF('TALLY BOX DUMP'!$1:$1,'ACH CALC'!AH$2,'TALLY BOX DUMP'!171:171))</f>
        <v/>
      </c>
      <c r="AI172" s="21" t="str">
        <f>IF($D172="","",SUMIF('TALLY BOX DUMP'!$1:$1,'ACH CALC'!AI$2,'TALLY BOX DUMP'!171:171))</f>
        <v/>
      </c>
      <c r="AJ172" s="21" t="str">
        <f>IF($D172="","",SUMIF('TALLY BOX DUMP'!$1:$1,'ACH CALC'!AJ$2,'TALLY BOX DUMP'!171:171))</f>
        <v/>
      </c>
      <c r="AK172" s="21" t="str">
        <f>IF($D172="","",SUMIF('TALLY BOX DUMP'!$1:$1,'ACH CALC'!AK$2,'TALLY BOX DUMP'!171:171))</f>
        <v/>
      </c>
      <c r="AL172" s="21" t="str">
        <f>IF($D172="","",ROUND(SUMIF('TALLY KG DUMP'!$1:$1,'ACH CALC'!AL$2,'TALLY KG DUMP'!171:171)/30,1))</f>
        <v/>
      </c>
      <c r="AM172" s="21" t="str">
        <f>IF($D172="","",SUMIF('TALLY BOX DUMP'!$1:$1,'ACH CALC'!AM$2,'TALLY BOX DUMP'!171:171))</f>
        <v/>
      </c>
      <c r="AN172" s="21" t="str">
        <f>IF($D172="","",SUMIF('TALLY BOX DUMP'!$1:$1,'ACH CALC'!AN$2,'TALLY BOX DUMP'!171:171))</f>
        <v/>
      </c>
      <c r="AO172" s="21" t="str">
        <f>IF($D172="","",SUMIF('TALLY BOX DUMP'!$1:$1,'ACH CALC'!AO$2,'TALLY BOX DUMP'!171:171))</f>
        <v/>
      </c>
      <c r="AP172" s="21" t="str">
        <f>IF($D172="","",SUMIF('TALLY BOX DUMP'!$1:$1,'ACH CALC'!AP$2,'TALLY BOX DUMP'!171:171))</f>
        <v/>
      </c>
      <c r="AQ172" s="21" t="str">
        <f>IF($D172="","",ROUND(SUMIF('TALLY KG DUMP'!$1:$1,'ACH CALC'!AQ$2,'TALLY KG DUMP'!171:171)/30,1))</f>
        <v/>
      </c>
      <c r="AR172" s="21" t="str">
        <f>IF($D172="","",SUMIF('TALLY BOX DUMP'!$1:$1,'ACH CALC'!AR$2,'TALLY BOX DUMP'!171:171))</f>
        <v/>
      </c>
      <c r="AS172" s="21" t="str">
        <f>IF($D172="","",SUMIF('TALLY BOX DUMP'!$1:$1,'ACH CALC'!AS$2,'TALLY BOX DUMP'!171:171))</f>
        <v/>
      </c>
      <c r="AT172" s="21" t="str">
        <f>IF($D172="","",SUMIF('TALLY BOX DUMP'!$1:$1,'ACH CALC'!AT$2,'TALLY BOX DUMP'!171:171))</f>
        <v/>
      </c>
      <c r="AU172" s="21" t="str">
        <f>IF($D172="","",SUMIF('TALLY BOX DUMP'!$1:$1,'ACH CALC'!AU$2,'TALLY BOX DUMP'!171:171))</f>
        <v/>
      </c>
      <c r="AV172" s="21" t="str">
        <f>IF($D172="","",SUMIF('TALLY BOX DUMP'!$1:$1,'ACH CALC'!AV$2,'TALLY BOX DUMP'!171:171))</f>
        <v/>
      </c>
      <c r="AW172" s="21" t="str">
        <f>IF($D172="","",SUMIF('TALLY BOX DUMP'!$1:$1,'ACH CALC'!AW$2,'TALLY BOX DUMP'!171:171))</f>
        <v/>
      </c>
      <c r="AX172" s="21" t="str">
        <f>IF($D172="","",SUMIF('TALLY BOX DUMP'!$1:$1,'ACH CALC'!AX$2,'TALLY BOX DUMP'!171:171))</f>
        <v/>
      </c>
      <c r="AY172" s="21" t="str">
        <f>IF($D172="","",SUMIF('TALLY BOX DUMP'!$1:$1,'ACH CALC'!AY$2,'TALLY BOX DUMP'!171:171))</f>
        <v/>
      </c>
      <c r="AZ172" s="21" t="str">
        <f>IF($D172="","",SUMIF('TALLY BOX DUMP'!$1:$1,'ACH CALC'!AZ$2,'TALLY BOX DUMP'!171:171))</f>
        <v/>
      </c>
      <c r="BA172" s="69">
        <f>(SUMIF('TALLY KG DUMP'!$2:$2,"Qty",'TALLY KG DUMP'!171:171)/1000)-(SUMIF('TALLY KG DUMP'!$1:$1,"GL",'TALLY KG DUMP'!171:171)/1000)</f>
        <v>0</v>
      </c>
      <c r="BB172" s="21" t="b">
        <f t="shared" si="8"/>
        <v>0</v>
      </c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</row>
    <row r="173" spans="2:75" x14ac:dyDescent="0.25">
      <c r="B173" s="21"/>
      <c r="C173" s="21"/>
      <c r="D173" s="21"/>
      <c r="E173" s="21" t="str">
        <f>IF($D173="","",(SUMIF('TALLY KG DUMP'!$2:$2,"Qty",'TALLY KG DUMP'!172:172)/1000)-(SUMIF('TALLY KG DUMP'!$1:$1,"GL",'TALLY KG DUMP'!172:172)/1000))</f>
        <v/>
      </c>
      <c r="F173" s="21" t="str">
        <f>IF($D173="","",(SUMIF('TALLY KG DUMP'!$1:$1,'ACH CALC'!F$2,'TALLY KG DUMP'!172:172)/1000))</f>
        <v/>
      </c>
      <c r="G173" s="21" t="str">
        <f>IF($D173="","",SUMIF('TALLY BOX DUMP'!$1:$1,'ACH CALC'!G$2,'TALLY BOX DUMP'!172:172)+Y173)</f>
        <v/>
      </c>
      <c r="H173" s="21" t="str">
        <f t="shared" si="6"/>
        <v/>
      </c>
      <c r="I173" s="21" t="str">
        <f>IF($D173="","",SUMIF('TALLY BOX DUMP'!$1:$1,'ACH CALC'!I$2,'TALLY BOX DUMP'!172:172)+AA173)</f>
        <v/>
      </c>
      <c r="J173" s="21" t="str">
        <f>IF($D173="","",SUMIF('TALLY BOX DUMP'!$1:$1,'ACH CALC'!J$2,'TALLY BOX DUMP'!172:172)+AB173)</f>
        <v/>
      </c>
      <c r="K173" s="21" t="str">
        <f>IF($D173="","",SUMIF('TALLY BOX DUMP'!$1:$1,'ACH CALC'!K$2,'TALLY BOX DUMP'!172:172)+AC173)</f>
        <v/>
      </c>
      <c r="L173" s="21" t="str">
        <f>IF($D173="","",SUMIF('TALLY BOX DUMP'!$1:$1,'ACH CALC'!L$2,'TALLY BOX DUMP'!172:172))</f>
        <v/>
      </c>
      <c r="M173" s="21" t="str">
        <f>IF($D173="","",SUMIF('TALLY BOX DUMP'!$1:$1,'ACH CALC'!M$2,'TALLY BOX DUMP'!172:172)+AD173)</f>
        <v/>
      </c>
      <c r="N173" s="21" t="str">
        <f>IF($D173="","",SUMIF('TALLY BOX DUMP'!$1:$1,'ACH CALC'!N$2,'TALLY BOX DUMP'!172:172))</f>
        <v/>
      </c>
      <c r="O173" s="21" t="str">
        <f>IF($D173="","",SUMIF('TALLY BOX DUMP'!$1:$1,'ACH CALC'!O$2,'TALLY BOX DUMP'!172:172))</f>
        <v/>
      </c>
      <c r="P173" s="21" t="str">
        <f>IF($D173="","",SUMIF('TALLY BOX DUMP'!$1:$1,'ACH CALC'!P$2,'TALLY BOX DUMP'!172:172))</f>
        <v/>
      </c>
      <c r="Q173" s="21" t="str">
        <f t="shared" si="7"/>
        <v/>
      </c>
      <c r="R173" s="21" t="str">
        <f>IF($D173="","",SUMIF('TALLY BOX DUMP'!$1:$1,'ACH CALC'!R$2,'TALLY BOX DUMP'!172:172))</f>
        <v/>
      </c>
      <c r="S173" s="21" t="str">
        <f>IF($D173="","",SUMIF('TALLY BOX DUMP'!$1:$1,'ACH CALC'!S$2,'TALLY BOX DUMP'!172:172))</f>
        <v/>
      </c>
      <c r="T173" s="21" t="str">
        <f>IF($D173="","",SUMIF('TALLY BOX DUMP'!$1:$1,'ACH CALC'!T$2,'TALLY BOX DUMP'!172:172))</f>
        <v/>
      </c>
      <c r="U173" s="21" t="str">
        <f>IF($D173="","",SUMIF('TALLY BOX DUMP'!$1:$1,'ACH CALC'!U$2,'TALLY BOX DUMP'!172:172))</f>
        <v/>
      </c>
      <c r="V173" s="21" t="str">
        <f>IF($D173="","",SUMIF('TALLY BOX DUMP'!$1:$1,'ACH CALC'!V$2,'TALLY BOX DUMP'!172:172))</f>
        <v/>
      </c>
      <c r="W173" s="21" t="str">
        <f>IF($D173="","",SUMIF('TALLY BOX DUMP'!$1:$1,'ACH CALC'!W$2,'TALLY BOX DUMP'!172:172))</f>
        <v/>
      </c>
      <c r="X173" s="21" t="str">
        <f>IF($D173="","",SUMIF('TALLY BOX DUMP'!$1:$1,'ACH CALC'!X$2,'TALLY BOX DUMP'!172:172))</f>
        <v/>
      </c>
      <c r="Y173" s="21" t="str">
        <f>IF($D173="","",SUMIF('TALLY BOX DUMP'!$1:$1,'ACH CALC'!Y$2,'TALLY BOX DUMP'!172:172))</f>
        <v/>
      </c>
      <c r="Z173" s="21" t="str">
        <f>IF($D173="","",SUMIF('TALLY BOX DUMP'!$1:$1,'ACH CALC'!Z$2,'TALLY BOX DUMP'!172:172)+AE173)</f>
        <v/>
      </c>
      <c r="AA173" s="21" t="str">
        <f>IF($D173="","",SUMIF('TALLY BOX DUMP'!$1:$1,'ACH CALC'!AA$2,'TALLY BOX DUMP'!172:172))</f>
        <v/>
      </c>
      <c r="AB173" s="21" t="str">
        <f>IF($D173="","",SUMIF('TALLY BOX DUMP'!$1:$1,'ACH CALC'!AB$2,'TALLY BOX DUMP'!172:172))</f>
        <v/>
      </c>
      <c r="AC173" s="21" t="str">
        <f>IF($D173="","",SUMIF('TALLY BOX DUMP'!$1:$1,'ACH CALC'!AC$2,'TALLY BOX DUMP'!172:172))</f>
        <v/>
      </c>
      <c r="AD173" s="21" t="str">
        <f>IF($D173="","",SUMIF('TALLY BOX DUMP'!$1:$1,'ACH CALC'!AD$2,'TALLY BOX DUMP'!172:172))</f>
        <v/>
      </c>
      <c r="AE173" s="21" t="str">
        <f>IF($D173="","",SUMIF('TALLY BOX DUMP'!$1:$1,'ACH CALC'!AE$2,'TALLY BOX DUMP'!172:172))</f>
        <v/>
      </c>
      <c r="AF173" s="21" t="str">
        <f>IF($D173="","",SUMIF('TALLY BOX DUMP'!$1:$1,'ACH CALC'!AF$2,'TALLY BOX DUMP'!172:172))</f>
        <v/>
      </c>
      <c r="AG173" s="21" t="str">
        <f>IF($D173="","",SUMIF('TALLY BOX DUMP'!$1:$1,'ACH CALC'!AG$2,'TALLY BOX DUMP'!172:172))</f>
        <v/>
      </c>
      <c r="AH173" s="21" t="str">
        <f>IF($D173="","",SUMIF('TALLY BOX DUMP'!$1:$1,'ACH CALC'!AH$2,'TALLY BOX DUMP'!172:172))</f>
        <v/>
      </c>
      <c r="AI173" s="21" t="str">
        <f>IF($D173="","",SUMIF('TALLY BOX DUMP'!$1:$1,'ACH CALC'!AI$2,'TALLY BOX DUMP'!172:172))</f>
        <v/>
      </c>
      <c r="AJ173" s="21" t="str">
        <f>IF($D173="","",SUMIF('TALLY BOX DUMP'!$1:$1,'ACH CALC'!AJ$2,'TALLY BOX DUMP'!172:172))</f>
        <v/>
      </c>
      <c r="AK173" s="21" t="str">
        <f>IF($D173="","",SUMIF('TALLY BOX DUMP'!$1:$1,'ACH CALC'!AK$2,'TALLY BOX DUMP'!172:172))</f>
        <v/>
      </c>
      <c r="AL173" s="21" t="str">
        <f>IF($D173="","",ROUND(SUMIF('TALLY KG DUMP'!$1:$1,'ACH CALC'!AL$2,'TALLY KG DUMP'!172:172)/30,1))</f>
        <v/>
      </c>
      <c r="AM173" s="21" t="str">
        <f>IF($D173="","",SUMIF('TALLY BOX DUMP'!$1:$1,'ACH CALC'!AM$2,'TALLY BOX DUMP'!172:172))</f>
        <v/>
      </c>
      <c r="AN173" s="21" t="str">
        <f>IF($D173="","",SUMIF('TALLY BOX DUMP'!$1:$1,'ACH CALC'!AN$2,'TALLY BOX DUMP'!172:172))</f>
        <v/>
      </c>
      <c r="AO173" s="21" t="str">
        <f>IF($D173="","",SUMIF('TALLY BOX DUMP'!$1:$1,'ACH CALC'!AO$2,'TALLY BOX DUMP'!172:172))</f>
        <v/>
      </c>
      <c r="AP173" s="21" t="str">
        <f>IF($D173="","",SUMIF('TALLY BOX DUMP'!$1:$1,'ACH CALC'!AP$2,'TALLY BOX DUMP'!172:172))</f>
        <v/>
      </c>
      <c r="AQ173" s="21" t="str">
        <f>IF($D173="","",ROUND(SUMIF('TALLY KG DUMP'!$1:$1,'ACH CALC'!AQ$2,'TALLY KG DUMP'!172:172)/30,1))</f>
        <v/>
      </c>
      <c r="AR173" s="21" t="str">
        <f>IF($D173="","",SUMIF('TALLY BOX DUMP'!$1:$1,'ACH CALC'!AR$2,'TALLY BOX DUMP'!172:172))</f>
        <v/>
      </c>
      <c r="AS173" s="21" t="str">
        <f>IF($D173="","",SUMIF('TALLY BOX DUMP'!$1:$1,'ACH CALC'!AS$2,'TALLY BOX DUMP'!172:172))</f>
        <v/>
      </c>
      <c r="AT173" s="21" t="str">
        <f>IF($D173="","",SUMIF('TALLY BOX DUMP'!$1:$1,'ACH CALC'!AT$2,'TALLY BOX DUMP'!172:172))</f>
        <v/>
      </c>
      <c r="AU173" s="21" t="str">
        <f>IF($D173="","",SUMIF('TALLY BOX DUMP'!$1:$1,'ACH CALC'!AU$2,'TALLY BOX DUMP'!172:172))</f>
        <v/>
      </c>
      <c r="AV173" s="21" t="str">
        <f>IF($D173="","",SUMIF('TALLY BOX DUMP'!$1:$1,'ACH CALC'!AV$2,'TALLY BOX DUMP'!172:172))</f>
        <v/>
      </c>
      <c r="AW173" s="21" t="str">
        <f>IF($D173="","",SUMIF('TALLY BOX DUMP'!$1:$1,'ACH CALC'!AW$2,'TALLY BOX DUMP'!172:172))</f>
        <v/>
      </c>
      <c r="AX173" s="21" t="str">
        <f>IF($D173="","",SUMIF('TALLY BOX DUMP'!$1:$1,'ACH CALC'!AX$2,'TALLY BOX DUMP'!172:172))</f>
        <v/>
      </c>
      <c r="AY173" s="21" t="str">
        <f>IF($D173="","",SUMIF('TALLY BOX DUMP'!$1:$1,'ACH CALC'!AY$2,'TALLY BOX DUMP'!172:172))</f>
        <v/>
      </c>
      <c r="AZ173" s="21" t="str">
        <f>IF($D173="","",SUMIF('TALLY BOX DUMP'!$1:$1,'ACH CALC'!AZ$2,'TALLY BOX DUMP'!172:172))</f>
        <v/>
      </c>
      <c r="BA173" s="69">
        <f>(SUMIF('TALLY KG DUMP'!$2:$2,"Qty",'TALLY KG DUMP'!172:172)/1000)-(SUMIF('TALLY KG DUMP'!$1:$1,"GL",'TALLY KG DUMP'!172:172)/1000)</f>
        <v>0</v>
      </c>
      <c r="BB173" s="21" t="b">
        <f t="shared" si="8"/>
        <v>0</v>
      </c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</row>
    <row r="174" spans="2:75" x14ac:dyDescent="0.25">
      <c r="B174" s="21"/>
      <c r="C174" s="21"/>
      <c r="D174" s="21"/>
      <c r="E174" s="21" t="str">
        <f>IF($D174="","",(SUMIF('TALLY KG DUMP'!$2:$2,"Qty",'TALLY KG DUMP'!173:173)/1000)-(SUMIF('TALLY KG DUMP'!$1:$1,"GL",'TALLY KG DUMP'!173:173)/1000))</f>
        <v/>
      </c>
      <c r="F174" s="21" t="str">
        <f>IF($D174="","",(SUMIF('TALLY KG DUMP'!$1:$1,'ACH CALC'!F$2,'TALLY KG DUMP'!173:173)/1000))</f>
        <v/>
      </c>
      <c r="G174" s="21" t="str">
        <f>IF($D174="","",SUMIF('TALLY BOX DUMP'!$1:$1,'ACH CALC'!G$2,'TALLY BOX DUMP'!173:173)+Y174)</f>
        <v/>
      </c>
      <c r="H174" s="21" t="str">
        <f t="shared" si="6"/>
        <v/>
      </c>
      <c r="I174" s="21" t="str">
        <f>IF($D174="","",SUMIF('TALLY BOX DUMP'!$1:$1,'ACH CALC'!I$2,'TALLY BOX DUMP'!173:173)+AA174)</f>
        <v/>
      </c>
      <c r="J174" s="21" t="str">
        <f>IF($D174="","",SUMIF('TALLY BOX DUMP'!$1:$1,'ACH CALC'!J$2,'TALLY BOX DUMP'!173:173)+AB174)</f>
        <v/>
      </c>
      <c r="K174" s="21" t="str">
        <f>IF($D174="","",SUMIF('TALLY BOX DUMP'!$1:$1,'ACH CALC'!K$2,'TALLY BOX DUMP'!173:173)+AC174)</f>
        <v/>
      </c>
      <c r="L174" s="21" t="str">
        <f>IF($D174="","",SUMIF('TALLY BOX DUMP'!$1:$1,'ACH CALC'!L$2,'TALLY BOX DUMP'!173:173))</f>
        <v/>
      </c>
      <c r="M174" s="21" t="str">
        <f>IF($D174="","",SUMIF('TALLY BOX DUMP'!$1:$1,'ACH CALC'!M$2,'TALLY BOX DUMP'!173:173)+AD174)</f>
        <v/>
      </c>
      <c r="N174" s="21" t="str">
        <f>IF($D174="","",SUMIF('TALLY BOX DUMP'!$1:$1,'ACH CALC'!N$2,'TALLY BOX DUMP'!173:173))</f>
        <v/>
      </c>
      <c r="O174" s="21" t="str">
        <f>IF($D174="","",SUMIF('TALLY BOX DUMP'!$1:$1,'ACH CALC'!O$2,'TALLY BOX DUMP'!173:173))</f>
        <v/>
      </c>
      <c r="P174" s="21" t="str">
        <f>IF($D174="","",SUMIF('TALLY BOX DUMP'!$1:$1,'ACH CALC'!P$2,'TALLY BOX DUMP'!173:173))</f>
        <v/>
      </c>
      <c r="Q174" s="21" t="str">
        <f t="shared" si="7"/>
        <v/>
      </c>
      <c r="R174" s="21" t="str">
        <f>IF($D174="","",SUMIF('TALLY BOX DUMP'!$1:$1,'ACH CALC'!R$2,'TALLY BOX DUMP'!173:173))</f>
        <v/>
      </c>
      <c r="S174" s="21" t="str">
        <f>IF($D174="","",SUMIF('TALLY BOX DUMP'!$1:$1,'ACH CALC'!S$2,'TALLY BOX DUMP'!173:173))</f>
        <v/>
      </c>
      <c r="T174" s="21" t="str">
        <f>IF($D174="","",SUMIF('TALLY BOX DUMP'!$1:$1,'ACH CALC'!T$2,'TALLY BOX DUMP'!173:173))</f>
        <v/>
      </c>
      <c r="U174" s="21" t="str">
        <f>IF($D174="","",SUMIF('TALLY BOX DUMP'!$1:$1,'ACH CALC'!U$2,'TALLY BOX DUMP'!173:173))</f>
        <v/>
      </c>
      <c r="V174" s="21" t="str">
        <f>IF($D174="","",SUMIF('TALLY BOX DUMP'!$1:$1,'ACH CALC'!V$2,'TALLY BOX DUMP'!173:173))</f>
        <v/>
      </c>
      <c r="W174" s="21" t="str">
        <f>IF($D174="","",SUMIF('TALLY BOX DUMP'!$1:$1,'ACH CALC'!W$2,'TALLY BOX DUMP'!173:173))</f>
        <v/>
      </c>
      <c r="X174" s="21" t="str">
        <f>IF($D174="","",SUMIF('TALLY BOX DUMP'!$1:$1,'ACH CALC'!X$2,'TALLY BOX DUMP'!173:173))</f>
        <v/>
      </c>
      <c r="Y174" s="21" t="str">
        <f>IF($D174="","",SUMIF('TALLY BOX DUMP'!$1:$1,'ACH CALC'!Y$2,'TALLY BOX DUMP'!173:173))</f>
        <v/>
      </c>
      <c r="Z174" s="21" t="str">
        <f>IF($D174="","",SUMIF('TALLY BOX DUMP'!$1:$1,'ACH CALC'!Z$2,'TALLY BOX DUMP'!173:173)+AE174)</f>
        <v/>
      </c>
      <c r="AA174" s="21" t="str">
        <f>IF($D174="","",SUMIF('TALLY BOX DUMP'!$1:$1,'ACH CALC'!AA$2,'TALLY BOX DUMP'!173:173))</f>
        <v/>
      </c>
      <c r="AB174" s="21" t="str">
        <f>IF($D174="","",SUMIF('TALLY BOX DUMP'!$1:$1,'ACH CALC'!AB$2,'TALLY BOX DUMP'!173:173))</f>
        <v/>
      </c>
      <c r="AC174" s="21" t="str">
        <f>IF($D174="","",SUMIF('TALLY BOX DUMP'!$1:$1,'ACH CALC'!AC$2,'TALLY BOX DUMP'!173:173))</f>
        <v/>
      </c>
      <c r="AD174" s="21" t="str">
        <f>IF($D174="","",SUMIF('TALLY BOX DUMP'!$1:$1,'ACH CALC'!AD$2,'TALLY BOX DUMP'!173:173))</f>
        <v/>
      </c>
      <c r="AE174" s="21" t="str">
        <f>IF($D174="","",SUMIF('TALLY BOX DUMP'!$1:$1,'ACH CALC'!AE$2,'TALLY BOX DUMP'!173:173))</f>
        <v/>
      </c>
      <c r="AF174" s="21" t="str">
        <f>IF($D174="","",SUMIF('TALLY BOX DUMP'!$1:$1,'ACH CALC'!AF$2,'TALLY BOX DUMP'!173:173))</f>
        <v/>
      </c>
      <c r="AG174" s="21" t="str">
        <f>IF($D174="","",SUMIF('TALLY BOX DUMP'!$1:$1,'ACH CALC'!AG$2,'TALLY BOX DUMP'!173:173))</f>
        <v/>
      </c>
      <c r="AH174" s="21" t="str">
        <f>IF($D174="","",SUMIF('TALLY BOX DUMP'!$1:$1,'ACH CALC'!AH$2,'TALLY BOX DUMP'!173:173))</f>
        <v/>
      </c>
      <c r="AI174" s="21" t="str">
        <f>IF($D174="","",SUMIF('TALLY BOX DUMP'!$1:$1,'ACH CALC'!AI$2,'TALLY BOX DUMP'!173:173))</f>
        <v/>
      </c>
      <c r="AJ174" s="21" t="str">
        <f>IF($D174="","",SUMIF('TALLY BOX DUMP'!$1:$1,'ACH CALC'!AJ$2,'TALLY BOX DUMP'!173:173))</f>
        <v/>
      </c>
      <c r="AK174" s="21" t="str">
        <f>IF($D174="","",SUMIF('TALLY BOX DUMP'!$1:$1,'ACH CALC'!AK$2,'TALLY BOX DUMP'!173:173))</f>
        <v/>
      </c>
      <c r="AL174" s="21" t="str">
        <f>IF($D174="","",ROUND(SUMIF('TALLY KG DUMP'!$1:$1,'ACH CALC'!AL$2,'TALLY KG DUMP'!173:173)/30,1))</f>
        <v/>
      </c>
      <c r="AM174" s="21" t="str">
        <f>IF($D174="","",SUMIF('TALLY BOX DUMP'!$1:$1,'ACH CALC'!AM$2,'TALLY BOX DUMP'!173:173))</f>
        <v/>
      </c>
      <c r="AN174" s="21" t="str">
        <f>IF($D174="","",SUMIF('TALLY BOX DUMP'!$1:$1,'ACH CALC'!AN$2,'TALLY BOX DUMP'!173:173))</f>
        <v/>
      </c>
      <c r="AO174" s="21" t="str">
        <f>IF($D174="","",SUMIF('TALLY BOX DUMP'!$1:$1,'ACH CALC'!AO$2,'TALLY BOX DUMP'!173:173))</f>
        <v/>
      </c>
      <c r="AP174" s="21" t="str">
        <f>IF($D174="","",SUMIF('TALLY BOX DUMP'!$1:$1,'ACH CALC'!AP$2,'TALLY BOX DUMP'!173:173))</f>
        <v/>
      </c>
      <c r="AQ174" s="21" t="str">
        <f>IF($D174="","",ROUND(SUMIF('TALLY KG DUMP'!$1:$1,'ACH CALC'!AQ$2,'TALLY KG DUMP'!173:173)/30,1))</f>
        <v/>
      </c>
      <c r="AR174" s="21" t="str">
        <f>IF($D174="","",SUMIF('TALLY BOX DUMP'!$1:$1,'ACH CALC'!AR$2,'TALLY BOX DUMP'!173:173))</f>
        <v/>
      </c>
      <c r="AS174" s="21" t="str">
        <f>IF($D174="","",SUMIF('TALLY BOX DUMP'!$1:$1,'ACH CALC'!AS$2,'TALLY BOX DUMP'!173:173))</f>
        <v/>
      </c>
      <c r="AT174" s="21" t="str">
        <f>IF($D174="","",SUMIF('TALLY BOX DUMP'!$1:$1,'ACH CALC'!AT$2,'TALLY BOX DUMP'!173:173))</f>
        <v/>
      </c>
      <c r="AU174" s="21" t="str">
        <f>IF($D174="","",SUMIF('TALLY BOX DUMP'!$1:$1,'ACH CALC'!AU$2,'TALLY BOX DUMP'!173:173))</f>
        <v/>
      </c>
      <c r="AV174" s="21" t="str">
        <f>IF($D174="","",SUMIF('TALLY BOX DUMP'!$1:$1,'ACH CALC'!AV$2,'TALLY BOX DUMP'!173:173))</f>
        <v/>
      </c>
      <c r="AW174" s="21" t="str">
        <f>IF($D174="","",SUMIF('TALLY BOX DUMP'!$1:$1,'ACH CALC'!AW$2,'TALLY BOX DUMP'!173:173))</f>
        <v/>
      </c>
      <c r="AX174" s="21" t="str">
        <f>IF($D174="","",SUMIF('TALLY BOX DUMP'!$1:$1,'ACH CALC'!AX$2,'TALLY BOX DUMP'!173:173))</f>
        <v/>
      </c>
      <c r="AY174" s="21" t="str">
        <f>IF($D174="","",SUMIF('TALLY BOX DUMP'!$1:$1,'ACH CALC'!AY$2,'TALLY BOX DUMP'!173:173))</f>
        <v/>
      </c>
      <c r="AZ174" s="21" t="str">
        <f>IF($D174="","",SUMIF('TALLY BOX DUMP'!$1:$1,'ACH CALC'!AZ$2,'TALLY BOX DUMP'!173:173))</f>
        <v/>
      </c>
      <c r="BA174" s="69">
        <f>(SUMIF('TALLY KG DUMP'!$2:$2,"Qty",'TALLY KG DUMP'!173:173)/1000)-(SUMIF('TALLY KG DUMP'!$1:$1,"GL",'TALLY KG DUMP'!173:173)/1000)</f>
        <v>0</v>
      </c>
      <c r="BB174" s="21" t="b">
        <f t="shared" si="8"/>
        <v>0</v>
      </c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</row>
    <row r="175" spans="2:75" x14ac:dyDescent="0.25">
      <c r="B175" s="21"/>
      <c r="C175" s="21"/>
      <c r="D175" s="21"/>
      <c r="E175" s="21" t="str">
        <f>IF($D175="","",(SUMIF('TALLY KG DUMP'!$2:$2,"Qty",'TALLY KG DUMP'!174:174)/1000)-(SUMIF('TALLY KG DUMP'!$1:$1,"GL",'TALLY KG DUMP'!174:174)/1000))</f>
        <v/>
      </c>
      <c r="F175" s="21" t="str">
        <f>IF($D175="","",(SUMIF('TALLY KG DUMP'!$1:$1,'ACH CALC'!F$2,'TALLY KG DUMP'!174:174)/1000))</f>
        <v/>
      </c>
      <c r="G175" s="21" t="str">
        <f>IF($D175="","",SUMIF('TALLY BOX DUMP'!$1:$1,'ACH CALC'!G$2,'TALLY BOX DUMP'!174:174)+Y175)</f>
        <v/>
      </c>
      <c r="H175" s="21" t="str">
        <f t="shared" si="6"/>
        <v/>
      </c>
      <c r="I175" s="21" t="str">
        <f>IF($D175="","",SUMIF('TALLY BOX DUMP'!$1:$1,'ACH CALC'!I$2,'TALLY BOX DUMP'!174:174)+AA175)</f>
        <v/>
      </c>
      <c r="J175" s="21" t="str">
        <f>IF($D175="","",SUMIF('TALLY BOX DUMP'!$1:$1,'ACH CALC'!J$2,'TALLY BOX DUMP'!174:174)+AB175)</f>
        <v/>
      </c>
      <c r="K175" s="21" t="str">
        <f>IF($D175="","",SUMIF('TALLY BOX DUMP'!$1:$1,'ACH CALC'!K$2,'TALLY BOX DUMP'!174:174)+AC175)</f>
        <v/>
      </c>
      <c r="L175" s="21" t="str">
        <f>IF($D175="","",SUMIF('TALLY BOX DUMP'!$1:$1,'ACH CALC'!L$2,'TALLY BOX DUMP'!174:174))</f>
        <v/>
      </c>
      <c r="M175" s="21" t="str">
        <f>IF($D175="","",SUMIF('TALLY BOX DUMP'!$1:$1,'ACH CALC'!M$2,'TALLY BOX DUMP'!174:174)+AD175)</f>
        <v/>
      </c>
      <c r="N175" s="21" t="str">
        <f>IF($D175="","",SUMIF('TALLY BOX DUMP'!$1:$1,'ACH CALC'!N$2,'TALLY BOX DUMP'!174:174))</f>
        <v/>
      </c>
      <c r="O175" s="21" t="str">
        <f>IF($D175="","",SUMIF('TALLY BOX DUMP'!$1:$1,'ACH CALC'!O$2,'TALLY BOX DUMP'!174:174))</f>
        <v/>
      </c>
      <c r="P175" s="21" t="str">
        <f>IF($D175="","",SUMIF('TALLY BOX DUMP'!$1:$1,'ACH CALC'!P$2,'TALLY BOX DUMP'!174:174))</f>
        <v/>
      </c>
      <c r="Q175" s="21" t="str">
        <f t="shared" si="7"/>
        <v/>
      </c>
      <c r="R175" s="21" t="str">
        <f>IF($D175="","",SUMIF('TALLY BOX DUMP'!$1:$1,'ACH CALC'!R$2,'TALLY BOX DUMP'!174:174))</f>
        <v/>
      </c>
      <c r="S175" s="21" t="str">
        <f>IF($D175="","",SUMIF('TALLY BOX DUMP'!$1:$1,'ACH CALC'!S$2,'TALLY BOX DUMP'!174:174))</f>
        <v/>
      </c>
      <c r="T175" s="21" t="str">
        <f>IF($D175="","",SUMIF('TALLY BOX DUMP'!$1:$1,'ACH CALC'!T$2,'TALLY BOX DUMP'!174:174))</f>
        <v/>
      </c>
      <c r="U175" s="21" t="str">
        <f>IF($D175="","",SUMIF('TALLY BOX DUMP'!$1:$1,'ACH CALC'!U$2,'TALLY BOX DUMP'!174:174))</f>
        <v/>
      </c>
      <c r="V175" s="21" t="str">
        <f>IF($D175="","",SUMIF('TALLY BOX DUMP'!$1:$1,'ACH CALC'!V$2,'TALLY BOX DUMP'!174:174))</f>
        <v/>
      </c>
      <c r="W175" s="21" t="str">
        <f>IF($D175="","",SUMIF('TALLY BOX DUMP'!$1:$1,'ACH CALC'!W$2,'TALLY BOX DUMP'!174:174))</f>
        <v/>
      </c>
      <c r="X175" s="21" t="str">
        <f>IF($D175="","",SUMIF('TALLY BOX DUMP'!$1:$1,'ACH CALC'!X$2,'TALLY BOX DUMP'!174:174))</f>
        <v/>
      </c>
      <c r="Y175" s="21" t="str">
        <f>IF($D175="","",SUMIF('TALLY BOX DUMP'!$1:$1,'ACH CALC'!Y$2,'TALLY BOX DUMP'!174:174))</f>
        <v/>
      </c>
      <c r="Z175" s="21" t="str">
        <f>IF($D175="","",SUMIF('TALLY BOX DUMP'!$1:$1,'ACH CALC'!Z$2,'TALLY BOX DUMP'!174:174)+AE175)</f>
        <v/>
      </c>
      <c r="AA175" s="21" t="str">
        <f>IF($D175="","",SUMIF('TALLY BOX DUMP'!$1:$1,'ACH CALC'!AA$2,'TALLY BOX DUMP'!174:174))</f>
        <v/>
      </c>
      <c r="AB175" s="21" t="str">
        <f>IF($D175="","",SUMIF('TALLY BOX DUMP'!$1:$1,'ACH CALC'!AB$2,'TALLY BOX DUMP'!174:174))</f>
        <v/>
      </c>
      <c r="AC175" s="21" t="str">
        <f>IF($D175="","",SUMIF('TALLY BOX DUMP'!$1:$1,'ACH CALC'!AC$2,'TALLY BOX DUMP'!174:174))</f>
        <v/>
      </c>
      <c r="AD175" s="21" t="str">
        <f>IF($D175="","",SUMIF('TALLY BOX DUMP'!$1:$1,'ACH CALC'!AD$2,'TALLY BOX DUMP'!174:174))</f>
        <v/>
      </c>
      <c r="AE175" s="21" t="str">
        <f>IF($D175="","",SUMIF('TALLY BOX DUMP'!$1:$1,'ACH CALC'!AE$2,'TALLY BOX DUMP'!174:174))</f>
        <v/>
      </c>
      <c r="AF175" s="21" t="str">
        <f>IF($D175="","",SUMIF('TALLY BOX DUMP'!$1:$1,'ACH CALC'!AF$2,'TALLY BOX DUMP'!174:174))</f>
        <v/>
      </c>
      <c r="AG175" s="21" t="str">
        <f>IF($D175="","",SUMIF('TALLY BOX DUMP'!$1:$1,'ACH CALC'!AG$2,'TALLY BOX DUMP'!174:174))</f>
        <v/>
      </c>
      <c r="AH175" s="21" t="str">
        <f>IF($D175="","",SUMIF('TALLY BOX DUMP'!$1:$1,'ACH CALC'!AH$2,'TALLY BOX DUMP'!174:174))</f>
        <v/>
      </c>
      <c r="AI175" s="21" t="str">
        <f>IF($D175="","",SUMIF('TALLY BOX DUMP'!$1:$1,'ACH CALC'!AI$2,'TALLY BOX DUMP'!174:174))</f>
        <v/>
      </c>
      <c r="AJ175" s="21" t="str">
        <f>IF($D175="","",SUMIF('TALLY BOX DUMP'!$1:$1,'ACH CALC'!AJ$2,'TALLY BOX DUMP'!174:174))</f>
        <v/>
      </c>
      <c r="AK175" s="21" t="str">
        <f>IF($D175="","",SUMIF('TALLY BOX DUMP'!$1:$1,'ACH CALC'!AK$2,'TALLY BOX DUMP'!174:174))</f>
        <v/>
      </c>
      <c r="AL175" s="21" t="str">
        <f>IF($D175="","",ROUND(SUMIF('TALLY KG DUMP'!$1:$1,'ACH CALC'!AL$2,'TALLY KG DUMP'!174:174)/30,1))</f>
        <v/>
      </c>
      <c r="AM175" s="21" t="str">
        <f>IF($D175="","",SUMIF('TALLY BOX DUMP'!$1:$1,'ACH CALC'!AM$2,'TALLY BOX DUMP'!174:174))</f>
        <v/>
      </c>
      <c r="AN175" s="21" t="str">
        <f>IF($D175="","",SUMIF('TALLY BOX DUMP'!$1:$1,'ACH CALC'!AN$2,'TALLY BOX DUMP'!174:174))</f>
        <v/>
      </c>
      <c r="AO175" s="21" t="str">
        <f>IF($D175="","",SUMIF('TALLY BOX DUMP'!$1:$1,'ACH CALC'!AO$2,'TALLY BOX DUMP'!174:174))</f>
        <v/>
      </c>
      <c r="AP175" s="21" t="str">
        <f>IF($D175="","",SUMIF('TALLY BOX DUMP'!$1:$1,'ACH CALC'!AP$2,'TALLY BOX DUMP'!174:174))</f>
        <v/>
      </c>
      <c r="AQ175" s="21" t="str">
        <f>IF($D175="","",ROUND(SUMIF('TALLY KG DUMP'!$1:$1,'ACH CALC'!AQ$2,'TALLY KG DUMP'!174:174)/30,1))</f>
        <v/>
      </c>
      <c r="AR175" s="21" t="str">
        <f>IF($D175="","",SUMIF('TALLY BOX DUMP'!$1:$1,'ACH CALC'!AR$2,'TALLY BOX DUMP'!174:174))</f>
        <v/>
      </c>
      <c r="AS175" s="21" t="str">
        <f>IF($D175="","",SUMIF('TALLY BOX DUMP'!$1:$1,'ACH CALC'!AS$2,'TALLY BOX DUMP'!174:174))</f>
        <v/>
      </c>
      <c r="AT175" s="21" t="str">
        <f>IF($D175="","",SUMIF('TALLY BOX DUMP'!$1:$1,'ACH CALC'!AT$2,'TALLY BOX DUMP'!174:174))</f>
        <v/>
      </c>
      <c r="AU175" s="21" t="str">
        <f>IF($D175="","",SUMIF('TALLY BOX DUMP'!$1:$1,'ACH CALC'!AU$2,'TALLY BOX DUMP'!174:174))</f>
        <v/>
      </c>
      <c r="AV175" s="21" t="str">
        <f>IF($D175="","",SUMIF('TALLY BOX DUMP'!$1:$1,'ACH CALC'!AV$2,'TALLY BOX DUMP'!174:174))</f>
        <v/>
      </c>
      <c r="AW175" s="21" t="str">
        <f>IF($D175="","",SUMIF('TALLY BOX DUMP'!$1:$1,'ACH CALC'!AW$2,'TALLY BOX DUMP'!174:174))</f>
        <v/>
      </c>
      <c r="AX175" s="21" t="str">
        <f>IF($D175="","",SUMIF('TALLY BOX DUMP'!$1:$1,'ACH CALC'!AX$2,'TALLY BOX DUMP'!174:174))</f>
        <v/>
      </c>
      <c r="AY175" s="21" t="str">
        <f>IF($D175="","",SUMIF('TALLY BOX DUMP'!$1:$1,'ACH CALC'!AY$2,'TALLY BOX DUMP'!174:174))</f>
        <v/>
      </c>
      <c r="AZ175" s="21" t="str">
        <f>IF($D175="","",SUMIF('TALLY BOX DUMP'!$1:$1,'ACH CALC'!AZ$2,'TALLY BOX DUMP'!174:174))</f>
        <v/>
      </c>
      <c r="BA175" s="69">
        <f>(SUMIF('TALLY KG DUMP'!$2:$2,"Qty",'TALLY KG DUMP'!174:174)/1000)-(SUMIF('TALLY KG DUMP'!$1:$1,"GL",'TALLY KG DUMP'!174:174)/1000)</f>
        <v>0</v>
      </c>
      <c r="BB175" s="21" t="b">
        <f t="shared" si="8"/>
        <v>0</v>
      </c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</row>
    <row r="176" spans="2:75" x14ac:dyDescent="0.25">
      <c r="B176" s="21"/>
      <c r="C176" s="21"/>
      <c r="D176" s="21"/>
      <c r="E176" s="21" t="str">
        <f>IF($D176="","",(SUMIF('TALLY KG DUMP'!$2:$2,"Qty",'TALLY KG DUMP'!175:175)/1000)-(SUMIF('TALLY KG DUMP'!$1:$1,"GL",'TALLY KG DUMP'!175:175)/1000))</f>
        <v/>
      </c>
      <c r="F176" s="21" t="str">
        <f>IF($D176="","",(SUMIF('TALLY KG DUMP'!$1:$1,'ACH CALC'!F$2,'TALLY KG DUMP'!175:175)/1000))</f>
        <v/>
      </c>
      <c r="G176" s="21" t="str">
        <f>IF($D176="","",SUMIF('TALLY BOX DUMP'!$1:$1,'ACH CALC'!G$2,'TALLY BOX DUMP'!175:175)+Y176)</f>
        <v/>
      </c>
      <c r="H176" s="21" t="str">
        <f t="shared" si="6"/>
        <v/>
      </c>
      <c r="I176" s="21" t="str">
        <f>IF($D176="","",SUMIF('TALLY BOX DUMP'!$1:$1,'ACH CALC'!I$2,'TALLY BOX DUMP'!175:175)+AA176)</f>
        <v/>
      </c>
      <c r="J176" s="21" t="str">
        <f>IF($D176="","",SUMIF('TALLY BOX DUMP'!$1:$1,'ACH CALC'!J$2,'TALLY BOX DUMP'!175:175)+AB176)</f>
        <v/>
      </c>
      <c r="K176" s="21" t="str">
        <f>IF($D176="","",SUMIF('TALLY BOX DUMP'!$1:$1,'ACH CALC'!K$2,'TALLY BOX DUMP'!175:175)+AC176)</f>
        <v/>
      </c>
      <c r="L176" s="21" t="str">
        <f>IF($D176="","",SUMIF('TALLY BOX DUMP'!$1:$1,'ACH CALC'!L$2,'TALLY BOX DUMP'!175:175))</f>
        <v/>
      </c>
      <c r="M176" s="21" t="str">
        <f>IF($D176="","",SUMIF('TALLY BOX DUMP'!$1:$1,'ACH CALC'!M$2,'TALLY BOX DUMP'!175:175)+AD176)</f>
        <v/>
      </c>
      <c r="N176" s="21" t="str">
        <f>IF($D176="","",SUMIF('TALLY BOX DUMP'!$1:$1,'ACH CALC'!N$2,'TALLY BOX DUMP'!175:175))</f>
        <v/>
      </c>
      <c r="O176" s="21" t="str">
        <f>IF($D176="","",SUMIF('TALLY BOX DUMP'!$1:$1,'ACH CALC'!O$2,'TALLY BOX DUMP'!175:175))</f>
        <v/>
      </c>
      <c r="P176" s="21" t="str">
        <f>IF($D176="","",SUMIF('TALLY BOX DUMP'!$1:$1,'ACH CALC'!P$2,'TALLY BOX DUMP'!175:175))</f>
        <v/>
      </c>
      <c r="Q176" s="21" t="str">
        <f t="shared" si="7"/>
        <v/>
      </c>
      <c r="R176" s="21" t="str">
        <f>IF($D176="","",SUMIF('TALLY BOX DUMP'!$1:$1,'ACH CALC'!R$2,'TALLY BOX DUMP'!175:175))</f>
        <v/>
      </c>
      <c r="S176" s="21" t="str">
        <f>IF($D176="","",SUMIF('TALLY BOX DUMP'!$1:$1,'ACH CALC'!S$2,'TALLY BOX DUMP'!175:175))</f>
        <v/>
      </c>
      <c r="T176" s="21" t="str">
        <f>IF($D176="","",SUMIF('TALLY BOX DUMP'!$1:$1,'ACH CALC'!T$2,'TALLY BOX DUMP'!175:175))</f>
        <v/>
      </c>
      <c r="U176" s="21" t="str">
        <f>IF($D176="","",SUMIF('TALLY BOX DUMP'!$1:$1,'ACH CALC'!U$2,'TALLY BOX DUMP'!175:175))</f>
        <v/>
      </c>
      <c r="V176" s="21" t="str">
        <f>IF($D176="","",SUMIF('TALLY BOX DUMP'!$1:$1,'ACH CALC'!V$2,'TALLY BOX DUMP'!175:175))</f>
        <v/>
      </c>
      <c r="W176" s="21" t="str">
        <f>IF($D176="","",SUMIF('TALLY BOX DUMP'!$1:$1,'ACH CALC'!W$2,'TALLY BOX DUMP'!175:175))</f>
        <v/>
      </c>
      <c r="X176" s="21" t="str">
        <f>IF($D176="","",SUMIF('TALLY BOX DUMP'!$1:$1,'ACH CALC'!X$2,'TALLY BOX DUMP'!175:175))</f>
        <v/>
      </c>
      <c r="Y176" s="21" t="str">
        <f>IF($D176="","",SUMIF('TALLY BOX DUMP'!$1:$1,'ACH CALC'!Y$2,'TALLY BOX DUMP'!175:175))</f>
        <v/>
      </c>
      <c r="Z176" s="21" t="str">
        <f>IF($D176="","",SUMIF('TALLY BOX DUMP'!$1:$1,'ACH CALC'!Z$2,'TALLY BOX DUMP'!175:175)+AE176)</f>
        <v/>
      </c>
      <c r="AA176" s="21" t="str">
        <f>IF($D176="","",SUMIF('TALLY BOX DUMP'!$1:$1,'ACH CALC'!AA$2,'TALLY BOX DUMP'!175:175))</f>
        <v/>
      </c>
      <c r="AB176" s="21" t="str">
        <f>IF($D176="","",SUMIF('TALLY BOX DUMP'!$1:$1,'ACH CALC'!AB$2,'TALLY BOX DUMP'!175:175))</f>
        <v/>
      </c>
      <c r="AC176" s="21" t="str">
        <f>IF($D176="","",SUMIF('TALLY BOX DUMP'!$1:$1,'ACH CALC'!AC$2,'TALLY BOX DUMP'!175:175))</f>
        <v/>
      </c>
      <c r="AD176" s="21" t="str">
        <f>IF($D176="","",SUMIF('TALLY BOX DUMP'!$1:$1,'ACH CALC'!AD$2,'TALLY BOX DUMP'!175:175))</f>
        <v/>
      </c>
      <c r="AE176" s="21" t="str">
        <f>IF($D176="","",SUMIF('TALLY BOX DUMP'!$1:$1,'ACH CALC'!AE$2,'TALLY BOX DUMP'!175:175))</f>
        <v/>
      </c>
      <c r="AF176" s="21" t="str">
        <f>IF($D176="","",SUMIF('TALLY BOX DUMP'!$1:$1,'ACH CALC'!AF$2,'TALLY BOX DUMP'!175:175))</f>
        <v/>
      </c>
      <c r="AG176" s="21" t="str">
        <f>IF($D176="","",SUMIF('TALLY BOX DUMP'!$1:$1,'ACH CALC'!AG$2,'TALLY BOX DUMP'!175:175))</f>
        <v/>
      </c>
      <c r="AH176" s="21" t="str">
        <f>IF($D176="","",SUMIF('TALLY BOX DUMP'!$1:$1,'ACH CALC'!AH$2,'TALLY BOX DUMP'!175:175))</f>
        <v/>
      </c>
      <c r="AI176" s="21" t="str">
        <f>IF($D176="","",SUMIF('TALLY BOX DUMP'!$1:$1,'ACH CALC'!AI$2,'TALLY BOX DUMP'!175:175))</f>
        <v/>
      </c>
      <c r="AJ176" s="21" t="str">
        <f>IF($D176="","",SUMIF('TALLY BOX DUMP'!$1:$1,'ACH CALC'!AJ$2,'TALLY BOX DUMP'!175:175))</f>
        <v/>
      </c>
      <c r="AK176" s="21" t="str">
        <f>IF($D176="","",SUMIF('TALLY BOX DUMP'!$1:$1,'ACH CALC'!AK$2,'TALLY BOX DUMP'!175:175))</f>
        <v/>
      </c>
      <c r="AL176" s="21" t="str">
        <f>IF($D176="","",ROUND(SUMIF('TALLY KG DUMP'!$1:$1,'ACH CALC'!AL$2,'TALLY KG DUMP'!175:175)/30,1))</f>
        <v/>
      </c>
      <c r="AM176" s="21" t="str">
        <f>IF($D176="","",SUMIF('TALLY BOX DUMP'!$1:$1,'ACH CALC'!AM$2,'TALLY BOX DUMP'!175:175))</f>
        <v/>
      </c>
      <c r="AN176" s="21" t="str">
        <f>IF($D176="","",SUMIF('TALLY BOX DUMP'!$1:$1,'ACH CALC'!AN$2,'TALLY BOX DUMP'!175:175))</f>
        <v/>
      </c>
      <c r="AO176" s="21" t="str">
        <f>IF($D176="","",SUMIF('TALLY BOX DUMP'!$1:$1,'ACH CALC'!AO$2,'TALLY BOX DUMP'!175:175))</f>
        <v/>
      </c>
      <c r="AP176" s="21" t="str">
        <f>IF($D176="","",SUMIF('TALLY BOX DUMP'!$1:$1,'ACH CALC'!AP$2,'TALLY BOX DUMP'!175:175))</f>
        <v/>
      </c>
      <c r="AQ176" s="21" t="str">
        <f>IF($D176="","",ROUND(SUMIF('TALLY KG DUMP'!$1:$1,'ACH CALC'!AQ$2,'TALLY KG DUMP'!175:175)/30,1))</f>
        <v/>
      </c>
      <c r="AR176" s="21" t="str">
        <f>IF($D176="","",SUMIF('TALLY BOX DUMP'!$1:$1,'ACH CALC'!AR$2,'TALLY BOX DUMP'!175:175))</f>
        <v/>
      </c>
      <c r="AS176" s="21" t="str">
        <f>IF($D176="","",SUMIF('TALLY BOX DUMP'!$1:$1,'ACH CALC'!AS$2,'TALLY BOX DUMP'!175:175))</f>
        <v/>
      </c>
      <c r="AT176" s="21" t="str">
        <f>IF($D176="","",SUMIF('TALLY BOX DUMP'!$1:$1,'ACH CALC'!AT$2,'TALLY BOX DUMP'!175:175))</f>
        <v/>
      </c>
      <c r="AU176" s="21" t="str">
        <f>IF($D176="","",SUMIF('TALLY BOX DUMP'!$1:$1,'ACH CALC'!AU$2,'TALLY BOX DUMP'!175:175))</f>
        <v/>
      </c>
      <c r="AV176" s="21" t="str">
        <f>IF($D176="","",SUMIF('TALLY BOX DUMP'!$1:$1,'ACH CALC'!AV$2,'TALLY BOX DUMP'!175:175))</f>
        <v/>
      </c>
      <c r="AW176" s="21" t="str">
        <f>IF($D176="","",SUMIF('TALLY BOX DUMP'!$1:$1,'ACH CALC'!AW$2,'TALLY BOX DUMP'!175:175))</f>
        <v/>
      </c>
      <c r="AX176" s="21" t="str">
        <f>IF($D176="","",SUMIF('TALLY BOX DUMP'!$1:$1,'ACH CALC'!AX$2,'TALLY BOX DUMP'!175:175))</f>
        <v/>
      </c>
      <c r="AY176" s="21" t="str">
        <f>IF($D176="","",SUMIF('TALLY BOX DUMP'!$1:$1,'ACH CALC'!AY$2,'TALLY BOX DUMP'!175:175))</f>
        <v/>
      </c>
      <c r="AZ176" s="21" t="str">
        <f>IF($D176="","",SUMIF('TALLY BOX DUMP'!$1:$1,'ACH CALC'!AZ$2,'TALLY BOX DUMP'!175:175))</f>
        <v/>
      </c>
      <c r="BA176" s="69">
        <f>(SUMIF('TALLY KG DUMP'!$2:$2,"Qty",'TALLY KG DUMP'!175:175)/1000)-(SUMIF('TALLY KG DUMP'!$1:$1,"GL",'TALLY KG DUMP'!175:175)/1000)</f>
        <v>0</v>
      </c>
      <c r="BB176" s="21" t="b">
        <f t="shared" si="8"/>
        <v>0</v>
      </c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</row>
    <row r="177" spans="2:75" x14ac:dyDescent="0.25">
      <c r="B177" s="21"/>
      <c r="C177" s="21"/>
      <c r="D177" s="21"/>
      <c r="E177" s="21" t="str">
        <f>IF($D177="","",(SUMIF('TALLY KG DUMP'!$2:$2,"Qty",'TALLY KG DUMP'!176:176)/1000)-(SUMIF('TALLY KG DUMP'!$1:$1,"GL",'TALLY KG DUMP'!176:176)/1000))</f>
        <v/>
      </c>
      <c r="F177" s="21" t="str">
        <f>IF($D177="","",(SUMIF('TALLY KG DUMP'!$1:$1,'ACH CALC'!F$2,'TALLY KG DUMP'!176:176)/1000))</f>
        <v/>
      </c>
      <c r="G177" s="21" t="str">
        <f>IF($D177="","",SUMIF('TALLY BOX DUMP'!$1:$1,'ACH CALC'!G$2,'TALLY BOX DUMP'!176:176)+Y177)</f>
        <v/>
      </c>
      <c r="H177" s="21" t="str">
        <f t="shared" si="6"/>
        <v/>
      </c>
      <c r="I177" s="21" t="str">
        <f>IF($D177="","",SUMIF('TALLY BOX DUMP'!$1:$1,'ACH CALC'!I$2,'TALLY BOX DUMP'!176:176)+AA177)</f>
        <v/>
      </c>
      <c r="J177" s="21" t="str">
        <f>IF($D177="","",SUMIF('TALLY BOX DUMP'!$1:$1,'ACH CALC'!J$2,'TALLY BOX DUMP'!176:176)+AB177)</f>
        <v/>
      </c>
      <c r="K177" s="21" t="str">
        <f>IF($D177="","",SUMIF('TALLY BOX DUMP'!$1:$1,'ACH CALC'!K$2,'TALLY BOX DUMP'!176:176)+AC177)</f>
        <v/>
      </c>
      <c r="L177" s="21" t="str">
        <f>IF($D177="","",SUMIF('TALLY BOX DUMP'!$1:$1,'ACH CALC'!L$2,'TALLY BOX DUMP'!176:176))</f>
        <v/>
      </c>
      <c r="M177" s="21" t="str">
        <f>IF($D177="","",SUMIF('TALLY BOX DUMP'!$1:$1,'ACH CALC'!M$2,'TALLY BOX DUMP'!176:176)+AD177)</f>
        <v/>
      </c>
      <c r="N177" s="21" t="str">
        <f>IF($D177="","",SUMIF('TALLY BOX DUMP'!$1:$1,'ACH CALC'!N$2,'TALLY BOX DUMP'!176:176))</f>
        <v/>
      </c>
      <c r="O177" s="21" t="str">
        <f>IF($D177="","",SUMIF('TALLY BOX DUMP'!$1:$1,'ACH CALC'!O$2,'TALLY BOX DUMP'!176:176))</f>
        <v/>
      </c>
      <c r="P177" s="21" t="str">
        <f>IF($D177="","",SUMIF('TALLY BOX DUMP'!$1:$1,'ACH CALC'!P$2,'TALLY BOX DUMP'!176:176))</f>
        <v/>
      </c>
      <c r="Q177" s="21" t="str">
        <f t="shared" si="7"/>
        <v/>
      </c>
      <c r="R177" s="21" t="str">
        <f>IF($D177="","",SUMIF('TALLY BOX DUMP'!$1:$1,'ACH CALC'!R$2,'TALLY BOX DUMP'!176:176))</f>
        <v/>
      </c>
      <c r="S177" s="21" t="str">
        <f>IF($D177="","",SUMIF('TALLY BOX DUMP'!$1:$1,'ACH CALC'!S$2,'TALLY BOX DUMP'!176:176))</f>
        <v/>
      </c>
      <c r="T177" s="21" t="str">
        <f>IF($D177="","",SUMIF('TALLY BOX DUMP'!$1:$1,'ACH CALC'!T$2,'TALLY BOX DUMP'!176:176))</f>
        <v/>
      </c>
      <c r="U177" s="21" t="str">
        <f>IF($D177="","",SUMIF('TALLY BOX DUMP'!$1:$1,'ACH CALC'!U$2,'TALLY BOX DUMP'!176:176))</f>
        <v/>
      </c>
      <c r="V177" s="21" t="str">
        <f>IF($D177="","",SUMIF('TALLY BOX DUMP'!$1:$1,'ACH CALC'!V$2,'TALLY BOX DUMP'!176:176))</f>
        <v/>
      </c>
      <c r="W177" s="21" t="str">
        <f>IF($D177="","",SUMIF('TALLY BOX DUMP'!$1:$1,'ACH CALC'!W$2,'TALLY BOX DUMP'!176:176))</f>
        <v/>
      </c>
      <c r="X177" s="21" t="str">
        <f>IF($D177="","",SUMIF('TALLY BOX DUMP'!$1:$1,'ACH CALC'!X$2,'TALLY BOX DUMP'!176:176))</f>
        <v/>
      </c>
      <c r="Y177" s="21" t="str">
        <f>IF($D177="","",SUMIF('TALLY BOX DUMP'!$1:$1,'ACH CALC'!Y$2,'TALLY BOX DUMP'!176:176))</f>
        <v/>
      </c>
      <c r="Z177" s="21" t="str">
        <f>IF($D177="","",SUMIF('TALLY BOX DUMP'!$1:$1,'ACH CALC'!Z$2,'TALLY BOX DUMP'!176:176)+AE177)</f>
        <v/>
      </c>
      <c r="AA177" s="21" t="str">
        <f>IF($D177="","",SUMIF('TALLY BOX DUMP'!$1:$1,'ACH CALC'!AA$2,'TALLY BOX DUMP'!176:176))</f>
        <v/>
      </c>
      <c r="AB177" s="21" t="str">
        <f>IF($D177="","",SUMIF('TALLY BOX DUMP'!$1:$1,'ACH CALC'!AB$2,'TALLY BOX DUMP'!176:176))</f>
        <v/>
      </c>
      <c r="AC177" s="21" t="str">
        <f>IF($D177="","",SUMIF('TALLY BOX DUMP'!$1:$1,'ACH CALC'!AC$2,'TALLY BOX DUMP'!176:176))</f>
        <v/>
      </c>
      <c r="AD177" s="21" t="str">
        <f>IF($D177="","",SUMIF('TALLY BOX DUMP'!$1:$1,'ACH CALC'!AD$2,'TALLY BOX DUMP'!176:176))</f>
        <v/>
      </c>
      <c r="AE177" s="21" t="str">
        <f>IF($D177="","",SUMIF('TALLY BOX DUMP'!$1:$1,'ACH CALC'!AE$2,'TALLY BOX DUMP'!176:176))</f>
        <v/>
      </c>
      <c r="AF177" s="21" t="str">
        <f>IF($D177="","",SUMIF('TALLY BOX DUMP'!$1:$1,'ACH CALC'!AF$2,'TALLY BOX DUMP'!176:176))</f>
        <v/>
      </c>
      <c r="AG177" s="21" t="str">
        <f>IF($D177="","",SUMIF('TALLY BOX DUMP'!$1:$1,'ACH CALC'!AG$2,'TALLY BOX DUMP'!176:176))</f>
        <v/>
      </c>
      <c r="AH177" s="21" t="str">
        <f>IF($D177="","",SUMIF('TALLY BOX DUMP'!$1:$1,'ACH CALC'!AH$2,'TALLY BOX DUMP'!176:176))</f>
        <v/>
      </c>
      <c r="AI177" s="21" t="str">
        <f>IF($D177="","",SUMIF('TALLY BOX DUMP'!$1:$1,'ACH CALC'!AI$2,'TALLY BOX DUMP'!176:176))</f>
        <v/>
      </c>
      <c r="AJ177" s="21" t="str">
        <f>IF($D177="","",SUMIF('TALLY BOX DUMP'!$1:$1,'ACH CALC'!AJ$2,'TALLY BOX DUMP'!176:176))</f>
        <v/>
      </c>
      <c r="AK177" s="21" t="str">
        <f>IF($D177="","",SUMIF('TALLY BOX DUMP'!$1:$1,'ACH CALC'!AK$2,'TALLY BOX DUMP'!176:176))</f>
        <v/>
      </c>
      <c r="AL177" s="21" t="str">
        <f>IF($D177="","",ROUND(SUMIF('TALLY KG DUMP'!$1:$1,'ACH CALC'!AL$2,'TALLY KG DUMP'!176:176)/30,1))</f>
        <v/>
      </c>
      <c r="AM177" s="21" t="str">
        <f>IF($D177="","",SUMIF('TALLY BOX DUMP'!$1:$1,'ACH CALC'!AM$2,'TALLY BOX DUMP'!176:176))</f>
        <v/>
      </c>
      <c r="AN177" s="21" t="str">
        <f>IF($D177="","",SUMIF('TALLY BOX DUMP'!$1:$1,'ACH CALC'!AN$2,'TALLY BOX DUMP'!176:176))</f>
        <v/>
      </c>
      <c r="AO177" s="21" t="str">
        <f>IF($D177="","",SUMIF('TALLY BOX DUMP'!$1:$1,'ACH CALC'!AO$2,'TALLY BOX DUMP'!176:176))</f>
        <v/>
      </c>
      <c r="AP177" s="21" t="str">
        <f>IF($D177="","",SUMIF('TALLY BOX DUMP'!$1:$1,'ACH CALC'!AP$2,'TALLY BOX DUMP'!176:176))</f>
        <v/>
      </c>
      <c r="AQ177" s="21" t="str">
        <f>IF($D177="","",ROUND(SUMIF('TALLY KG DUMP'!$1:$1,'ACH CALC'!AQ$2,'TALLY KG DUMP'!176:176)/30,1))</f>
        <v/>
      </c>
      <c r="AR177" s="21" t="str">
        <f>IF($D177="","",SUMIF('TALLY BOX DUMP'!$1:$1,'ACH CALC'!AR$2,'TALLY BOX DUMP'!176:176))</f>
        <v/>
      </c>
      <c r="AS177" s="21" t="str">
        <f>IF($D177="","",SUMIF('TALLY BOX DUMP'!$1:$1,'ACH CALC'!AS$2,'TALLY BOX DUMP'!176:176))</f>
        <v/>
      </c>
      <c r="AT177" s="21" t="str">
        <f>IF($D177="","",SUMIF('TALLY BOX DUMP'!$1:$1,'ACH CALC'!AT$2,'TALLY BOX DUMP'!176:176))</f>
        <v/>
      </c>
      <c r="AU177" s="21" t="str">
        <f>IF($D177="","",SUMIF('TALLY BOX DUMP'!$1:$1,'ACH CALC'!AU$2,'TALLY BOX DUMP'!176:176))</f>
        <v/>
      </c>
      <c r="AV177" s="21" t="str">
        <f>IF($D177="","",SUMIF('TALLY BOX DUMP'!$1:$1,'ACH CALC'!AV$2,'TALLY BOX DUMP'!176:176))</f>
        <v/>
      </c>
      <c r="AW177" s="21" t="str">
        <f>IF($D177="","",SUMIF('TALLY BOX DUMP'!$1:$1,'ACH CALC'!AW$2,'TALLY BOX DUMP'!176:176))</f>
        <v/>
      </c>
      <c r="AX177" s="21" t="str">
        <f>IF($D177="","",SUMIF('TALLY BOX DUMP'!$1:$1,'ACH CALC'!AX$2,'TALLY BOX DUMP'!176:176))</f>
        <v/>
      </c>
      <c r="AY177" s="21" t="str">
        <f>IF($D177="","",SUMIF('TALLY BOX DUMP'!$1:$1,'ACH CALC'!AY$2,'TALLY BOX DUMP'!176:176))</f>
        <v/>
      </c>
      <c r="AZ177" s="21" t="str">
        <f>IF($D177="","",SUMIF('TALLY BOX DUMP'!$1:$1,'ACH CALC'!AZ$2,'TALLY BOX DUMP'!176:176))</f>
        <v/>
      </c>
      <c r="BA177" s="69">
        <f>(SUMIF('TALLY KG DUMP'!$2:$2,"Qty",'TALLY KG DUMP'!176:176)/1000)-(SUMIF('TALLY KG DUMP'!$1:$1,"GL",'TALLY KG DUMP'!176:176)/1000)</f>
        <v>0</v>
      </c>
      <c r="BB177" s="21" t="b">
        <f t="shared" si="8"/>
        <v>0</v>
      </c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</row>
    <row r="178" spans="2:75" x14ac:dyDescent="0.25">
      <c r="B178" s="21"/>
      <c r="C178" s="21"/>
      <c r="D178" s="21"/>
      <c r="E178" s="21" t="str">
        <f>IF($D178="","",(SUMIF('TALLY KG DUMP'!$2:$2,"Qty",'TALLY KG DUMP'!177:177)/1000)-(SUMIF('TALLY KG DUMP'!$1:$1,"GL",'TALLY KG DUMP'!177:177)/1000))</f>
        <v/>
      </c>
      <c r="F178" s="21" t="str">
        <f>IF($D178="","",(SUMIF('TALLY KG DUMP'!$1:$1,'ACH CALC'!F$2,'TALLY KG DUMP'!177:177)/1000))</f>
        <v/>
      </c>
      <c r="G178" s="21" t="str">
        <f>IF($D178="","",SUMIF('TALLY BOX DUMP'!$1:$1,'ACH CALC'!G$2,'TALLY BOX DUMP'!177:177)+Y178)</f>
        <v/>
      </c>
      <c r="H178" s="21" t="str">
        <f t="shared" si="6"/>
        <v/>
      </c>
      <c r="I178" s="21" t="str">
        <f>IF($D178="","",SUMIF('TALLY BOX DUMP'!$1:$1,'ACH CALC'!I$2,'TALLY BOX DUMP'!177:177)+AA178)</f>
        <v/>
      </c>
      <c r="J178" s="21" t="str">
        <f>IF($D178="","",SUMIF('TALLY BOX DUMP'!$1:$1,'ACH CALC'!J$2,'TALLY BOX DUMP'!177:177)+AB178)</f>
        <v/>
      </c>
      <c r="K178" s="21" t="str">
        <f>IF($D178="","",SUMIF('TALLY BOX DUMP'!$1:$1,'ACH CALC'!K$2,'TALLY BOX DUMP'!177:177)+AC178)</f>
        <v/>
      </c>
      <c r="L178" s="21" t="str">
        <f>IF($D178="","",SUMIF('TALLY BOX DUMP'!$1:$1,'ACH CALC'!L$2,'TALLY BOX DUMP'!177:177))</f>
        <v/>
      </c>
      <c r="M178" s="21" t="str">
        <f>IF($D178="","",SUMIF('TALLY BOX DUMP'!$1:$1,'ACH CALC'!M$2,'TALLY BOX DUMP'!177:177)+AD178)</f>
        <v/>
      </c>
      <c r="N178" s="21" t="str">
        <f>IF($D178="","",SUMIF('TALLY BOX DUMP'!$1:$1,'ACH CALC'!N$2,'TALLY BOX DUMP'!177:177))</f>
        <v/>
      </c>
      <c r="O178" s="21" t="str">
        <f>IF($D178="","",SUMIF('TALLY BOX DUMP'!$1:$1,'ACH CALC'!O$2,'TALLY BOX DUMP'!177:177))</f>
        <v/>
      </c>
      <c r="P178" s="21" t="str">
        <f>IF($D178="","",SUMIF('TALLY BOX DUMP'!$1:$1,'ACH CALC'!P$2,'TALLY BOX DUMP'!177:177))</f>
        <v/>
      </c>
      <c r="Q178" s="21" t="str">
        <f t="shared" si="7"/>
        <v/>
      </c>
      <c r="R178" s="21" t="str">
        <f>IF($D178="","",SUMIF('TALLY BOX DUMP'!$1:$1,'ACH CALC'!R$2,'TALLY BOX DUMP'!177:177))</f>
        <v/>
      </c>
      <c r="S178" s="21" t="str">
        <f>IF($D178="","",SUMIF('TALLY BOX DUMP'!$1:$1,'ACH CALC'!S$2,'TALLY BOX DUMP'!177:177))</f>
        <v/>
      </c>
      <c r="T178" s="21" t="str">
        <f>IF($D178="","",SUMIF('TALLY BOX DUMP'!$1:$1,'ACH CALC'!T$2,'TALLY BOX DUMP'!177:177))</f>
        <v/>
      </c>
      <c r="U178" s="21" t="str">
        <f>IF($D178="","",SUMIF('TALLY BOX DUMP'!$1:$1,'ACH CALC'!U$2,'TALLY BOX DUMP'!177:177))</f>
        <v/>
      </c>
      <c r="V178" s="21" t="str">
        <f>IF($D178="","",SUMIF('TALLY BOX DUMP'!$1:$1,'ACH CALC'!V$2,'TALLY BOX DUMP'!177:177))</f>
        <v/>
      </c>
      <c r="W178" s="21" t="str">
        <f>IF($D178="","",SUMIF('TALLY BOX DUMP'!$1:$1,'ACH CALC'!W$2,'TALLY BOX DUMP'!177:177))</f>
        <v/>
      </c>
      <c r="X178" s="21" t="str">
        <f>IF($D178="","",SUMIF('TALLY BOX DUMP'!$1:$1,'ACH CALC'!X$2,'TALLY BOX DUMP'!177:177))</f>
        <v/>
      </c>
      <c r="Y178" s="21" t="str">
        <f>IF($D178="","",SUMIF('TALLY BOX DUMP'!$1:$1,'ACH CALC'!Y$2,'TALLY BOX DUMP'!177:177))</f>
        <v/>
      </c>
      <c r="Z178" s="21" t="str">
        <f>IF($D178="","",SUMIF('TALLY BOX DUMP'!$1:$1,'ACH CALC'!Z$2,'TALLY BOX DUMP'!177:177)+AE178)</f>
        <v/>
      </c>
      <c r="AA178" s="21" t="str">
        <f>IF($D178="","",SUMIF('TALLY BOX DUMP'!$1:$1,'ACH CALC'!AA$2,'TALLY BOX DUMP'!177:177))</f>
        <v/>
      </c>
      <c r="AB178" s="21" t="str">
        <f>IF($D178="","",SUMIF('TALLY BOX DUMP'!$1:$1,'ACH CALC'!AB$2,'TALLY BOX DUMP'!177:177))</f>
        <v/>
      </c>
      <c r="AC178" s="21" t="str">
        <f>IF($D178="","",SUMIF('TALLY BOX DUMP'!$1:$1,'ACH CALC'!AC$2,'TALLY BOX DUMP'!177:177))</f>
        <v/>
      </c>
      <c r="AD178" s="21" t="str">
        <f>IF($D178="","",SUMIF('TALLY BOX DUMP'!$1:$1,'ACH CALC'!AD$2,'TALLY BOX DUMP'!177:177))</f>
        <v/>
      </c>
      <c r="AE178" s="21" t="str">
        <f>IF($D178="","",SUMIF('TALLY BOX DUMP'!$1:$1,'ACH CALC'!AE$2,'TALLY BOX DUMP'!177:177))</f>
        <v/>
      </c>
      <c r="AF178" s="21" t="str">
        <f>IF($D178="","",SUMIF('TALLY BOX DUMP'!$1:$1,'ACH CALC'!AF$2,'TALLY BOX DUMP'!177:177))</f>
        <v/>
      </c>
      <c r="AG178" s="21" t="str">
        <f>IF($D178="","",SUMIF('TALLY BOX DUMP'!$1:$1,'ACH CALC'!AG$2,'TALLY BOX DUMP'!177:177))</f>
        <v/>
      </c>
      <c r="AH178" s="21" t="str">
        <f>IF($D178="","",SUMIF('TALLY BOX DUMP'!$1:$1,'ACH CALC'!AH$2,'TALLY BOX DUMP'!177:177))</f>
        <v/>
      </c>
      <c r="AI178" s="21" t="str">
        <f>IF($D178="","",SUMIF('TALLY BOX DUMP'!$1:$1,'ACH CALC'!AI$2,'TALLY BOX DUMP'!177:177))</f>
        <v/>
      </c>
      <c r="AJ178" s="21" t="str">
        <f>IF($D178="","",SUMIF('TALLY BOX DUMP'!$1:$1,'ACH CALC'!AJ$2,'TALLY BOX DUMP'!177:177))</f>
        <v/>
      </c>
      <c r="AK178" s="21" t="str">
        <f>IF($D178="","",SUMIF('TALLY BOX DUMP'!$1:$1,'ACH CALC'!AK$2,'TALLY BOX DUMP'!177:177))</f>
        <v/>
      </c>
      <c r="AL178" s="21" t="str">
        <f>IF($D178="","",ROUND(SUMIF('TALLY KG DUMP'!$1:$1,'ACH CALC'!AL$2,'TALLY KG DUMP'!177:177)/30,1))</f>
        <v/>
      </c>
      <c r="AM178" s="21" t="str">
        <f>IF($D178="","",SUMIF('TALLY BOX DUMP'!$1:$1,'ACH CALC'!AM$2,'TALLY BOX DUMP'!177:177))</f>
        <v/>
      </c>
      <c r="AN178" s="21" t="str">
        <f>IF($D178="","",SUMIF('TALLY BOX DUMP'!$1:$1,'ACH CALC'!AN$2,'TALLY BOX DUMP'!177:177))</f>
        <v/>
      </c>
      <c r="AO178" s="21" t="str">
        <f>IF($D178="","",SUMIF('TALLY BOX DUMP'!$1:$1,'ACH CALC'!AO$2,'TALLY BOX DUMP'!177:177))</f>
        <v/>
      </c>
      <c r="AP178" s="21" t="str">
        <f>IF($D178="","",SUMIF('TALLY BOX DUMP'!$1:$1,'ACH CALC'!AP$2,'TALLY BOX DUMP'!177:177))</f>
        <v/>
      </c>
      <c r="AQ178" s="21" t="str">
        <f>IF($D178="","",ROUND(SUMIF('TALLY KG DUMP'!$1:$1,'ACH CALC'!AQ$2,'TALLY KG DUMP'!177:177)/30,1))</f>
        <v/>
      </c>
      <c r="AR178" s="21" t="str">
        <f>IF($D178="","",SUMIF('TALLY BOX DUMP'!$1:$1,'ACH CALC'!AR$2,'TALLY BOX DUMP'!177:177))</f>
        <v/>
      </c>
      <c r="AS178" s="21" t="str">
        <f>IF($D178="","",SUMIF('TALLY BOX DUMP'!$1:$1,'ACH CALC'!AS$2,'TALLY BOX DUMP'!177:177))</f>
        <v/>
      </c>
      <c r="AT178" s="21" t="str">
        <f>IF($D178="","",SUMIF('TALLY BOX DUMP'!$1:$1,'ACH CALC'!AT$2,'TALLY BOX DUMP'!177:177))</f>
        <v/>
      </c>
      <c r="AU178" s="21" t="str">
        <f>IF($D178="","",SUMIF('TALLY BOX DUMP'!$1:$1,'ACH CALC'!AU$2,'TALLY BOX DUMP'!177:177))</f>
        <v/>
      </c>
      <c r="AV178" s="21" t="str">
        <f>IF($D178="","",SUMIF('TALLY BOX DUMP'!$1:$1,'ACH CALC'!AV$2,'TALLY BOX DUMP'!177:177))</f>
        <v/>
      </c>
      <c r="AW178" s="21" t="str">
        <f>IF($D178="","",SUMIF('TALLY BOX DUMP'!$1:$1,'ACH CALC'!AW$2,'TALLY BOX DUMP'!177:177))</f>
        <v/>
      </c>
      <c r="AX178" s="21" t="str">
        <f>IF($D178="","",SUMIF('TALLY BOX DUMP'!$1:$1,'ACH CALC'!AX$2,'TALLY BOX DUMP'!177:177))</f>
        <v/>
      </c>
      <c r="AY178" s="21" t="str">
        <f>IF($D178="","",SUMIF('TALLY BOX DUMP'!$1:$1,'ACH CALC'!AY$2,'TALLY BOX DUMP'!177:177))</f>
        <v/>
      </c>
      <c r="AZ178" s="21" t="str">
        <f>IF($D178="","",SUMIF('TALLY BOX DUMP'!$1:$1,'ACH CALC'!AZ$2,'TALLY BOX DUMP'!177:177))</f>
        <v/>
      </c>
      <c r="BA178" s="69">
        <f>(SUMIF('TALLY KG DUMP'!$2:$2,"Qty",'TALLY KG DUMP'!177:177)/1000)-(SUMIF('TALLY KG DUMP'!$1:$1,"GL",'TALLY KG DUMP'!177:177)/1000)</f>
        <v>0</v>
      </c>
      <c r="BB178" s="21" t="b">
        <f t="shared" si="8"/>
        <v>0</v>
      </c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</row>
    <row r="179" spans="2:75" x14ac:dyDescent="0.25">
      <c r="B179" s="21"/>
      <c r="C179" s="21"/>
      <c r="D179" s="21"/>
      <c r="E179" s="21" t="str">
        <f>IF($D179="","",(SUMIF('TALLY KG DUMP'!$2:$2,"Qty",'TALLY KG DUMP'!178:178)/1000)-(SUMIF('TALLY KG DUMP'!$1:$1,"GL",'TALLY KG DUMP'!178:178)/1000))</f>
        <v/>
      </c>
      <c r="F179" s="21" t="str">
        <f>IF($D179="","",(SUMIF('TALLY KG DUMP'!$1:$1,'ACH CALC'!F$2,'TALLY KG DUMP'!178:178)/1000))</f>
        <v/>
      </c>
      <c r="G179" s="21" t="str">
        <f>IF($D179="","",SUMIF('TALLY BOX DUMP'!$1:$1,'ACH CALC'!G$2,'TALLY BOX DUMP'!178:178)+Y179)</f>
        <v/>
      </c>
      <c r="H179" s="21" t="str">
        <f t="shared" si="6"/>
        <v/>
      </c>
      <c r="I179" s="21" t="str">
        <f>IF($D179="","",SUMIF('TALLY BOX DUMP'!$1:$1,'ACH CALC'!I$2,'TALLY BOX DUMP'!178:178)+AA179)</f>
        <v/>
      </c>
      <c r="J179" s="21" t="str">
        <f>IF($D179="","",SUMIF('TALLY BOX DUMP'!$1:$1,'ACH CALC'!J$2,'TALLY BOX DUMP'!178:178)+AB179)</f>
        <v/>
      </c>
      <c r="K179" s="21" t="str">
        <f>IF($D179="","",SUMIF('TALLY BOX DUMP'!$1:$1,'ACH CALC'!K$2,'TALLY BOX DUMP'!178:178)+AC179)</f>
        <v/>
      </c>
      <c r="L179" s="21" t="str">
        <f>IF($D179="","",SUMIF('TALLY BOX DUMP'!$1:$1,'ACH CALC'!L$2,'TALLY BOX DUMP'!178:178))</f>
        <v/>
      </c>
      <c r="M179" s="21" t="str">
        <f>IF($D179="","",SUMIF('TALLY BOX DUMP'!$1:$1,'ACH CALC'!M$2,'TALLY BOX DUMP'!178:178)+AD179)</f>
        <v/>
      </c>
      <c r="N179" s="21" t="str">
        <f>IF($D179="","",SUMIF('TALLY BOX DUMP'!$1:$1,'ACH CALC'!N$2,'TALLY BOX DUMP'!178:178))</f>
        <v/>
      </c>
      <c r="O179" s="21" t="str">
        <f>IF($D179="","",SUMIF('TALLY BOX DUMP'!$1:$1,'ACH CALC'!O$2,'TALLY BOX DUMP'!178:178))</f>
        <v/>
      </c>
      <c r="P179" s="21" t="str">
        <f>IF($D179="","",SUMIF('TALLY BOX DUMP'!$1:$1,'ACH CALC'!P$2,'TALLY BOX DUMP'!178:178))</f>
        <v/>
      </c>
      <c r="Q179" s="21" t="str">
        <f t="shared" si="7"/>
        <v/>
      </c>
      <c r="R179" s="21" t="str">
        <f>IF($D179="","",SUMIF('TALLY BOX DUMP'!$1:$1,'ACH CALC'!R$2,'TALLY BOX DUMP'!178:178))</f>
        <v/>
      </c>
      <c r="S179" s="21" t="str">
        <f>IF($D179="","",SUMIF('TALLY BOX DUMP'!$1:$1,'ACH CALC'!S$2,'TALLY BOX DUMP'!178:178))</f>
        <v/>
      </c>
      <c r="T179" s="21" t="str">
        <f>IF($D179="","",SUMIF('TALLY BOX DUMP'!$1:$1,'ACH CALC'!T$2,'TALLY BOX DUMP'!178:178))</f>
        <v/>
      </c>
      <c r="U179" s="21" t="str">
        <f>IF($D179="","",SUMIF('TALLY BOX DUMP'!$1:$1,'ACH CALC'!U$2,'TALLY BOX DUMP'!178:178))</f>
        <v/>
      </c>
      <c r="V179" s="21" t="str">
        <f>IF($D179="","",SUMIF('TALLY BOX DUMP'!$1:$1,'ACH CALC'!V$2,'TALLY BOX DUMP'!178:178))</f>
        <v/>
      </c>
      <c r="W179" s="21" t="str">
        <f>IF($D179="","",SUMIF('TALLY BOX DUMP'!$1:$1,'ACH CALC'!W$2,'TALLY BOX DUMP'!178:178))</f>
        <v/>
      </c>
      <c r="X179" s="21" t="str">
        <f>IF($D179="","",SUMIF('TALLY BOX DUMP'!$1:$1,'ACH CALC'!X$2,'TALLY BOX DUMP'!178:178))</f>
        <v/>
      </c>
      <c r="Y179" s="21" t="str">
        <f>IF($D179="","",SUMIF('TALLY BOX DUMP'!$1:$1,'ACH CALC'!Y$2,'TALLY BOX DUMP'!178:178))</f>
        <v/>
      </c>
      <c r="Z179" s="21" t="str">
        <f>IF($D179="","",SUMIF('TALLY BOX DUMP'!$1:$1,'ACH CALC'!Z$2,'TALLY BOX DUMP'!178:178)+AE179)</f>
        <v/>
      </c>
      <c r="AA179" s="21" t="str">
        <f>IF($D179="","",SUMIF('TALLY BOX DUMP'!$1:$1,'ACH CALC'!AA$2,'TALLY BOX DUMP'!178:178))</f>
        <v/>
      </c>
      <c r="AB179" s="21" t="str">
        <f>IF($D179="","",SUMIF('TALLY BOX DUMP'!$1:$1,'ACH CALC'!AB$2,'TALLY BOX DUMP'!178:178))</f>
        <v/>
      </c>
      <c r="AC179" s="21" t="str">
        <f>IF($D179="","",SUMIF('TALLY BOX DUMP'!$1:$1,'ACH CALC'!AC$2,'TALLY BOX DUMP'!178:178))</f>
        <v/>
      </c>
      <c r="AD179" s="21" t="str">
        <f>IF($D179="","",SUMIF('TALLY BOX DUMP'!$1:$1,'ACH CALC'!AD$2,'TALLY BOX DUMP'!178:178))</f>
        <v/>
      </c>
      <c r="AE179" s="21" t="str">
        <f>IF($D179="","",SUMIF('TALLY BOX DUMP'!$1:$1,'ACH CALC'!AE$2,'TALLY BOX DUMP'!178:178))</f>
        <v/>
      </c>
      <c r="AF179" s="21" t="str">
        <f>IF($D179="","",SUMIF('TALLY BOX DUMP'!$1:$1,'ACH CALC'!AF$2,'TALLY BOX DUMP'!178:178))</f>
        <v/>
      </c>
      <c r="AG179" s="21" t="str">
        <f>IF($D179="","",SUMIF('TALLY BOX DUMP'!$1:$1,'ACH CALC'!AG$2,'TALLY BOX DUMP'!178:178))</f>
        <v/>
      </c>
      <c r="AH179" s="21" t="str">
        <f>IF($D179="","",SUMIF('TALLY BOX DUMP'!$1:$1,'ACH CALC'!AH$2,'TALLY BOX DUMP'!178:178))</f>
        <v/>
      </c>
      <c r="AI179" s="21" t="str">
        <f>IF($D179="","",SUMIF('TALLY BOX DUMP'!$1:$1,'ACH CALC'!AI$2,'TALLY BOX DUMP'!178:178))</f>
        <v/>
      </c>
      <c r="AJ179" s="21" t="str">
        <f>IF($D179="","",SUMIF('TALLY BOX DUMP'!$1:$1,'ACH CALC'!AJ$2,'TALLY BOX DUMP'!178:178))</f>
        <v/>
      </c>
      <c r="AK179" s="21" t="str">
        <f>IF($D179="","",SUMIF('TALLY BOX DUMP'!$1:$1,'ACH CALC'!AK$2,'TALLY BOX DUMP'!178:178))</f>
        <v/>
      </c>
      <c r="AL179" s="21" t="str">
        <f>IF($D179="","",ROUND(SUMIF('TALLY KG DUMP'!$1:$1,'ACH CALC'!AL$2,'TALLY KG DUMP'!178:178)/30,1))</f>
        <v/>
      </c>
      <c r="AM179" s="21" t="str">
        <f>IF($D179="","",SUMIF('TALLY BOX DUMP'!$1:$1,'ACH CALC'!AM$2,'TALLY BOX DUMP'!178:178))</f>
        <v/>
      </c>
      <c r="AN179" s="21" t="str">
        <f>IF($D179="","",SUMIF('TALLY BOX DUMP'!$1:$1,'ACH CALC'!AN$2,'TALLY BOX DUMP'!178:178))</f>
        <v/>
      </c>
      <c r="AO179" s="21" t="str">
        <f>IF($D179="","",SUMIF('TALLY BOX DUMP'!$1:$1,'ACH CALC'!AO$2,'TALLY BOX DUMP'!178:178))</f>
        <v/>
      </c>
      <c r="AP179" s="21" t="str">
        <f>IF($D179="","",SUMIF('TALLY BOX DUMP'!$1:$1,'ACH CALC'!AP$2,'TALLY BOX DUMP'!178:178))</f>
        <v/>
      </c>
      <c r="AQ179" s="21" t="str">
        <f>IF($D179="","",ROUND(SUMIF('TALLY KG DUMP'!$1:$1,'ACH CALC'!AQ$2,'TALLY KG DUMP'!178:178)/30,1))</f>
        <v/>
      </c>
      <c r="AR179" s="21" t="str">
        <f>IF($D179="","",SUMIF('TALLY BOX DUMP'!$1:$1,'ACH CALC'!AR$2,'TALLY BOX DUMP'!178:178))</f>
        <v/>
      </c>
      <c r="AS179" s="21" t="str">
        <f>IF($D179="","",SUMIF('TALLY BOX DUMP'!$1:$1,'ACH CALC'!AS$2,'TALLY BOX DUMP'!178:178))</f>
        <v/>
      </c>
      <c r="AT179" s="21" t="str">
        <f>IF($D179="","",SUMIF('TALLY BOX DUMP'!$1:$1,'ACH CALC'!AT$2,'TALLY BOX DUMP'!178:178))</f>
        <v/>
      </c>
      <c r="AU179" s="21" t="str">
        <f>IF($D179="","",SUMIF('TALLY BOX DUMP'!$1:$1,'ACH CALC'!AU$2,'TALLY BOX DUMP'!178:178))</f>
        <v/>
      </c>
      <c r="AV179" s="21" t="str">
        <f>IF($D179="","",SUMIF('TALLY BOX DUMP'!$1:$1,'ACH CALC'!AV$2,'TALLY BOX DUMP'!178:178))</f>
        <v/>
      </c>
      <c r="AW179" s="21" t="str">
        <f>IF($D179="","",SUMIF('TALLY BOX DUMP'!$1:$1,'ACH CALC'!AW$2,'TALLY BOX DUMP'!178:178))</f>
        <v/>
      </c>
      <c r="AX179" s="21" t="str">
        <f>IF($D179="","",SUMIF('TALLY BOX DUMP'!$1:$1,'ACH CALC'!AX$2,'TALLY BOX DUMP'!178:178))</f>
        <v/>
      </c>
      <c r="AY179" s="21" t="str">
        <f>IF($D179="","",SUMIF('TALLY BOX DUMP'!$1:$1,'ACH CALC'!AY$2,'TALLY BOX DUMP'!178:178))</f>
        <v/>
      </c>
      <c r="AZ179" s="21" t="str">
        <f>IF($D179="","",SUMIF('TALLY BOX DUMP'!$1:$1,'ACH CALC'!AZ$2,'TALLY BOX DUMP'!178:178))</f>
        <v/>
      </c>
      <c r="BA179" s="69">
        <f>(SUMIF('TALLY KG DUMP'!$2:$2,"Qty",'TALLY KG DUMP'!178:178)/1000)-(SUMIF('TALLY KG DUMP'!$1:$1,"GL",'TALLY KG DUMP'!178:178)/1000)</f>
        <v>0</v>
      </c>
      <c r="BB179" s="21" t="b">
        <f t="shared" si="8"/>
        <v>0</v>
      </c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</row>
    <row r="180" spans="2:75" x14ac:dyDescent="0.25">
      <c r="B180" s="21"/>
      <c r="C180" s="21"/>
      <c r="D180" s="21"/>
      <c r="E180" s="21" t="str">
        <f>IF($D180="","",(SUMIF('TALLY KG DUMP'!$2:$2,"Qty",'TALLY KG DUMP'!179:179)/1000)-(SUMIF('TALLY KG DUMP'!$1:$1,"GL",'TALLY KG DUMP'!179:179)/1000))</f>
        <v/>
      </c>
      <c r="F180" s="21" t="str">
        <f>IF($D180="","",(SUMIF('TALLY KG DUMP'!$1:$1,'ACH CALC'!F$2,'TALLY KG DUMP'!179:179)/1000))</f>
        <v/>
      </c>
      <c r="G180" s="21" t="str">
        <f>IF($D180="","",SUMIF('TALLY BOX DUMP'!$1:$1,'ACH CALC'!G$2,'TALLY BOX DUMP'!179:179)+Y180)</f>
        <v/>
      </c>
      <c r="H180" s="21" t="str">
        <f t="shared" si="6"/>
        <v/>
      </c>
      <c r="I180" s="21" t="str">
        <f>IF($D180="","",SUMIF('TALLY BOX DUMP'!$1:$1,'ACH CALC'!I$2,'TALLY BOX DUMP'!179:179)+AA180)</f>
        <v/>
      </c>
      <c r="J180" s="21" t="str">
        <f>IF($D180="","",SUMIF('TALLY BOX DUMP'!$1:$1,'ACH CALC'!J$2,'TALLY BOX DUMP'!179:179)+AB180)</f>
        <v/>
      </c>
      <c r="K180" s="21" t="str">
        <f>IF($D180="","",SUMIF('TALLY BOX DUMP'!$1:$1,'ACH CALC'!K$2,'TALLY BOX DUMP'!179:179)+AC180)</f>
        <v/>
      </c>
      <c r="L180" s="21" t="str">
        <f>IF($D180="","",SUMIF('TALLY BOX DUMP'!$1:$1,'ACH CALC'!L$2,'TALLY BOX DUMP'!179:179))</f>
        <v/>
      </c>
      <c r="M180" s="21" t="str">
        <f>IF($D180="","",SUMIF('TALLY BOX DUMP'!$1:$1,'ACH CALC'!M$2,'TALLY BOX DUMP'!179:179)+AD180)</f>
        <v/>
      </c>
      <c r="N180" s="21" t="str">
        <f>IF($D180="","",SUMIF('TALLY BOX DUMP'!$1:$1,'ACH CALC'!N$2,'TALLY BOX DUMP'!179:179))</f>
        <v/>
      </c>
      <c r="O180" s="21" t="str">
        <f>IF($D180="","",SUMIF('TALLY BOX DUMP'!$1:$1,'ACH CALC'!O$2,'TALLY BOX DUMP'!179:179))</f>
        <v/>
      </c>
      <c r="P180" s="21" t="str">
        <f>IF($D180="","",SUMIF('TALLY BOX DUMP'!$1:$1,'ACH CALC'!P$2,'TALLY BOX DUMP'!179:179))</f>
        <v/>
      </c>
      <c r="Q180" s="21" t="str">
        <f t="shared" si="7"/>
        <v/>
      </c>
      <c r="R180" s="21" t="str">
        <f>IF($D180="","",SUMIF('TALLY BOX DUMP'!$1:$1,'ACH CALC'!R$2,'TALLY BOX DUMP'!179:179))</f>
        <v/>
      </c>
      <c r="S180" s="21" t="str">
        <f>IF($D180="","",SUMIF('TALLY BOX DUMP'!$1:$1,'ACH CALC'!S$2,'TALLY BOX DUMP'!179:179))</f>
        <v/>
      </c>
      <c r="T180" s="21" t="str">
        <f>IF($D180="","",SUMIF('TALLY BOX DUMP'!$1:$1,'ACH CALC'!T$2,'TALLY BOX DUMP'!179:179))</f>
        <v/>
      </c>
      <c r="U180" s="21" t="str">
        <f>IF($D180="","",SUMIF('TALLY BOX DUMP'!$1:$1,'ACH CALC'!U$2,'TALLY BOX DUMP'!179:179))</f>
        <v/>
      </c>
      <c r="V180" s="21" t="str">
        <f>IF($D180="","",SUMIF('TALLY BOX DUMP'!$1:$1,'ACH CALC'!V$2,'TALLY BOX DUMP'!179:179))</f>
        <v/>
      </c>
      <c r="W180" s="21" t="str">
        <f>IF($D180="","",SUMIF('TALLY BOX DUMP'!$1:$1,'ACH CALC'!W$2,'TALLY BOX DUMP'!179:179))</f>
        <v/>
      </c>
      <c r="X180" s="21" t="str">
        <f>IF($D180="","",SUMIF('TALLY BOX DUMP'!$1:$1,'ACH CALC'!X$2,'TALLY BOX DUMP'!179:179))</f>
        <v/>
      </c>
      <c r="Y180" s="21" t="str">
        <f>IF($D180="","",SUMIF('TALLY BOX DUMP'!$1:$1,'ACH CALC'!Y$2,'TALLY BOX DUMP'!179:179))</f>
        <v/>
      </c>
      <c r="Z180" s="21" t="str">
        <f>IF($D180="","",SUMIF('TALLY BOX DUMP'!$1:$1,'ACH CALC'!Z$2,'TALLY BOX DUMP'!179:179)+AE180)</f>
        <v/>
      </c>
      <c r="AA180" s="21" t="str">
        <f>IF($D180="","",SUMIF('TALLY BOX DUMP'!$1:$1,'ACH CALC'!AA$2,'TALLY BOX DUMP'!179:179))</f>
        <v/>
      </c>
      <c r="AB180" s="21" t="str">
        <f>IF($D180="","",SUMIF('TALLY BOX DUMP'!$1:$1,'ACH CALC'!AB$2,'TALLY BOX DUMP'!179:179))</f>
        <v/>
      </c>
      <c r="AC180" s="21" t="str">
        <f>IF($D180="","",SUMIF('TALLY BOX DUMP'!$1:$1,'ACH CALC'!AC$2,'TALLY BOX DUMP'!179:179))</f>
        <v/>
      </c>
      <c r="AD180" s="21" t="str">
        <f>IF($D180="","",SUMIF('TALLY BOX DUMP'!$1:$1,'ACH CALC'!AD$2,'TALLY BOX DUMP'!179:179))</f>
        <v/>
      </c>
      <c r="AE180" s="21" t="str">
        <f>IF($D180="","",SUMIF('TALLY BOX DUMP'!$1:$1,'ACH CALC'!AE$2,'TALLY BOX DUMP'!179:179))</f>
        <v/>
      </c>
      <c r="AF180" s="21" t="str">
        <f>IF($D180="","",SUMIF('TALLY BOX DUMP'!$1:$1,'ACH CALC'!AF$2,'TALLY BOX DUMP'!179:179))</f>
        <v/>
      </c>
      <c r="AG180" s="21" t="str">
        <f>IF($D180="","",SUMIF('TALLY BOX DUMP'!$1:$1,'ACH CALC'!AG$2,'TALLY BOX DUMP'!179:179))</f>
        <v/>
      </c>
      <c r="AH180" s="21" t="str">
        <f>IF($D180="","",SUMIF('TALLY BOX DUMP'!$1:$1,'ACH CALC'!AH$2,'TALLY BOX DUMP'!179:179))</f>
        <v/>
      </c>
      <c r="AI180" s="21" t="str">
        <f>IF($D180="","",SUMIF('TALLY BOX DUMP'!$1:$1,'ACH CALC'!AI$2,'TALLY BOX DUMP'!179:179))</f>
        <v/>
      </c>
      <c r="AJ180" s="21" t="str">
        <f>IF($D180="","",SUMIF('TALLY BOX DUMP'!$1:$1,'ACH CALC'!AJ$2,'TALLY BOX DUMP'!179:179))</f>
        <v/>
      </c>
      <c r="AK180" s="21" t="str">
        <f>IF($D180="","",SUMIF('TALLY BOX DUMP'!$1:$1,'ACH CALC'!AK$2,'TALLY BOX DUMP'!179:179))</f>
        <v/>
      </c>
      <c r="AL180" s="21" t="str">
        <f>IF($D180="","",ROUND(SUMIF('TALLY KG DUMP'!$1:$1,'ACH CALC'!AL$2,'TALLY KG DUMP'!179:179)/30,1))</f>
        <v/>
      </c>
      <c r="AM180" s="21" t="str">
        <f>IF($D180="","",SUMIF('TALLY BOX DUMP'!$1:$1,'ACH CALC'!AM$2,'TALLY BOX DUMP'!179:179))</f>
        <v/>
      </c>
      <c r="AN180" s="21" t="str">
        <f>IF($D180="","",SUMIF('TALLY BOX DUMP'!$1:$1,'ACH CALC'!AN$2,'TALLY BOX DUMP'!179:179))</f>
        <v/>
      </c>
      <c r="AO180" s="21" t="str">
        <f>IF($D180="","",SUMIF('TALLY BOX DUMP'!$1:$1,'ACH CALC'!AO$2,'TALLY BOX DUMP'!179:179))</f>
        <v/>
      </c>
      <c r="AP180" s="21" t="str">
        <f>IF($D180="","",SUMIF('TALLY BOX DUMP'!$1:$1,'ACH CALC'!AP$2,'TALLY BOX DUMP'!179:179))</f>
        <v/>
      </c>
      <c r="AQ180" s="21" t="str">
        <f>IF($D180="","",ROUND(SUMIF('TALLY KG DUMP'!$1:$1,'ACH CALC'!AQ$2,'TALLY KG DUMP'!179:179)/30,1))</f>
        <v/>
      </c>
      <c r="AR180" s="21" t="str">
        <f>IF($D180="","",SUMIF('TALLY BOX DUMP'!$1:$1,'ACH CALC'!AR$2,'TALLY BOX DUMP'!179:179))</f>
        <v/>
      </c>
      <c r="AS180" s="21" t="str">
        <f>IF($D180="","",SUMIF('TALLY BOX DUMP'!$1:$1,'ACH CALC'!AS$2,'TALLY BOX DUMP'!179:179))</f>
        <v/>
      </c>
      <c r="AT180" s="21" t="str">
        <f>IF($D180="","",SUMIF('TALLY BOX DUMP'!$1:$1,'ACH CALC'!AT$2,'TALLY BOX DUMP'!179:179))</f>
        <v/>
      </c>
      <c r="AU180" s="21" t="str">
        <f>IF($D180="","",SUMIF('TALLY BOX DUMP'!$1:$1,'ACH CALC'!AU$2,'TALLY BOX DUMP'!179:179))</f>
        <v/>
      </c>
      <c r="AV180" s="21" t="str">
        <f>IF($D180="","",SUMIF('TALLY BOX DUMP'!$1:$1,'ACH CALC'!AV$2,'TALLY BOX DUMP'!179:179))</f>
        <v/>
      </c>
      <c r="AW180" s="21" t="str">
        <f>IF($D180="","",SUMIF('TALLY BOX DUMP'!$1:$1,'ACH CALC'!AW$2,'TALLY BOX DUMP'!179:179))</f>
        <v/>
      </c>
      <c r="AX180" s="21" t="str">
        <f>IF($D180="","",SUMIF('TALLY BOX DUMP'!$1:$1,'ACH CALC'!AX$2,'TALLY BOX DUMP'!179:179))</f>
        <v/>
      </c>
      <c r="AY180" s="21" t="str">
        <f>IF($D180="","",SUMIF('TALLY BOX DUMP'!$1:$1,'ACH CALC'!AY$2,'TALLY BOX DUMP'!179:179))</f>
        <v/>
      </c>
      <c r="AZ180" s="21" t="str">
        <f>IF($D180="","",SUMIF('TALLY BOX DUMP'!$1:$1,'ACH CALC'!AZ$2,'TALLY BOX DUMP'!179:179))</f>
        <v/>
      </c>
      <c r="BA180" s="69">
        <f>(SUMIF('TALLY KG DUMP'!$2:$2,"Qty",'TALLY KG DUMP'!179:179)/1000)-(SUMIF('TALLY KG DUMP'!$1:$1,"GL",'TALLY KG DUMP'!179:179)/1000)</f>
        <v>0</v>
      </c>
      <c r="BB180" s="21" t="b">
        <f t="shared" si="8"/>
        <v>0</v>
      </c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</row>
    <row r="181" spans="2:75" x14ac:dyDescent="0.25">
      <c r="B181" s="21"/>
      <c r="C181" s="21"/>
      <c r="D181" s="21"/>
      <c r="E181" s="21" t="str">
        <f>IF($D181="","",(SUMIF('TALLY KG DUMP'!$2:$2,"Qty",'TALLY KG DUMP'!180:180)/1000)-(SUMIF('TALLY KG DUMP'!$1:$1,"GL",'TALLY KG DUMP'!180:180)/1000))</f>
        <v/>
      </c>
      <c r="F181" s="21" t="str">
        <f>IF($D181="","",(SUMIF('TALLY KG DUMP'!$1:$1,'ACH CALC'!F$2,'TALLY KG DUMP'!180:180)/1000))</f>
        <v/>
      </c>
      <c r="G181" s="21" t="str">
        <f>IF($D181="","",SUMIF('TALLY BOX DUMP'!$1:$1,'ACH CALC'!G$2,'TALLY BOX DUMP'!180:180)+Y181)</f>
        <v/>
      </c>
      <c r="H181" s="21" t="str">
        <f t="shared" si="6"/>
        <v/>
      </c>
      <c r="I181" s="21" t="str">
        <f>IF($D181="","",SUMIF('TALLY BOX DUMP'!$1:$1,'ACH CALC'!I$2,'TALLY BOX DUMP'!180:180)+AA181)</f>
        <v/>
      </c>
      <c r="J181" s="21" t="str">
        <f>IF($D181="","",SUMIF('TALLY BOX DUMP'!$1:$1,'ACH CALC'!J$2,'TALLY BOX DUMP'!180:180)+AB181)</f>
        <v/>
      </c>
      <c r="K181" s="21" t="str">
        <f>IF($D181="","",SUMIF('TALLY BOX DUMP'!$1:$1,'ACH CALC'!K$2,'TALLY BOX DUMP'!180:180)+AC181)</f>
        <v/>
      </c>
      <c r="L181" s="21" t="str">
        <f>IF($D181="","",SUMIF('TALLY BOX DUMP'!$1:$1,'ACH CALC'!L$2,'TALLY BOX DUMP'!180:180))</f>
        <v/>
      </c>
      <c r="M181" s="21" t="str">
        <f>IF($D181="","",SUMIF('TALLY BOX DUMP'!$1:$1,'ACH CALC'!M$2,'TALLY BOX DUMP'!180:180)+AD181)</f>
        <v/>
      </c>
      <c r="N181" s="21" t="str">
        <f>IF($D181="","",SUMIF('TALLY BOX DUMP'!$1:$1,'ACH CALC'!N$2,'TALLY BOX DUMP'!180:180))</f>
        <v/>
      </c>
      <c r="O181" s="21" t="str">
        <f>IF($D181="","",SUMIF('TALLY BOX DUMP'!$1:$1,'ACH CALC'!O$2,'TALLY BOX DUMP'!180:180))</f>
        <v/>
      </c>
      <c r="P181" s="21" t="str">
        <f>IF($D181="","",SUMIF('TALLY BOX DUMP'!$1:$1,'ACH CALC'!P$2,'TALLY BOX DUMP'!180:180))</f>
        <v/>
      </c>
      <c r="Q181" s="21" t="str">
        <f t="shared" si="7"/>
        <v/>
      </c>
      <c r="R181" s="21" t="str">
        <f>IF($D181="","",SUMIF('TALLY BOX DUMP'!$1:$1,'ACH CALC'!R$2,'TALLY BOX DUMP'!180:180))</f>
        <v/>
      </c>
      <c r="S181" s="21" t="str">
        <f>IF($D181="","",SUMIF('TALLY BOX DUMP'!$1:$1,'ACH CALC'!S$2,'TALLY BOX DUMP'!180:180))</f>
        <v/>
      </c>
      <c r="T181" s="21" t="str">
        <f>IF($D181="","",SUMIF('TALLY BOX DUMP'!$1:$1,'ACH CALC'!T$2,'TALLY BOX DUMP'!180:180))</f>
        <v/>
      </c>
      <c r="U181" s="21" t="str">
        <f>IF($D181="","",SUMIF('TALLY BOX DUMP'!$1:$1,'ACH CALC'!U$2,'TALLY BOX DUMP'!180:180))</f>
        <v/>
      </c>
      <c r="V181" s="21" t="str">
        <f>IF($D181="","",SUMIF('TALLY BOX DUMP'!$1:$1,'ACH CALC'!V$2,'TALLY BOX DUMP'!180:180))</f>
        <v/>
      </c>
      <c r="W181" s="21" t="str">
        <f>IF($D181="","",SUMIF('TALLY BOX DUMP'!$1:$1,'ACH CALC'!W$2,'TALLY BOX DUMP'!180:180))</f>
        <v/>
      </c>
      <c r="X181" s="21" t="str">
        <f>IF($D181="","",SUMIF('TALLY BOX DUMP'!$1:$1,'ACH CALC'!X$2,'TALLY BOX DUMP'!180:180))</f>
        <v/>
      </c>
      <c r="Y181" s="21" t="str">
        <f>IF($D181="","",SUMIF('TALLY BOX DUMP'!$1:$1,'ACH CALC'!Y$2,'TALLY BOX DUMP'!180:180))</f>
        <v/>
      </c>
      <c r="Z181" s="21" t="str">
        <f>IF($D181="","",SUMIF('TALLY BOX DUMP'!$1:$1,'ACH CALC'!Z$2,'TALLY BOX DUMP'!180:180)+AE181)</f>
        <v/>
      </c>
      <c r="AA181" s="21" t="str">
        <f>IF($D181="","",SUMIF('TALLY BOX DUMP'!$1:$1,'ACH CALC'!AA$2,'TALLY BOX DUMP'!180:180))</f>
        <v/>
      </c>
      <c r="AB181" s="21" t="str">
        <f>IF($D181="","",SUMIF('TALLY BOX DUMP'!$1:$1,'ACH CALC'!AB$2,'TALLY BOX DUMP'!180:180))</f>
        <v/>
      </c>
      <c r="AC181" s="21" t="str">
        <f>IF($D181="","",SUMIF('TALLY BOX DUMP'!$1:$1,'ACH CALC'!AC$2,'TALLY BOX DUMP'!180:180))</f>
        <v/>
      </c>
      <c r="AD181" s="21" t="str">
        <f>IF($D181="","",SUMIF('TALLY BOX DUMP'!$1:$1,'ACH CALC'!AD$2,'TALLY BOX DUMP'!180:180))</f>
        <v/>
      </c>
      <c r="AE181" s="21" t="str">
        <f>IF($D181="","",SUMIF('TALLY BOX DUMP'!$1:$1,'ACH CALC'!AE$2,'TALLY BOX DUMP'!180:180))</f>
        <v/>
      </c>
      <c r="AF181" s="21" t="str">
        <f>IF($D181="","",SUMIF('TALLY BOX DUMP'!$1:$1,'ACH CALC'!AF$2,'TALLY BOX DUMP'!180:180))</f>
        <v/>
      </c>
      <c r="AG181" s="21" t="str">
        <f>IF($D181="","",SUMIF('TALLY BOX DUMP'!$1:$1,'ACH CALC'!AG$2,'TALLY BOX DUMP'!180:180))</f>
        <v/>
      </c>
      <c r="AH181" s="21" t="str">
        <f>IF($D181="","",SUMIF('TALLY BOX DUMP'!$1:$1,'ACH CALC'!AH$2,'TALLY BOX DUMP'!180:180))</f>
        <v/>
      </c>
      <c r="AI181" s="21" t="str">
        <f>IF($D181="","",SUMIF('TALLY BOX DUMP'!$1:$1,'ACH CALC'!AI$2,'TALLY BOX DUMP'!180:180))</f>
        <v/>
      </c>
      <c r="AJ181" s="21" t="str">
        <f>IF($D181="","",SUMIF('TALLY BOX DUMP'!$1:$1,'ACH CALC'!AJ$2,'TALLY BOX DUMP'!180:180))</f>
        <v/>
      </c>
      <c r="AK181" s="21" t="str">
        <f>IF($D181="","",SUMIF('TALLY BOX DUMP'!$1:$1,'ACH CALC'!AK$2,'TALLY BOX DUMP'!180:180))</f>
        <v/>
      </c>
      <c r="AL181" s="21" t="str">
        <f>IF($D181="","",ROUND(SUMIF('TALLY KG DUMP'!$1:$1,'ACH CALC'!AL$2,'TALLY KG DUMP'!180:180)/30,1))</f>
        <v/>
      </c>
      <c r="AM181" s="21" t="str">
        <f>IF($D181="","",SUMIF('TALLY BOX DUMP'!$1:$1,'ACH CALC'!AM$2,'TALLY BOX DUMP'!180:180))</f>
        <v/>
      </c>
      <c r="AN181" s="21" t="str">
        <f>IF($D181="","",SUMIF('TALLY BOX DUMP'!$1:$1,'ACH CALC'!AN$2,'TALLY BOX DUMP'!180:180))</f>
        <v/>
      </c>
      <c r="AO181" s="21" t="str">
        <f>IF($D181="","",SUMIF('TALLY BOX DUMP'!$1:$1,'ACH CALC'!AO$2,'TALLY BOX DUMP'!180:180))</f>
        <v/>
      </c>
      <c r="AP181" s="21" t="str">
        <f>IF($D181="","",SUMIF('TALLY BOX DUMP'!$1:$1,'ACH CALC'!AP$2,'TALLY BOX DUMP'!180:180))</f>
        <v/>
      </c>
      <c r="AQ181" s="21" t="str">
        <f>IF($D181="","",ROUND(SUMIF('TALLY KG DUMP'!$1:$1,'ACH CALC'!AQ$2,'TALLY KG DUMP'!180:180)/30,1))</f>
        <v/>
      </c>
      <c r="AR181" s="21" t="str">
        <f>IF($D181="","",SUMIF('TALLY BOX DUMP'!$1:$1,'ACH CALC'!AR$2,'TALLY BOX DUMP'!180:180))</f>
        <v/>
      </c>
      <c r="AS181" s="21" t="str">
        <f>IF($D181="","",SUMIF('TALLY BOX DUMP'!$1:$1,'ACH CALC'!AS$2,'TALLY BOX DUMP'!180:180))</f>
        <v/>
      </c>
      <c r="AT181" s="21" t="str">
        <f>IF($D181="","",SUMIF('TALLY BOX DUMP'!$1:$1,'ACH CALC'!AT$2,'TALLY BOX DUMP'!180:180))</f>
        <v/>
      </c>
      <c r="AU181" s="21" t="str">
        <f>IF($D181="","",SUMIF('TALLY BOX DUMP'!$1:$1,'ACH CALC'!AU$2,'TALLY BOX DUMP'!180:180))</f>
        <v/>
      </c>
      <c r="AV181" s="21" t="str">
        <f>IF($D181="","",SUMIF('TALLY BOX DUMP'!$1:$1,'ACH CALC'!AV$2,'TALLY BOX DUMP'!180:180))</f>
        <v/>
      </c>
      <c r="AW181" s="21" t="str">
        <f>IF($D181="","",SUMIF('TALLY BOX DUMP'!$1:$1,'ACH CALC'!AW$2,'TALLY BOX DUMP'!180:180))</f>
        <v/>
      </c>
      <c r="AX181" s="21" t="str">
        <f>IF($D181="","",SUMIF('TALLY BOX DUMP'!$1:$1,'ACH CALC'!AX$2,'TALLY BOX DUMP'!180:180))</f>
        <v/>
      </c>
      <c r="AY181" s="21" t="str">
        <f>IF($D181="","",SUMIF('TALLY BOX DUMP'!$1:$1,'ACH CALC'!AY$2,'TALLY BOX DUMP'!180:180))</f>
        <v/>
      </c>
      <c r="AZ181" s="21" t="str">
        <f>IF($D181="","",SUMIF('TALLY BOX DUMP'!$1:$1,'ACH CALC'!AZ$2,'TALLY BOX DUMP'!180:180))</f>
        <v/>
      </c>
      <c r="BA181" s="69">
        <f>(SUMIF('TALLY KG DUMP'!$2:$2,"Qty",'TALLY KG DUMP'!180:180)/1000)-(SUMIF('TALLY KG DUMP'!$1:$1,"GL",'TALLY KG DUMP'!180:180)/1000)</f>
        <v>0</v>
      </c>
      <c r="BB181" s="21" t="b">
        <f t="shared" si="8"/>
        <v>0</v>
      </c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</row>
    <row r="182" spans="2:75" x14ac:dyDescent="0.25">
      <c r="B182" s="21"/>
      <c r="C182" s="21"/>
      <c r="D182" s="21"/>
      <c r="E182" s="21" t="str">
        <f>IF($D182="","",(SUMIF('TALLY KG DUMP'!$2:$2,"Qty",'TALLY KG DUMP'!181:181)/1000)-(SUMIF('TALLY KG DUMP'!$1:$1,"GL",'TALLY KG DUMP'!181:181)/1000))</f>
        <v/>
      </c>
      <c r="F182" s="21" t="str">
        <f>IF($D182="","",(SUMIF('TALLY KG DUMP'!$1:$1,'ACH CALC'!F$2,'TALLY KG DUMP'!181:181)/1000))</f>
        <v/>
      </c>
      <c r="G182" s="21" t="str">
        <f>IF($D182="","",SUMIF('TALLY BOX DUMP'!$1:$1,'ACH CALC'!G$2,'TALLY BOX DUMP'!181:181)+Y182)</f>
        <v/>
      </c>
      <c r="H182" s="21" t="str">
        <f t="shared" si="6"/>
        <v/>
      </c>
      <c r="I182" s="21" t="str">
        <f>IF($D182="","",SUMIF('TALLY BOX DUMP'!$1:$1,'ACH CALC'!I$2,'TALLY BOX DUMP'!181:181)+AA182)</f>
        <v/>
      </c>
      <c r="J182" s="21" t="str">
        <f>IF($D182="","",SUMIF('TALLY BOX DUMP'!$1:$1,'ACH CALC'!J$2,'TALLY BOX DUMP'!181:181)+AB182)</f>
        <v/>
      </c>
      <c r="K182" s="21" t="str">
        <f>IF($D182="","",SUMIF('TALLY BOX DUMP'!$1:$1,'ACH CALC'!K$2,'TALLY BOX DUMP'!181:181)+AC182)</f>
        <v/>
      </c>
      <c r="L182" s="21" t="str">
        <f>IF($D182="","",SUMIF('TALLY BOX DUMP'!$1:$1,'ACH CALC'!L$2,'TALLY BOX DUMP'!181:181))</f>
        <v/>
      </c>
      <c r="M182" s="21" t="str">
        <f>IF($D182="","",SUMIF('TALLY BOX DUMP'!$1:$1,'ACH CALC'!M$2,'TALLY BOX DUMP'!181:181)+AD182)</f>
        <v/>
      </c>
      <c r="N182" s="21" t="str">
        <f>IF($D182="","",SUMIF('TALLY BOX DUMP'!$1:$1,'ACH CALC'!N$2,'TALLY BOX DUMP'!181:181))</f>
        <v/>
      </c>
      <c r="O182" s="21" t="str">
        <f>IF($D182="","",SUMIF('TALLY BOX DUMP'!$1:$1,'ACH CALC'!O$2,'TALLY BOX DUMP'!181:181))</f>
        <v/>
      </c>
      <c r="P182" s="21" t="str">
        <f>IF($D182="","",SUMIF('TALLY BOX DUMP'!$1:$1,'ACH CALC'!P$2,'TALLY BOX DUMP'!181:181))</f>
        <v/>
      </c>
      <c r="Q182" s="21" t="str">
        <f t="shared" si="7"/>
        <v/>
      </c>
      <c r="R182" s="21" t="str">
        <f>IF($D182="","",SUMIF('TALLY BOX DUMP'!$1:$1,'ACH CALC'!R$2,'TALLY BOX DUMP'!181:181))</f>
        <v/>
      </c>
      <c r="S182" s="21" t="str">
        <f>IF($D182="","",SUMIF('TALLY BOX DUMP'!$1:$1,'ACH CALC'!S$2,'TALLY BOX DUMP'!181:181))</f>
        <v/>
      </c>
      <c r="T182" s="21" t="str">
        <f>IF($D182="","",SUMIF('TALLY BOX DUMP'!$1:$1,'ACH CALC'!T$2,'TALLY BOX DUMP'!181:181))</f>
        <v/>
      </c>
      <c r="U182" s="21" t="str">
        <f>IF($D182="","",SUMIF('TALLY BOX DUMP'!$1:$1,'ACH CALC'!U$2,'TALLY BOX DUMP'!181:181))</f>
        <v/>
      </c>
      <c r="V182" s="21" t="str">
        <f>IF($D182="","",SUMIF('TALLY BOX DUMP'!$1:$1,'ACH CALC'!V$2,'TALLY BOX DUMP'!181:181))</f>
        <v/>
      </c>
      <c r="W182" s="21" t="str">
        <f>IF($D182="","",SUMIF('TALLY BOX DUMP'!$1:$1,'ACH CALC'!W$2,'TALLY BOX DUMP'!181:181))</f>
        <v/>
      </c>
      <c r="X182" s="21" t="str">
        <f>IF($D182="","",SUMIF('TALLY BOX DUMP'!$1:$1,'ACH CALC'!X$2,'TALLY BOX DUMP'!181:181))</f>
        <v/>
      </c>
      <c r="Y182" s="21" t="str">
        <f>IF($D182="","",SUMIF('TALLY BOX DUMP'!$1:$1,'ACH CALC'!Y$2,'TALLY BOX DUMP'!181:181))</f>
        <v/>
      </c>
      <c r="Z182" s="21" t="str">
        <f>IF($D182="","",SUMIF('TALLY BOX DUMP'!$1:$1,'ACH CALC'!Z$2,'TALLY BOX DUMP'!181:181)+AE182)</f>
        <v/>
      </c>
      <c r="AA182" s="21" t="str">
        <f>IF($D182="","",SUMIF('TALLY BOX DUMP'!$1:$1,'ACH CALC'!AA$2,'TALLY BOX DUMP'!181:181))</f>
        <v/>
      </c>
      <c r="AB182" s="21" t="str">
        <f>IF($D182="","",SUMIF('TALLY BOX DUMP'!$1:$1,'ACH CALC'!AB$2,'TALLY BOX DUMP'!181:181))</f>
        <v/>
      </c>
      <c r="AC182" s="21" t="str">
        <f>IF($D182="","",SUMIF('TALLY BOX DUMP'!$1:$1,'ACH CALC'!AC$2,'TALLY BOX DUMP'!181:181))</f>
        <v/>
      </c>
      <c r="AD182" s="21" t="str">
        <f>IF($D182="","",SUMIF('TALLY BOX DUMP'!$1:$1,'ACH CALC'!AD$2,'TALLY BOX DUMP'!181:181))</f>
        <v/>
      </c>
      <c r="AE182" s="21" t="str">
        <f>IF($D182="","",SUMIF('TALLY BOX DUMP'!$1:$1,'ACH CALC'!AE$2,'TALLY BOX DUMP'!181:181))</f>
        <v/>
      </c>
      <c r="AF182" s="21" t="str">
        <f>IF($D182="","",SUMIF('TALLY BOX DUMP'!$1:$1,'ACH CALC'!AF$2,'TALLY BOX DUMP'!181:181))</f>
        <v/>
      </c>
      <c r="AG182" s="21" t="str">
        <f>IF($D182="","",SUMIF('TALLY BOX DUMP'!$1:$1,'ACH CALC'!AG$2,'TALLY BOX DUMP'!181:181))</f>
        <v/>
      </c>
      <c r="AH182" s="21" t="str">
        <f>IF($D182="","",SUMIF('TALLY BOX DUMP'!$1:$1,'ACH CALC'!AH$2,'TALLY BOX DUMP'!181:181))</f>
        <v/>
      </c>
      <c r="AI182" s="21" t="str">
        <f>IF($D182="","",SUMIF('TALLY BOX DUMP'!$1:$1,'ACH CALC'!AI$2,'TALLY BOX DUMP'!181:181))</f>
        <v/>
      </c>
      <c r="AJ182" s="21" t="str">
        <f>IF($D182="","",SUMIF('TALLY BOX DUMP'!$1:$1,'ACH CALC'!AJ$2,'TALLY BOX DUMP'!181:181))</f>
        <v/>
      </c>
      <c r="AK182" s="21" t="str">
        <f>IF($D182="","",SUMIF('TALLY BOX DUMP'!$1:$1,'ACH CALC'!AK$2,'TALLY BOX DUMP'!181:181))</f>
        <v/>
      </c>
      <c r="AL182" s="21" t="str">
        <f>IF($D182="","",ROUND(SUMIF('TALLY KG DUMP'!$1:$1,'ACH CALC'!AL$2,'TALLY KG DUMP'!181:181)/30,1))</f>
        <v/>
      </c>
      <c r="AM182" s="21" t="str">
        <f>IF($D182="","",SUMIF('TALLY BOX DUMP'!$1:$1,'ACH CALC'!AM$2,'TALLY BOX DUMP'!181:181))</f>
        <v/>
      </c>
      <c r="AN182" s="21" t="str">
        <f>IF($D182="","",SUMIF('TALLY BOX DUMP'!$1:$1,'ACH CALC'!AN$2,'TALLY BOX DUMP'!181:181))</f>
        <v/>
      </c>
      <c r="AO182" s="21" t="str">
        <f>IF($D182="","",SUMIF('TALLY BOX DUMP'!$1:$1,'ACH CALC'!AO$2,'TALLY BOX DUMP'!181:181))</f>
        <v/>
      </c>
      <c r="AP182" s="21" t="str">
        <f>IF($D182="","",SUMIF('TALLY BOX DUMP'!$1:$1,'ACH CALC'!AP$2,'TALLY BOX DUMP'!181:181))</f>
        <v/>
      </c>
      <c r="AQ182" s="21" t="str">
        <f>IF($D182="","",ROUND(SUMIF('TALLY KG DUMP'!$1:$1,'ACH CALC'!AQ$2,'TALLY KG DUMP'!181:181)/30,1))</f>
        <v/>
      </c>
      <c r="AR182" s="21" t="str">
        <f>IF($D182="","",SUMIF('TALLY BOX DUMP'!$1:$1,'ACH CALC'!AR$2,'TALLY BOX DUMP'!181:181))</f>
        <v/>
      </c>
      <c r="AS182" s="21" t="str">
        <f>IF($D182="","",SUMIF('TALLY BOX DUMP'!$1:$1,'ACH CALC'!AS$2,'TALLY BOX DUMP'!181:181))</f>
        <v/>
      </c>
      <c r="AT182" s="21" t="str">
        <f>IF($D182="","",SUMIF('TALLY BOX DUMP'!$1:$1,'ACH CALC'!AT$2,'TALLY BOX DUMP'!181:181))</f>
        <v/>
      </c>
      <c r="AU182" s="21" t="str">
        <f>IF($D182="","",SUMIF('TALLY BOX DUMP'!$1:$1,'ACH CALC'!AU$2,'TALLY BOX DUMP'!181:181))</f>
        <v/>
      </c>
      <c r="AV182" s="21" t="str">
        <f>IF($D182="","",SUMIF('TALLY BOX DUMP'!$1:$1,'ACH CALC'!AV$2,'TALLY BOX DUMP'!181:181))</f>
        <v/>
      </c>
      <c r="AW182" s="21" t="str">
        <f>IF($D182="","",SUMIF('TALLY BOX DUMP'!$1:$1,'ACH CALC'!AW$2,'TALLY BOX DUMP'!181:181))</f>
        <v/>
      </c>
      <c r="AX182" s="21" t="str">
        <f>IF($D182="","",SUMIF('TALLY BOX DUMP'!$1:$1,'ACH CALC'!AX$2,'TALLY BOX DUMP'!181:181))</f>
        <v/>
      </c>
      <c r="AY182" s="21" t="str">
        <f>IF($D182="","",SUMIF('TALLY BOX DUMP'!$1:$1,'ACH CALC'!AY$2,'TALLY BOX DUMP'!181:181))</f>
        <v/>
      </c>
      <c r="AZ182" s="21" t="str">
        <f>IF($D182="","",SUMIF('TALLY BOX DUMP'!$1:$1,'ACH CALC'!AZ$2,'TALLY BOX DUMP'!181:181))</f>
        <v/>
      </c>
      <c r="BA182" s="69">
        <f>(SUMIF('TALLY KG DUMP'!$2:$2,"Qty",'TALLY KG DUMP'!181:181)/1000)-(SUMIF('TALLY KG DUMP'!$1:$1,"GL",'TALLY KG DUMP'!181:181)/1000)</f>
        <v>0</v>
      </c>
      <c r="BB182" s="21" t="b">
        <f t="shared" si="8"/>
        <v>0</v>
      </c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</row>
    <row r="183" spans="2:75" x14ac:dyDescent="0.25">
      <c r="B183" s="21"/>
      <c r="C183" s="21"/>
      <c r="D183" s="21"/>
      <c r="E183" s="21" t="str">
        <f>IF($D183="","",(SUMIF('TALLY KG DUMP'!$2:$2,"Qty",'TALLY KG DUMP'!182:182)/1000)-(SUMIF('TALLY KG DUMP'!$1:$1,"GL",'TALLY KG DUMP'!182:182)/1000))</f>
        <v/>
      </c>
      <c r="F183" s="21" t="str">
        <f>IF($D183="","",(SUMIF('TALLY KG DUMP'!$1:$1,'ACH CALC'!F$2,'TALLY KG DUMP'!182:182)/1000))</f>
        <v/>
      </c>
      <c r="G183" s="21" t="str">
        <f>IF($D183="","",SUMIF('TALLY BOX DUMP'!$1:$1,'ACH CALC'!G$2,'TALLY BOX DUMP'!182:182)+Y183)</f>
        <v/>
      </c>
      <c r="H183" s="21" t="str">
        <f t="shared" si="6"/>
        <v/>
      </c>
      <c r="I183" s="21" t="str">
        <f>IF($D183="","",SUMIF('TALLY BOX DUMP'!$1:$1,'ACH CALC'!I$2,'TALLY BOX DUMP'!182:182)+AA183)</f>
        <v/>
      </c>
      <c r="J183" s="21" t="str">
        <f>IF($D183="","",SUMIF('TALLY BOX DUMP'!$1:$1,'ACH CALC'!J$2,'TALLY BOX DUMP'!182:182)+AB183)</f>
        <v/>
      </c>
      <c r="K183" s="21" t="str">
        <f>IF($D183="","",SUMIF('TALLY BOX DUMP'!$1:$1,'ACH CALC'!K$2,'TALLY BOX DUMP'!182:182)+AC183)</f>
        <v/>
      </c>
      <c r="L183" s="21" t="str">
        <f>IF($D183="","",SUMIF('TALLY BOX DUMP'!$1:$1,'ACH CALC'!L$2,'TALLY BOX DUMP'!182:182))</f>
        <v/>
      </c>
      <c r="M183" s="21" t="str">
        <f>IF($D183="","",SUMIF('TALLY BOX DUMP'!$1:$1,'ACH CALC'!M$2,'TALLY BOX DUMP'!182:182)+AD183)</f>
        <v/>
      </c>
      <c r="N183" s="21" t="str">
        <f>IF($D183="","",SUMIF('TALLY BOX DUMP'!$1:$1,'ACH CALC'!N$2,'TALLY BOX DUMP'!182:182))</f>
        <v/>
      </c>
      <c r="O183" s="21" t="str">
        <f>IF($D183="","",SUMIF('TALLY BOX DUMP'!$1:$1,'ACH CALC'!O$2,'TALLY BOX DUMP'!182:182))</f>
        <v/>
      </c>
      <c r="P183" s="21" t="str">
        <f>IF($D183="","",SUMIF('TALLY BOX DUMP'!$1:$1,'ACH CALC'!P$2,'TALLY BOX DUMP'!182:182))</f>
        <v/>
      </c>
      <c r="Q183" s="21" t="str">
        <f t="shared" si="7"/>
        <v/>
      </c>
      <c r="R183" s="21" t="str">
        <f>IF($D183="","",SUMIF('TALLY BOX DUMP'!$1:$1,'ACH CALC'!R$2,'TALLY BOX DUMP'!182:182))</f>
        <v/>
      </c>
      <c r="S183" s="21" t="str">
        <f>IF($D183="","",SUMIF('TALLY BOX DUMP'!$1:$1,'ACH CALC'!S$2,'TALLY BOX DUMP'!182:182))</f>
        <v/>
      </c>
      <c r="T183" s="21" t="str">
        <f>IF($D183="","",SUMIF('TALLY BOX DUMP'!$1:$1,'ACH CALC'!T$2,'TALLY BOX DUMP'!182:182))</f>
        <v/>
      </c>
      <c r="U183" s="21" t="str">
        <f>IF($D183="","",SUMIF('TALLY BOX DUMP'!$1:$1,'ACH CALC'!U$2,'TALLY BOX DUMP'!182:182))</f>
        <v/>
      </c>
      <c r="V183" s="21" t="str">
        <f>IF($D183="","",SUMIF('TALLY BOX DUMP'!$1:$1,'ACH CALC'!V$2,'TALLY BOX DUMP'!182:182))</f>
        <v/>
      </c>
      <c r="W183" s="21" t="str">
        <f>IF($D183="","",SUMIF('TALLY BOX DUMP'!$1:$1,'ACH CALC'!W$2,'TALLY BOX DUMP'!182:182))</f>
        <v/>
      </c>
      <c r="X183" s="21" t="str">
        <f>IF($D183="","",SUMIF('TALLY BOX DUMP'!$1:$1,'ACH CALC'!X$2,'TALLY BOX DUMP'!182:182))</f>
        <v/>
      </c>
      <c r="Y183" s="21" t="str">
        <f>IF($D183="","",SUMIF('TALLY BOX DUMP'!$1:$1,'ACH CALC'!Y$2,'TALLY BOX DUMP'!182:182))</f>
        <v/>
      </c>
      <c r="Z183" s="21" t="str">
        <f>IF($D183="","",SUMIF('TALLY BOX DUMP'!$1:$1,'ACH CALC'!Z$2,'TALLY BOX DUMP'!182:182)+AE183)</f>
        <v/>
      </c>
      <c r="AA183" s="21" t="str">
        <f>IF($D183="","",SUMIF('TALLY BOX DUMP'!$1:$1,'ACH CALC'!AA$2,'TALLY BOX DUMP'!182:182))</f>
        <v/>
      </c>
      <c r="AB183" s="21" t="str">
        <f>IF($D183="","",SUMIF('TALLY BOX DUMP'!$1:$1,'ACH CALC'!AB$2,'TALLY BOX DUMP'!182:182))</f>
        <v/>
      </c>
      <c r="AC183" s="21" t="str">
        <f>IF($D183="","",SUMIF('TALLY BOX DUMP'!$1:$1,'ACH CALC'!AC$2,'TALLY BOX DUMP'!182:182))</f>
        <v/>
      </c>
      <c r="AD183" s="21" t="str">
        <f>IF($D183="","",SUMIF('TALLY BOX DUMP'!$1:$1,'ACH CALC'!AD$2,'TALLY BOX DUMP'!182:182))</f>
        <v/>
      </c>
      <c r="AE183" s="21" t="str">
        <f>IF($D183="","",SUMIF('TALLY BOX DUMP'!$1:$1,'ACH CALC'!AE$2,'TALLY BOX DUMP'!182:182))</f>
        <v/>
      </c>
      <c r="AF183" s="21" t="str">
        <f>IF($D183="","",SUMIF('TALLY BOX DUMP'!$1:$1,'ACH CALC'!AF$2,'TALLY BOX DUMP'!182:182))</f>
        <v/>
      </c>
      <c r="AG183" s="21" t="str">
        <f>IF($D183="","",SUMIF('TALLY BOX DUMP'!$1:$1,'ACH CALC'!AG$2,'TALLY BOX DUMP'!182:182))</f>
        <v/>
      </c>
      <c r="AH183" s="21" t="str">
        <f>IF($D183="","",SUMIF('TALLY BOX DUMP'!$1:$1,'ACH CALC'!AH$2,'TALLY BOX DUMP'!182:182))</f>
        <v/>
      </c>
      <c r="AI183" s="21" t="str">
        <f>IF($D183="","",SUMIF('TALLY BOX DUMP'!$1:$1,'ACH CALC'!AI$2,'TALLY BOX DUMP'!182:182))</f>
        <v/>
      </c>
      <c r="AJ183" s="21" t="str">
        <f>IF($D183="","",SUMIF('TALLY BOX DUMP'!$1:$1,'ACH CALC'!AJ$2,'TALLY BOX DUMP'!182:182))</f>
        <v/>
      </c>
      <c r="AK183" s="21" t="str">
        <f>IF($D183="","",SUMIF('TALLY BOX DUMP'!$1:$1,'ACH CALC'!AK$2,'TALLY BOX DUMP'!182:182))</f>
        <v/>
      </c>
      <c r="AL183" s="21" t="str">
        <f>IF($D183="","",ROUND(SUMIF('TALLY KG DUMP'!$1:$1,'ACH CALC'!AL$2,'TALLY KG DUMP'!182:182)/30,1))</f>
        <v/>
      </c>
      <c r="AM183" s="21" t="str">
        <f>IF($D183="","",SUMIF('TALLY BOX DUMP'!$1:$1,'ACH CALC'!AM$2,'TALLY BOX DUMP'!182:182))</f>
        <v/>
      </c>
      <c r="AN183" s="21" t="str">
        <f>IF($D183="","",SUMIF('TALLY BOX DUMP'!$1:$1,'ACH CALC'!AN$2,'TALLY BOX DUMP'!182:182))</f>
        <v/>
      </c>
      <c r="AO183" s="21" t="str">
        <f>IF($D183="","",SUMIF('TALLY BOX DUMP'!$1:$1,'ACH CALC'!AO$2,'TALLY BOX DUMP'!182:182))</f>
        <v/>
      </c>
      <c r="AP183" s="21" t="str">
        <f>IF($D183="","",SUMIF('TALLY BOX DUMP'!$1:$1,'ACH CALC'!AP$2,'TALLY BOX DUMP'!182:182))</f>
        <v/>
      </c>
      <c r="AQ183" s="21" t="str">
        <f>IF($D183="","",ROUND(SUMIF('TALLY KG DUMP'!$1:$1,'ACH CALC'!AQ$2,'TALLY KG DUMP'!182:182)/30,1))</f>
        <v/>
      </c>
      <c r="AR183" s="21" t="str">
        <f>IF($D183="","",SUMIF('TALLY BOX DUMP'!$1:$1,'ACH CALC'!AR$2,'TALLY BOX DUMP'!182:182))</f>
        <v/>
      </c>
      <c r="AS183" s="21" t="str">
        <f>IF($D183="","",SUMIF('TALLY BOX DUMP'!$1:$1,'ACH CALC'!AS$2,'TALLY BOX DUMP'!182:182))</f>
        <v/>
      </c>
      <c r="AT183" s="21" t="str">
        <f>IF($D183="","",SUMIF('TALLY BOX DUMP'!$1:$1,'ACH CALC'!AT$2,'TALLY BOX DUMP'!182:182))</f>
        <v/>
      </c>
      <c r="AU183" s="21" t="str">
        <f>IF($D183="","",SUMIF('TALLY BOX DUMP'!$1:$1,'ACH CALC'!AU$2,'TALLY BOX DUMP'!182:182))</f>
        <v/>
      </c>
      <c r="AV183" s="21" t="str">
        <f>IF($D183="","",SUMIF('TALLY BOX DUMP'!$1:$1,'ACH CALC'!AV$2,'TALLY BOX DUMP'!182:182))</f>
        <v/>
      </c>
      <c r="AW183" s="21" t="str">
        <f>IF($D183="","",SUMIF('TALLY BOX DUMP'!$1:$1,'ACH CALC'!AW$2,'TALLY BOX DUMP'!182:182))</f>
        <v/>
      </c>
      <c r="AX183" s="21" t="str">
        <f>IF($D183="","",SUMIF('TALLY BOX DUMP'!$1:$1,'ACH CALC'!AX$2,'TALLY BOX DUMP'!182:182))</f>
        <v/>
      </c>
      <c r="AY183" s="21" t="str">
        <f>IF($D183="","",SUMIF('TALLY BOX DUMP'!$1:$1,'ACH CALC'!AY$2,'TALLY BOX DUMP'!182:182))</f>
        <v/>
      </c>
      <c r="AZ183" s="21" t="str">
        <f>IF($D183="","",SUMIF('TALLY BOX DUMP'!$1:$1,'ACH CALC'!AZ$2,'TALLY BOX DUMP'!182:182))</f>
        <v/>
      </c>
      <c r="BA183" s="69">
        <f>(SUMIF('TALLY KG DUMP'!$2:$2,"Qty",'TALLY KG DUMP'!182:182)/1000)-(SUMIF('TALLY KG DUMP'!$1:$1,"GL",'TALLY KG DUMP'!182:182)/1000)</f>
        <v>0</v>
      </c>
      <c r="BB183" s="21" t="b">
        <f t="shared" si="8"/>
        <v>0</v>
      </c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</row>
    <row r="184" spans="2:75" x14ac:dyDescent="0.25">
      <c r="B184" s="21"/>
      <c r="C184" s="21"/>
      <c r="D184" s="21"/>
      <c r="E184" s="21" t="str">
        <f>IF($D184="","",(SUMIF('TALLY KG DUMP'!$2:$2,"Qty",'TALLY KG DUMP'!183:183)/1000)-(SUMIF('TALLY KG DUMP'!$1:$1,"GL",'TALLY KG DUMP'!183:183)/1000))</f>
        <v/>
      </c>
      <c r="F184" s="21" t="str">
        <f>IF($D184="","",(SUMIF('TALLY KG DUMP'!$1:$1,'ACH CALC'!F$2,'TALLY KG DUMP'!183:183)/1000))</f>
        <v/>
      </c>
      <c r="G184" s="21" t="str">
        <f>IF($D184="","",SUMIF('TALLY BOX DUMP'!$1:$1,'ACH CALC'!G$2,'TALLY BOX DUMP'!183:183)+Y184)</f>
        <v/>
      </c>
      <c r="H184" s="21" t="str">
        <f t="shared" si="6"/>
        <v/>
      </c>
      <c r="I184" s="21" t="str">
        <f>IF($D184="","",SUMIF('TALLY BOX DUMP'!$1:$1,'ACH CALC'!I$2,'TALLY BOX DUMP'!183:183)+AA184)</f>
        <v/>
      </c>
      <c r="J184" s="21" t="str">
        <f>IF($D184="","",SUMIF('TALLY BOX DUMP'!$1:$1,'ACH CALC'!J$2,'TALLY BOX DUMP'!183:183)+AB184)</f>
        <v/>
      </c>
      <c r="K184" s="21" t="str">
        <f>IF($D184="","",SUMIF('TALLY BOX DUMP'!$1:$1,'ACH CALC'!K$2,'TALLY BOX DUMP'!183:183)+AC184)</f>
        <v/>
      </c>
      <c r="L184" s="21" t="str">
        <f>IF($D184="","",SUMIF('TALLY BOX DUMP'!$1:$1,'ACH CALC'!L$2,'TALLY BOX DUMP'!183:183))</f>
        <v/>
      </c>
      <c r="M184" s="21" t="str">
        <f>IF($D184="","",SUMIF('TALLY BOX DUMP'!$1:$1,'ACH CALC'!M$2,'TALLY BOX DUMP'!183:183)+AD184)</f>
        <v/>
      </c>
      <c r="N184" s="21" t="str">
        <f>IF($D184="","",SUMIF('TALLY BOX DUMP'!$1:$1,'ACH CALC'!N$2,'TALLY BOX DUMP'!183:183))</f>
        <v/>
      </c>
      <c r="O184" s="21" t="str">
        <f>IF($D184="","",SUMIF('TALLY BOX DUMP'!$1:$1,'ACH CALC'!O$2,'TALLY BOX DUMP'!183:183))</f>
        <v/>
      </c>
      <c r="P184" s="21" t="str">
        <f>IF($D184="","",SUMIF('TALLY BOX DUMP'!$1:$1,'ACH CALC'!P$2,'TALLY BOX DUMP'!183:183))</f>
        <v/>
      </c>
      <c r="Q184" s="21" t="str">
        <f t="shared" si="7"/>
        <v/>
      </c>
      <c r="R184" s="21" t="str">
        <f>IF($D184="","",SUMIF('TALLY BOX DUMP'!$1:$1,'ACH CALC'!R$2,'TALLY BOX DUMP'!183:183))</f>
        <v/>
      </c>
      <c r="S184" s="21" t="str">
        <f>IF($D184="","",SUMIF('TALLY BOX DUMP'!$1:$1,'ACH CALC'!S$2,'TALLY BOX DUMP'!183:183))</f>
        <v/>
      </c>
      <c r="T184" s="21" t="str">
        <f>IF($D184="","",SUMIF('TALLY BOX DUMP'!$1:$1,'ACH CALC'!T$2,'TALLY BOX DUMP'!183:183))</f>
        <v/>
      </c>
      <c r="U184" s="21" t="str">
        <f>IF($D184="","",SUMIF('TALLY BOX DUMP'!$1:$1,'ACH CALC'!U$2,'TALLY BOX DUMP'!183:183))</f>
        <v/>
      </c>
      <c r="V184" s="21" t="str">
        <f>IF($D184="","",SUMIF('TALLY BOX DUMP'!$1:$1,'ACH CALC'!V$2,'TALLY BOX DUMP'!183:183))</f>
        <v/>
      </c>
      <c r="W184" s="21" t="str">
        <f>IF($D184="","",SUMIF('TALLY BOX DUMP'!$1:$1,'ACH CALC'!W$2,'TALLY BOX DUMP'!183:183))</f>
        <v/>
      </c>
      <c r="X184" s="21" t="str">
        <f>IF($D184="","",SUMIF('TALLY BOX DUMP'!$1:$1,'ACH CALC'!X$2,'TALLY BOX DUMP'!183:183))</f>
        <v/>
      </c>
      <c r="Y184" s="21" t="str">
        <f>IF($D184="","",SUMIF('TALLY BOX DUMP'!$1:$1,'ACH CALC'!Y$2,'TALLY BOX DUMP'!183:183))</f>
        <v/>
      </c>
      <c r="Z184" s="21" t="str">
        <f>IF($D184="","",SUMIF('TALLY BOX DUMP'!$1:$1,'ACH CALC'!Z$2,'TALLY BOX DUMP'!183:183)+AE184)</f>
        <v/>
      </c>
      <c r="AA184" s="21" t="str">
        <f>IF($D184="","",SUMIF('TALLY BOX DUMP'!$1:$1,'ACH CALC'!AA$2,'TALLY BOX DUMP'!183:183))</f>
        <v/>
      </c>
      <c r="AB184" s="21" t="str">
        <f>IF($D184="","",SUMIF('TALLY BOX DUMP'!$1:$1,'ACH CALC'!AB$2,'TALLY BOX DUMP'!183:183))</f>
        <v/>
      </c>
      <c r="AC184" s="21" t="str">
        <f>IF($D184="","",SUMIF('TALLY BOX DUMP'!$1:$1,'ACH CALC'!AC$2,'TALLY BOX DUMP'!183:183))</f>
        <v/>
      </c>
      <c r="AD184" s="21" t="str">
        <f>IF($D184="","",SUMIF('TALLY BOX DUMP'!$1:$1,'ACH CALC'!AD$2,'TALLY BOX DUMP'!183:183))</f>
        <v/>
      </c>
      <c r="AE184" s="21" t="str">
        <f>IF($D184="","",SUMIF('TALLY BOX DUMP'!$1:$1,'ACH CALC'!AE$2,'TALLY BOX DUMP'!183:183))</f>
        <v/>
      </c>
      <c r="AF184" s="21" t="str">
        <f>IF($D184="","",SUMIF('TALLY BOX DUMP'!$1:$1,'ACH CALC'!AF$2,'TALLY BOX DUMP'!183:183))</f>
        <v/>
      </c>
      <c r="AG184" s="21" t="str">
        <f>IF($D184="","",SUMIF('TALLY BOX DUMP'!$1:$1,'ACH CALC'!AG$2,'TALLY BOX DUMP'!183:183))</f>
        <v/>
      </c>
      <c r="AH184" s="21" t="str">
        <f>IF($D184="","",SUMIF('TALLY BOX DUMP'!$1:$1,'ACH CALC'!AH$2,'TALLY BOX DUMP'!183:183))</f>
        <v/>
      </c>
      <c r="AI184" s="21" t="str">
        <f>IF($D184="","",SUMIF('TALLY BOX DUMP'!$1:$1,'ACH CALC'!AI$2,'TALLY BOX DUMP'!183:183))</f>
        <v/>
      </c>
      <c r="AJ184" s="21" t="str">
        <f>IF($D184="","",SUMIF('TALLY BOX DUMP'!$1:$1,'ACH CALC'!AJ$2,'TALLY BOX DUMP'!183:183))</f>
        <v/>
      </c>
      <c r="AK184" s="21" t="str">
        <f>IF($D184="","",SUMIF('TALLY BOX DUMP'!$1:$1,'ACH CALC'!AK$2,'TALLY BOX DUMP'!183:183))</f>
        <v/>
      </c>
      <c r="AL184" s="21" t="str">
        <f>IF($D184="","",ROUND(SUMIF('TALLY KG DUMP'!$1:$1,'ACH CALC'!AL$2,'TALLY KG DUMP'!183:183)/30,1))</f>
        <v/>
      </c>
      <c r="AM184" s="21" t="str">
        <f>IF($D184="","",SUMIF('TALLY BOX DUMP'!$1:$1,'ACH CALC'!AM$2,'TALLY BOX DUMP'!183:183))</f>
        <v/>
      </c>
      <c r="AN184" s="21" t="str">
        <f>IF($D184="","",SUMIF('TALLY BOX DUMP'!$1:$1,'ACH CALC'!AN$2,'TALLY BOX DUMP'!183:183))</f>
        <v/>
      </c>
      <c r="AO184" s="21" t="str">
        <f>IF($D184="","",SUMIF('TALLY BOX DUMP'!$1:$1,'ACH CALC'!AO$2,'TALLY BOX DUMP'!183:183))</f>
        <v/>
      </c>
      <c r="AP184" s="21" t="str">
        <f>IF($D184="","",SUMIF('TALLY BOX DUMP'!$1:$1,'ACH CALC'!AP$2,'TALLY BOX DUMP'!183:183))</f>
        <v/>
      </c>
      <c r="AQ184" s="21" t="str">
        <f>IF($D184="","",ROUND(SUMIF('TALLY KG DUMP'!$1:$1,'ACH CALC'!AQ$2,'TALLY KG DUMP'!183:183)/30,1))</f>
        <v/>
      </c>
      <c r="AR184" s="21" t="str">
        <f>IF($D184="","",SUMIF('TALLY BOX DUMP'!$1:$1,'ACH CALC'!AR$2,'TALLY BOX DUMP'!183:183))</f>
        <v/>
      </c>
      <c r="AS184" s="21" t="str">
        <f>IF($D184="","",SUMIF('TALLY BOX DUMP'!$1:$1,'ACH CALC'!AS$2,'TALLY BOX DUMP'!183:183))</f>
        <v/>
      </c>
      <c r="AT184" s="21" t="str">
        <f>IF($D184="","",SUMIF('TALLY BOX DUMP'!$1:$1,'ACH CALC'!AT$2,'TALLY BOX DUMP'!183:183))</f>
        <v/>
      </c>
      <c r="AU184" s="21" t="str">
        <f>IF($D184="","",SUMIF('TALLY BOX DUMP'!$1:$1,'ACH CALC'!AU$2,'TALLY BOX DUMP'!183:183))</f>
        <v/>
      </c>
      <c r="AV184" s="21" t="str">
        <f>IF($D184="","",SUMIF('TALLY BOX DUMP'!$1:$1,'ACH CALC'!AV$2,'TALLY BOX DUMP'!183:183))</f>
        <v/>
      </c>
      <c r="AW184" s="21" t="str">
        <f>IF($D184="","",SUMIF('TALLY BOX DUMP'!$1:$1,'ACH CALC'!AW$2,'TALLY BOX DUMP'!183:183))</f>
        <v/>
      </c>
      <c r="AX184" s="21" t="str">
        <f>IF($D184="","",SUMIF('TALLY BOX DUMP'!$1:$1,'ACH CALC'!AX$2,'TALLY BOX DUMP'!183:183))</f>
        <v/>
      </c>
      <c r="AY184" s="21" t="str">
        <f>IF($D184="","",SUMIF('TALLY BOX DUMP'!$1:$1,'ACH CALC'!AY$2,'TALLY BOX DUMP'!183:183))</f>
        <v/>
      </c>
      <c r="AZ184" s="21" t="str">
        <f>IF($D184="","",SUMIF('TALLY BOX DUMP'!$1:$1,'ACH CALC'!AZ$2,'TALLY BOX DUMP'!183:183))</f>
        <v/>
      </c>
      <c r="BA184" s="69">
        <f>(SUMIF('TALLY KG DUMP'!$2:$2,"Qty",'TALLY KG DUMP'!183:183)/1000)-(SUMIF('TALLY KG DUMP'!$1:$1,"GL",'TALLY KG DUMP'!183:183)/1000)</f>
        <v>0</v>
      </c>
      <c r="BB184" s="21" t="b">
        <f t="shared" si="8"/>
        <v>0</v>
      </c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</row>
    <row r="185" spans="2:75" x14ac:dyDescent="0.25">
      <c r="B185" s="21"/>
      <c r="C185" s="21"/>
      <c r="D185" s="21"/>
      <c r="E185" s="21" t="str">
        <f>IF($D185="","",(SUMIF('TALLY KG DUMP'!$2:$2,"Qty",'TALLY KG DUMP'!184:184)/1000)-(SUMIF('TALLY KG DUMP'!$1:$1,"GL",'TALLY KG DUMP'!184:184)/1000))</f>
        <v/>
      </c>
      <c r="F185" s="21" t="str">
        <f>IF($D185="","",(SUMIF('TALLY KG DUMP'!$1:$1,'ACH CALC'!F$2,'TALLY KG DUMP'!184:184)/1000))</f>
        <v/>
      </c>
      <c r="G185" s="21" t="str">
        <f>IF($D185="","",SUMIF('TALLY BOX DUMP'!$1:$1,'ACH CALC'!G$2,'TALLY BOX DUMP'!184:184)+Y185)</f>
        <v/>
      </c>
      <c r="H185" s="21" t="str">
        <f t="shared" si="6"/>
        <v/>
      </c>
      <c r="I185" s="21" t="str">
        <f>IF($D185="","",SUMIF('TALLY BOX DUMP'!$1:$1,'ACH CALC'!I$2,'TALLY BOX DUMP'!184:184)+AA185)</f>
        <v/>
      </c>
      <c r="J185" s="21" t="str">
        <f>IF($D185="","",SUMIF('TALLY BOX DUMP'!$1:$1,'ACH CALC'!J$2,'TALLY BOX DUMP'!184:184)+AB185)</f>
        <v/>
      </c>
      <c r="K185" s="21" t="str">
        <f>IF($D185="","",SUMIF('TALLY BOX DUMP'!$1:$1,'ACH CALC'!K$2,'TALLY BOX DUMP'!184:184)+AC185)</f>
        <v/>
      </c>
      <c r="L185" s="21" t="str">
        <f>IF($D185="","",SUMIF('TALLY BOX DUMP'!$1:$1,'ACH CALC'!L$2,'TALLY BOX DUMP'!184:184))</f>
        <v/>
      </c>
      <c r="M185" s="21" t="str">
        <f>IF($D185="","",SUMIF('TALLY BOX DUMP'!$1:$1,'ACH CALC'!M$2,'TALLY BOX DUMP'!184:184)+AD185)</f>
        <v/>
      </c>
      <c r="N185" s="21" t="str">
        <f>IF($D185="","",SUMIF('TALLY BOX DUMP'!$1:$1,'ACH CALC'!N$2,'TALLY BOX DUMP'!184:184))</f>
        <v/>
      </c>
      <c r="O185" s="21" t="str">
        <f>IF($D185="","",SUMIF('TALLY BOX DUMP'!$1:$1,'ACH CALC'!O$2,'TALLY BOX DUMP'!184:184))</f>
        <v/>
      </c>
      <c r="P185" s="21" t="str">
        <f>IF($D185="","",SUMIF('TALLY BOX DUMP'!$1:$1,'ACH CALC'!P$2,'TALLY BOX DUMP'!184:184))</f>
        <v/>
      </c>
      <c r="Q185" s="21" t="str">
        <f t="shared" si="7"/>
        <v/>
      </c>
      <c r="R185" s="21" t="str">
        <f>IF($D185="","",SUMIF('TALLY BOX DUMP'!$1:$1,'ACH CALC'!R$2,'TALLY BOX DUMP'!184:184))</f>
        <v/>
      </c>
      <c r="S185" s="21" t="str">
        <f>IF($D185="","",SUMIF('TALLY BOX DUMP'!$1:$1,'ACH CALC'!S$2,'TALLY BOX DUMP'!184:184))</f>
        <v/>
      </c>
      <c r="T185" s="21" t="str">
        <f>IF($D185="","",SUMIF('TALLY BOX DUMP'!$1:$1,'ACH CALC'!T$2,'TALLY BOX DUMP'!184:184))</f>
        <v/>
      </c>
      <c r="U185" s="21" t="str">
        <f>IF($D185="","",SUMIF('TALLY BOX DUMP'!$1:$1,'ACH CALC'!U$2,'TALLY BOX DUMP'!184:184))</f>
        <v/>
      </c>
      <c r="V185" s="21" t="str">
        <f>IF($D185="","",SUMIF('TALLY BOX DUMP'!$1:$1,'ACH CALC'!V$2,'TALLY BOX DUMP'!184:184))</f>
        <v/>
      </c>
      <c r="W185" s="21" t="str">
        <f>IF($D185="","",SUMIF('TALLY BOX DUMP'!$1:$1,'ACH CALC'!W$2,'TALLY BOX DUMP'!184:184))</f>
        <v/>
      </c>
      <c r="X185" s="21" t="str">
        <f>IF($D185="","",SUMIF('TALLY BOX DUMP'!$1:$1,'ACH CALC'!X$2,'TALLY BOX DUMP'!184:184))</f>
        <v/>
      </c>
      <c r="Y185" s="21" t="str">
        <f>IF($D185="","",SUMIF('TALLY BOX DUMP'!$1:$1,'ACH CALC'!Y$2,'TALLY BOX DUMP'!184:184))</f>
        <v/>
      </c>
      <c r="Z185" s="21" t="str">
        <f>IF($D185="","",SUMIF('TALLY BOX DUMP'!$1:$1,'ACH CALC'!Z$2,'TALLY BOX DUMP'!184:184)+AE185)</f>
        <v/>
      </c>
      <c r="AA185" s="21" t="str">
        <f>IF($D185="","",SUMIF('TALLY BOX DUMP'!$1:$1,'ACH CALC'!AA$2,'TALLY BOX DUMP'!184:184))</f>
        <v/>
      </c>
      <c r="AB185" s="21" t="str">
        <f>IF($D185="","",SUMIF('TALLY BOX DUMP'!$1:$1,'ACH CALC'!AB$2,'TALLY BOX DUMP'!184:184))</f>
        <v/>
      </c>
      <c r="AC185" s="21" t="str">
        <f>IF($D185="","",SUMIF('TALLY BOX DUMP'!$1:$1,'ACH CALC'!AC$2,'TALLY BOX DUMP'!184:184))</f>
        <v/>
      </c>
      <c r="AD185" s="21" t="str">
        <f>IF($D185="","",SUMIF('TALLY BOX DUMP'!$1:$1,'ACH CALC'!AD$2,'TALLY BOX DUMP'!184:184))</f>
        <v/>
      </c>
      <c r="AE185" s="21" t="str">
        <f>IF($D185="","",SUMIF('TALLY BOX DUMP'!$1:$1,'ACH CALC'!AE$2,'TALLY BOX DUMP'!184:184))</f>
        <v/>
      </c>
      <c r="AF185" s="21" t="str">
        <f>IF($D185="","",SUMIF('TALLY BOX DUMP'!$1:$1,'ACH CALC'!AF$2,'TALLY BOX DUMP'!184:184))</f>
        <v/>
      </c>
      <c r="AG185" s="21" t="str">
        <f>IF($D185="","",SUMIF('TALLY BOX DUMP'!$1:$1,'ACH CALC'!AG$2,'TALLY BOX DUMP'!184:184))</f>
        <v/>
      </c>
      <c r="AH185" s="21" t="str">
        <f>IF($D185="","",SUMIF('TALLY BOX DUMP'!$1:$1,'ACH CALC'!AH$2,'TALLY BOX DUMP'!184:184))</f>
        <v/>
      </c>
      <c r="AI185" s="21" t="str">
        <f>IF($D185="","",SUMIF('TALLY BOX DUMP'!$1:$1,'ACH CALC'!AI$2,'TALLY BOX DUMP'!184:184))</f>
        <v/>
      </c>
      <c r="AJ185" s="21" t="str">
        <f>IF($D185="","",SUMIF('TALLY BOX DUMP'!$1:$1,'ACH CALC'!AJ$2,'TALLY BOX DUMP'!184:184))</f>
        <v/>
      </c>
      <c r="AK185" s="21" t="str">
        <f>IF($D185="","",SUMIF('TALLY BOX DUMP'!$1:$1,'ACH CALC'!AK$2,'TALLY BOX DUMP'!184:184))</f>
        <v/>
      </c>
      <c r="AL185" s="21" t="str">
        <f>IF($D185="","",ROUND(SUMIF('TALLY KG DUMP'!$1:$1,'ACH CALC'!AL$2,'TALLY KG DUMP'!184:184)/30,1))</f>
        <v/>
      </c>
      <c r="AM185" s="21" t="str">
        <f>IF($D185="","",SUMIF('TALLY BOX DUMP'!$1:$1,'ACH CALC'!AM$2,'TALLY BOX DUMP'!184:184))</f>
        <v/>
      </c>
      <c r="AN185" s="21" t="str">
        <f>IF($D185="","",SUMIF('TALLY BOX DUMP'!$1:$1,'ACH CALC'!AN$2,'TALLY BOX DUMP'!184:184))</f>
        <v/>
      </c>
      <c r="AO185" s="21" t="str">
        <f>IF($D185="","",SUMIF('TALLY BOX DUMP'!$1:$1,'ACH CALC'!AO$2,'TALLY BOX DUMP'!184:184))</f>
        <v/>
      </c>
      <c r="AP185" s="21" t="str">
        <f>IF($D185="","",SUMIF('TALLY BOX DUMP'!$1:$1,'ACH CALC'!AP$2,'TALLY BOX DUMP'!184:184))</f>
        <v/>
      </c>
      <c r="AQ185" s="21" t="str">
        <f>IF($D185="","",ROUND(SUMIF('TALLY KG DUMP'!$1:$1,'ACH CALC'!AQ$2,'TALLY KG DUMP'!184:184)/30,1))</f>
        <v/>
      </c>
      <c r="AR185" s="21" t="str">
        <f>IF($D185="","",SUMIF('TALLY BOX DUMP'!$1:$1,'ACH CALC'!AR$2,'TALLY BOX DUMP'!184:184))</f>
        <v/>
      </c>
      <c r="AS185" s="21" t="str">
        <f>IF($D185="","",SUMIF('TALLY BOX DUMP'!$1:$1,'ACH CALC'!AS$2,'TALLY BOX DUMP'!184:184))</f>
        <v/>
      </c>
      <c r="AT185" s="21" t="str">
        <f>IF($D185="","",SUMIF('TALLY BOX DUMP'!$1:$1,'ACH CALC'!AT$2,'TALLY BOX DUMP'!184:184))</f>
        <v/>
      </c>
      <c r="AU185" s="21" t="str">
        <f>IF($D185="","",SUMIF('TALLY BOX DUMP'!$1:$1,'ACH CALC'!AU$2,'TALLY BOX DUMP'!184:184))</f>
        <v/>
      </c>
      <c r="AV185" s="21" t="str">
        <f>IF($D185="","",SUMIF('TALLY BOX DUMP'!$1:$1,'ACH CALC'!AV$2,'TALLY BOX DUMP'!184:184))</f>
        <v/>
      </c>
      <c r="AW185" s="21" t="str">
        <f>IF($D185="","",SUMIF('TALLY BOX DUMP'!$1:$1,'ACH CALC'!AW$2,'TALLY BOX DUMP'!184:184))</f>
        <v/>
      </c>
      <c r="AX185" s="21" t="str">
        <f>IF($D185="","",SUMIF('TALLY BOX DUMP'!$1:$1,'ACH CALC'!AX$2,'TALLY BOX DUMP'!184:184))</f>
        <v/>
      </c>
      <c r="AY185" s="21" t="str">
        <f>IF($D185="","",SUMIF('TALLY BOX DUMP'!$1:$1,'ACH CALC'!AY$2,'TALLY BOX DUMP'!184:184))</f>
        <v/>
      </c>
      <c r="AZ185" s="21" t="str">
        <f>IF($D185="","",SUMIF('TALLY BOX DUMP'!$1:$1,'ACH CALC'!AZ$2,'TALLY BOX DUMP'!184:184))</f>
        <v/>
      </c>
      <c r="BA185" s="69">
        <f>(SUMIF('TALLY KG DUMP'!$2:$2,"Qty",'TALLY KG DUMP'!184:184)/1000)-(SUMIF('TALLY KG DUMP'!$1:$1,"GL",'TALLY KG DUMP'!184:184)/1000)</f>
        <v>0</v>
      </c>
      <c r="BB185" s="21" t="b">
        <f t="shared" si="8"/>
        <v>0</v>
      </c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</row>
    <row r="186" spans="2:75" x14ac:dyDescent="0.25">
      <c r="B186" s="21"/>
      <c r="C186" s="21"/>
      <c r="D186" s="21"/>
      <c r="E186" s="21" t="str">
        <f>IF($D186="","",(SUMIF('TALLY KG DUMP'!$2:$2,"Qty",'TALLY KG DUMP'!185:185)/1000)-(SUMIF('TALLY KG DUMP'!$1:$1,"GL",'TALLY KG DUMP'!185:185)/1000))</f>
        <v/>
      </c>
      <c r="F186" s="21" t="str">
        <f>IF($D186="","",(SUMIF('TALLY KG DUMP'!$1:$1,'ACH CALC'!F$2,'TALLY KG DUMP'!185:185)/1000))</f>
        <v/>
      </c>
      <c r="G186" s="21" t="str">
        <f>IF($D186="","",SUMIF('TALLY BOX DUMP'!$1:$1,'ACH CALC'!G$2,'TALLY BOX DUMP'!185:185)+Y186)</f>
        <v/>
      </c>
      <c r="H186" s="21" t="str">
        <f t="shared" si="6"/>
        <v/>
      </c>
      <c r="I186" s="21" t="str">
        <f>IF($D186="","",SUMIF('TALLY BOX DUMP'!$1:$1,'ACH CALC'!I$2,'TALLY BOX DUMP'!185:185)+AA186)</f>
        <v/>
      </c>
      <c r="J186" s="21" t="str">
        <f>IF($D186="","",SUMIF('TALLY BOX DUMP'!$1:$1,'ACH CALC'!J$2,'TALLY BOX DUMP'!185:185)+AB186)</f>
        <v/>
      </c>
      <c r="K186" s="21" t="str">
        <f>IF($D186="","",SUMIF('TALLY BOX DUMP'!$1:$1,'ACH CALC'!K$2,'TALLY BOX DUMP'!185:185)+AC186)</f>
        <v/>
      </c>
      <c r="L186" s="21" t="str">
        <f>IF($D186="","",SUMIF('TALLY BOX DUMP'!$1:$1,'ACH CALC'!L$2,'TALLY BOX DUMP'!185:185))</f>
        <v/>
      </c>
      <c r="M186" s="21" t="str">
        <f>IF($D186="","",SUMIF('TALLY BOX DUMP'!$1:$1,'ACH CALC'!M$2,'TALLY BOX DUMP'!185:185)+AD186)</f>
        <v/>
      </c>
      <c r="N186" s="21" t="str">
        <f>IF($D186="","",SUMIF('TALLY BOX DUMP'!$1:$1,'ACH CALC'!N$2,'TALLY BOX DUMP'!185:185))</f>
        <v/>
      </c>
      <c r="O186" s="21" t="str">
        <f>IF($D186="","",SUMIF('TALLY BOX DUMP'!$1:$1,'ACH CALC'!O$2,'TALLY BOX DUMP'!185:185))</f>
        <v/>
      </c>
      <c r="P186" s="21" t="str">
        <f>IF($D186="","",SUMIF('TALLY BOX DUMP'!$1:$1,'ACH CALC'!P$2,'TALLY BOX DUMP'!185:185))</f>
        <v/>
      </c>
      <c r="Q186" s="21" t="str">
        <f t="shared" si="7"/>
        <v/>
      </c>
      <c r="R186" s="21" t="str">
        <f>IF($D186="","",SUMIF('TALLY BOX DUMP'!$1:$1,'ACH CALC'!R$2,'TALLY BOX DUMP'!185:185))</f>
        <v/>
      </c>
      <c r="S186" s="21" t="str">
        <f>IF($D186="","",SUMIF('TALLY BOX DUMP'!$1:$1,'ACH CALC'!S$2,'TALLY BOX DUMP'!185:185))</f>
        <v/>
      </c>
      <c r="T186" s="21" t="str">
        <f>IF($D186="","",SUMIF('TALLY BOX DUMP'!$1:$1,'ACH CALC'!T$2,'TALLY BOX DUMP'!185:185))</f>
        <v/>
      </c>
      <c r="U186" s="21" t="str">
        <f>IF($D186="","",SUMIF('TALLY BOX DUMP'!$1:$1,'ACH CALC'!U$2,'TALLY BOX DUMP'!185:185))</f>
        <v/>
      </c>
      <c r="V186" s="21" t="str">
        <f>IF($D186="","",SUMIF('TALLY BOX DUMP'!$1:$1,'ACH CALC'!V$2,'TALLY BOX DUMP'!185:185))</f>
        <v/>
      </c>
      <c r="W186" s="21" t="str">
        <f>IF($D186="","",SUMIF('TALLY BOX DUMP'!$1:$1,'ACH CALC'!W$2,'TALLY BOX DUMP'!185:185))</f>
        <v/>
      </c>
      <c r="X186" s="21" t="str">
        <f>IF($D186="","",SUMIF('TALLY BOX DUMP'!$1:$1,'ACH CALC'!X$2,'TALLY BOX DUMP'!185:185))</f>
        <v/>
      </c>
      <c r="Y186" s="21" t="str">
        <f>IF($D186="","",SUMIF('TALLY BOX DUMP'!$1:$1,'ACH CALC'!Y$2,'TALLY BOX DUMP'!185:185))</f>
        <v/>
      </c>
      <c r="Z186" s="21" t="str">
        <f>IF($D186="","",SUMIF('TALLY BOX DUMP'!$1:$1,'ACH CALC'!Z$2,'TALLY BOX DUMP'!185:185)+AE186)</f>
        <v/>
      </c>
      <c r="AA186" s="21" t="str">
        <f>IF($D186="","",SUMIF('TALLY BOX DUMP'!$1:$1,'ACH CALC'!AA$2,'TALLY BOX DUMP'!185:185))</f>
        <v/>
      </c>
      <c r="AB186" s="21" t="str">
        <f>IF($D186="","",SUMIF('TALLY BOX DUMP'!$1:$1,'ACH CALC'!AB$2,'TALLY BOX DUMP'!185:185))</f>
        <v/>
      </c>
      <c r="AC186" s="21" t="str">
        <f>IF($D186="","",SUMIF('TALLY BOX DUMP'!$1:$1,'ACH CALC'!AC$2,'TALLY BOX DUMP'!185:185))</f>
        <v/>
      </c>
      <c r="AD186" s="21" t="str">
        <f>IF($D186="","",SUMIF('TALLY BOX DUMP'!$1:$1,'ACH CALC'!AD$2,'TALLY BOX DUMP'!185:185))</f>
        <v/>
      </c>
      <c r="AE186" s="21" t="str">
        <f>IF($D186="","",SUMIF('TALLY BOX DUMP'!$1:$1,'ACH CALC'!AE$2,'TALLY BOX DUMP'!185:185))</f>
        <v/>
      </c>
      <c r="AF186" s="21" t="str">
        <f>IF($D186="","",SUMIF('TALLY BOX DUMP'!$1:$1,'ACH CALC'!AF$2,'TALLY BOX DUMP'!185:185))</f>
        <v/>
      </c>
      <c r="AG186" s="21" t="str">
        <f>IF($D186="","",SUMIF('TALLY BOX DUMP'!$1:$1,'ACH CALC'!AG$2,'TALLY BOX DUMP'!185:185))</f>
        <v/>
      </c>
      <c r="AH186" s="21" t="str">
        <f>IF($D186="","",SUMIF('TALLY BOX DUMP'!$1:$1,'ACH CALC'!AH$2,'TALLY BOX DUMP'!185:185))</f>
        <v/>
      </c>
      <c r="AI186" s="21" t="str">
        <f>IF($D186="","",SUMIF('TALLY BOX DUMP'!$1:$1,'ACH CALC'!AI$2,'TALLY BOX DUMP'!185:185))</f>
        <v/>
      </c>
      <c r="AJ186" s="21" t="str">
        <f>IF($D186="","",SUMIF('TALLY BOX DUMP'!$1:$1,'ACH CALC'!AJ$2,'TALLY BOX DUMP'!185:185))</f>
        <v/>
      </c>
      <c r="AK186" s="21" t="str">
        <f>IF($D186="","",SUMIF('TALLY BOX DUMP'!$1:$1,'ACH CALC'!AK$2,'TALLY BOX DUMP'!185:185))</f>
        <v/>
      </c>
      <c r="AL186" s="21" t="str">
        <f>IF($D186="","",ROUND(SUMIF('TALLY KG DUMP'!$1:$1,'ACH CALC'!AL$2,'TALLY KG DUMP'!185:185)/30,1))</f>
        <v/>
      </c>
      <c r="AM186" s="21" t="str">
        <f>IF($D186="","",SUMIF('TALLY BOX DUMP'!$1:$1,'ACH CALC'!AM$2,'TALLY BOX DUMP'!185:185))</f>
        <v/>
      </c>
      <c r="AN186" s="21" t="str">
        <f>IF($D186="","",SUMIF('TALLY BOX DUMP'!$1:$1,'ACH CALC'!AN$2,'TALLY BOX DUMP'!185:185))</f>
        <v/>
      </c>
      <c r="AO186" s="21" t="str">
        <f>IF($D186="","",SUMIF('TALLY BOX DUMP'!$1:$1,'ACH CALC'!AO$2,'TALLY BOX DUMP'!185:185))</f>
        <v/>
      </c>
      <c r="AP186" s="21" t="str">
        <f>IF($D186="","",SUMIF('TALLY BOX DUMP'!$1:$1,'ACH CALC'!AP$2,'TALLY BOX DUMP'!185:185))</f>
        <v/>
      </c>
      <c r="AQ186" s="21" t="str">
        <f>IF($D186="","",ROUND(SUMIF('TALLY KG DUMP'!$1:$1,'ACH CALC'!AQ$2,'TALLY KG DUMP'!185:185)/30,1))</f>
        <v/>
      </c>
      <c r="AR186" s="21" t="str">
        <f>IF($D186="","",SUMIF('TALLY BOX DUMP'!$1:$1,'ACH CALC'!AR$2,'TALLY BOX DUMP'!185:185))</f>
        <v/>
      </c>
      <c r="AS186" s="21" t="str">
        <f>IF($D186="","",SUMIF('TALLY BOX DUMP'!$1:$1,'ACH CALC'!AS$2,'TALLY BOX DUMP'!185:185))</f>
        <v/>
      </c>
      <c r="AT186" s="21" t="str">
        <f>IF($D186="","",SUMIF('TALLY BOX DUMP'!$1:$1,'ACH CALC'!AT$2,'TALLY BOX DUMP'!185:185))</f>
        <v/>
      </c>
      <c r="AU186" s="21" t="str">
        <f>IF($D186="","",SUMIF('TALLY BOX DUMP'!$1:$1,'ACH CALC'!AU$2,'TALLY BOX DUMP'!185:185))</f>
        <v/>
      </c>
      <c r="AV186" s="21" t="str">
        <f>IF($D186="","",SUMIF('TALLY BOX DUMP'!$1:$1,'ACH CALC'!AV$2,'TALLY BOX DUMP'!185:185))</f>
        <v/>
      </c>
      <c r="AW186" s="21" t="str">
        <f>IF($D186="","",SUMIF('TALLY BOX DUMP'!$1:$1,'ACH CALC'!AW$2,'TALLY BOX DUMP'!185:185))</f>
        <v/>
      </c>
      <c r="AX186" s="21" t="str">
        <f>IF($D186="","",SUMIF('TALLY BOX DUMP'!$1:$1,'ACH CALC'!AX$2,'TALLY BOX DUMP'!185:185))</f>
        <v/>
      </c>
      <c r="AY186" s="21" t="str">
        <f>IF($D186="","",SUMIF('TALLY BOX DUMP'!$1:$1,'ACH CALC'!AY$2,'TALLY BOX DUMP'!185:185))</f>
        <v/>
      </c>
      <c r="AZ186" s="21" t="str">
        <f>IF($D186="","",SUMIF('TALLY BOX DUMP'!$1:$1,'ACH CALC'!AZ$2,'TALLY BOX DUMP'!185:185))</f>
        <v/>
      </c>
      <c r="BA186" s="69">
        <f>(SUMIF('TALLY KG DUMP'!$2:$2,"Qty",'TALLY KG DUMP'!185:185)/1000)-(SUMIF('TALLY KG DUMP'!$1:$1,"GL",'TALLY KG DUMP'!185:185)/1000)</f>
        <v>0</v>
      </c>
      <c r="BB186" s="21" t="b">
        <f t="shared" si="8"/>
        <v>0</v>
      </c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</row>
    <row r="187" spans="2:75" x14ac:dyDescent="0.25">
      <c r="B187" s="21"/>
      <c r="C187" s="21"/>
      <c r="D187" s="21"/>
      <c r="E187" s="21" t="str">
        <f>IF($D187="","",(SUMIF('TALLY KG DUMP'!$2:$2,"Qty",'TALLY KG DUMP'!186:186)/1000)-(SUMIF('TALLY KG DUMP'!$1:$1,"GL",'TALLY KG DUMP'!186:186)/1000))</f>
        <v/>
      </c>
      <c r="F187" s="21" t="str">
        <f>IF($D187="","",(SUMIF('TALLY KG DUMP'!$1:$1,'ACH CALC'!F$2,'TALLY KG DUMP'!186:186)/1000))</f>
        <v/>
      </c>
      <c r="G187" s="21" t="str">
        <f>IF($D187="","",SUMIF('TALLY BOX DUMP'!$1:$1,'ACH CALC'!G$2,'TALLY BOX DUMP'!186:186)+Y187)</f>
        <v/>
      </c>
      <c r="H187" s="21" t="str">
        <f t="shared" si="6"/>
        <v/>
      </c>
      <c r="I187" s="21" t="str">
        <f>IF($D187="","",SUMIF('TALLY BOX DUMP'!$1:$1,'ACH CALC'!I$2,'TALLY BOX DUMP'!186:186)+AA187)</f>
        <v/>
      </c>
      <c r="J187" s="21" t="str">
        <f>IF($D187="","",SUMIF('TALLY BOX DUMP'!$1:$1,'ACH CALC'!J$2,'TALLY BOX DUMP'!186:186)+AB187)</f>
        <v/>
      </c>
      <c r="K187" s="21" t="str">
        <f>IF($D187="","",SUMIF('TALLY BOX DUMP'!$1:$1,'ACH CALC'!K$2,'TALLY BOX DUMP'!186:186)+AC187)</f>
        <v/>
      </c>
      <c r="L187" s="21" t="str">
        <f>IF($D187="","",SUMIF('TALLY BOX DUMP'!$1:$1,'ACH CALC'!L$2,'TALLY BOX DUMP'!186:186))</f>
        <v/>
      </c>
      <c r="M187" s="21" t="str">
        <f>IF($D187="","",SUMIF('TALLY BOX DUMP'!$1:$1,'ACH CALC'!M$2,'TALLY BOX DUMP'!186:186)+AD187)</f>
        <v/>
      </c>
      <c r="N187" s="21" t="str">
        <f>IF($D187="","",SUMIF('TALLY BOX DUMP'!$1:$1,'ACH CALC'!N$2,'TALLY BOX DUMP'!186:186))</f>
        <v/>
      </c>
      <c r="O187" s="21" t="str">
        <f>IF($D187="","",SUMIF('TALLY BOX DUMP'!$1:$1,'ACH CALC'!O$2,'TALLY BOX DUMP'!186:186))</f>
        <v/>
      </c>
      <c r="P187" s="21" t="str">
        <f>IF($D187="","",SUMIF('TALLY BOX DUMP'!$1:$1,'ACH CALC'!P$2,'TALLY BOX DUMP'!186:186))</f>
        <v/>
      </c>
      <c r="Q187" s="21" t="str">
        <f t="shared" si="7"/>
        <v/>
      </c>
      <c r="R187" s="21" t="str">
        <f>IF($D187="","",SUMIF('TALLY BOX DUMP'!$1:$1,'ACH CALC'!R$2,'TALLY BOX DUMP'!186:186))</f>
        <v/>
      </c>
      <c r="S187" s="21" t="str">
        <f>IF($D187="","",SUMIF('TALLY BOX DUMP'!$1:$1,'ACH CALC'!S$2,'TALLY BOX DUMP'!186:186))</f>
        <v/>
      </c>
      <c r="T187" s="21" t="str">
        <f>IF($D187="","",SUMIF('TALLY BOX DUMP'!$1:$1,'ACH CALC'!T$2,'TALLY BOX DUMP'!186:186))</f>
        <v/>
      </c>
      <c r="U187" s="21" t="str">
        <f>IF($D187="","",SUMIF('TALLY BOX DUMP'!$1:$1,'ACH CALC'!U$2,'TALLY BOX DUMP'!186:186))</f>
        <v/>
      </c>
      <c r="V187" s="21" t="str">
        <f>IF($D187="","",SUMIF('TALLY BOX DUMP'!$1:$1,'ACH CALC'!V$2,'TALLY BOX DUMP'!186:186))</f>
        <v/>
      </c>
      <c r="W187" s="21" t="str">
        <f>IF($D187="","",SUMIF('TALLY BOX DUMP'!$1:$1,'ACH CALC'!W$2,'TALLY BOX DUMP'!186:186))</f>
        <v/>
      </c>
      <c r="X187" s="21" t="str">
        <f>IF($D187="","",SUMIF('TALLY BOX DUMP'!$1:$1,'ACH CALC'!X$2,'TALLY BOX DUMP'!186:186))</f>
        <v/>
      </c>
      <c r="Y187" s="21" t="str">
        <f>IF($D187="","",SUMIF('TALLY BOX DUMP'!$1:$1,'ACH CALC'!Y$2,'TALLY BOX DUMP'!186:186))</f>
        <v/>
      </c>
      <c r="Z187" s="21" t="str">
        <f>IF($D187="","",SUMIF('TALLY BOX DUMP'!$1:$1,'ACH CALC'!Z$2,'TALLY BOX DUMP'!186:186)+AE187)</f>
        <v/>
      </c>
      <c r="AA187" s="21" t="str">
        <f>IF($D187="","",SUMIF('TALLY BOX DUMP'!$1:$1,'ACH CALC'!AA$2,'TALLY BOX DUMP'!186:186))</f>
        <v/>
      </c>
      <c r="AB187" s="21" t="str">
        <f>IF($D187="","",SUMIF('TALLY BOX DUMP'!$1:$1,'ACH CALC'!AB$2,'TALLY BOX DUMP'!186:186))</f>
        <v/>
      </c>
      <c r="AC187" s="21" t="str">
        <f>IF($D187="","",SUMIF('TALLY BOX DUMP'!$1:$1,'ACH CALC'!AC$2,'TALLY BOX DUMP'!186:186))</f>
        <v/>
      </c>
      <c r="AD187" s="21" t="str">
        <f>IF($D187="","",SUMIF('TALLY BOX DUMP'!$1:$1,'ACH CALC'!AD$2,'TALLY BOX DUMP'!186:186))</f>
        <v/>
      </c>
      <c r="AE187" s="21" t="str">
        <f>IF($D187="","",SUMIF('TALLY BOX DUMP'!$1:$1,'ACH CALC'!AE$2,'TALLY BOX DUMP'!186:186))</f>
        <v/>
      </c>
      <c r="AF187" s="21" t="str">
        <f>IF($D187="","",SUMIF('TALLY BOX DUMP'!$1:$1,'ACH CALC'!AF$2,'TALLY BOX DUMP'!186:186))</f>
        <v/>
      </c>
      <c r="AG187" s="21" t="str">
        <f>IF($D187="","",SUMIF('TALLY BOX DUMP'!$1:$1,'ACH CALC'!AG$2,'TALLY BOX DUMP'!186:186))</f>
        <v/>
      </c>
      <c r="AH187" s="21" t="str">
        <f>IF($D187="","",SUMIF('TALLY BOX DUMP'!$1:$1,'ACH CALC'!AH$2,'TALLY BOX DUMP'!186:186))</f>
        <v/>
      </c>
      <c r="AI187" s="21" t="str">
        <f>IF($D187="","",SUMIF('TALLY BOX DUMP'!$1:$1,'ACH CALC'!AI$2,'TALLY BOX DUMP'!186:186))</f>
        <v/>
      </c>
      <c r="AJ187" s="21" t="str">
        <f>IF($D187="","",SUMIF('TALLY BOX DUMP'!$1:$1,'ACH CALC'!AJ$2,'TALLY BOX DUMP'!186:186))</f>
        <v/>
      </c>
      <c r="AK187" s="21" t="str">
        <f>IF($D187="","",SUMIF('TALLY BOX DUMP'!$1:$1,'ACH CALC'!AK$2,'TALLY BOX DUMP'!186:186))</f>
        <v/>
      </c>
      <c r="AL187" s="21" t="str">
        <f>IF($D187="","",ROUND(SUMIF('TALLY KG DUMP'!$1:$1,'ACH CALC'!AL$2,'TALLY KG DUMP'!186:186)/30,1))</f>
        <v/>
      </c>
      <c r="AM187" s="21" t="str">
        <f>IF($D187="","",SUMIF('TALLY BOX DUMP'!$1:$1,'ACH CALC'!AM$2,'TALLY BOX DUMP'!186:186))</f>
        <v/>
      </c>
      <c r="AN187" s="21" t="str">
        <f>IF($D187="","",SUMIF('TALLY BOX DUMP'!$1:$1,'ACH CALC'!AN$2,'TALLY BOX DUMP'!186:186))</f>
        <v/>
      </c>
      <c r="AO187" s="21" t="str">
        <f>IF($D187="","",SUMIF('TALLY BOX DUMP'!$1:$1,'ACH CALC'!AO$2,'TALLY BOX DUMP'!186:186))</f>
        <v/>
      </c>
      <c r="AP187" s="21" t="str">
        <f>IF($D187="","",SUMIF('TALLY BOX DUMP'!$1:$1,'ACH CALC'!AP$2,'TALLY BOX DUMP'!186:186))</f>
        <v/>
      </c>
      <c r="AQ187" s="21" t="str">
        <f>IF($D187="","",ROUND(SUMIF('TALLY KG DUMP'!$1:$1,'ACH CALC'!AQ$2,'TALLY KG DUMP'!186:186)/30,1))</f>
        <v/>
      </c>
      <c r="AR187" s="21" t="str">
        <f>IF($D187="","",SUMIF('TALLY BOX DUMP'!$1:$1,'ACH CALC'!AR$2,'TALLY BOX DUMP'!186:186))</f>
        <v/>
      </c>
      <c r="AS187" s="21" t="str">
        <f>IF($D187="","",SUMIF('TALLY BOX DUMP'!$1:$1,'ACH CALC'!AS$2,'TALLY BOX DUMP'!186:186))</f>
        <v/>
      </c>
      <c r="AT187" s="21" t="str">
        <f>IF($D187="","",SUMIF('TALLY BOX DUMP'!$1:$1,'ACH CALC'!AT$2,'TALLY BOX DUMP'!186:186))</f>
        <v/>
      </c>
      <c r="AU187" s="21" t="str">
        <f>IF($D187="","",SUMIF('TALLY BOX DUMP'!$1:$1,'ACH CALC'!AU$2,'TALLY BOX DUMP'!186:186))</f>
        <v/>
      </c>
      <c r="AV187" s="21" t="str">
        <f>IF($D187="","",SUMIF('TALLY BOX DUMP'!$1:$1,'ACH CALC'!AV$2,'TALLY BOX DUMP'!186:186))</f>
        <v/>
      </c>
      <c r="AW187" s="21" t="str">
        <f>IF($D187="","",SUMIF('TALLY BOX DUMP'!$1:$1,'ACH CALC'!AW$2,'TALLY BOX DUMP'!186:186))</f>
        <v/>
      </c>
      <c r="AX187" s="21" t="str">
        <f>IF($D187="","",SUMIF('TALLY BOX DUMP'!$1:$1,'ACH CALC'!AX$2,'TALLY BOX DUMP'!186:186))</f>
        <v/>
      </c>
      <c r="AY187" s="21" t="str">
        <f>IF($D187="","",SUMIF('TALLY BOX DUMP'!$1:$1,'ACH CALC'!AY$2,'TALLY BOX DUMP'!186:186))</f>
        <v/>
      </c>
      <c r="AZ187" s="21" t="str">
        <f>IF($D187="","",SUMIF('TALLY BOX DUMP'!$1:$1,'ACH CALC'!AZ$2,'TALLY BOX DUMP'!186:186))</f>
        <v/>
      </c>
      <c r="BA187" s="69">
        <f>(SUMIF('TALLY KG DUMP'!$2:$2,"Qty",'TALLY KG DUMP'!186:186)/1000)-(SUMIF('TALLY KG DUMP'!$1:$1,"GL",'TALLY KG DUMP'!186:186)/1000)</f>
        <v>0</v>
      </c>
      <c r="BB187" s="21" t="b">
        <f t="shared" si="8"/>
        <v>0</v>
      </c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</row>
    <row r="188" spans="2:75" x14ac:dyDescent="0.25">
      <c r="B188" s="21"/>
      <c r="C188" s="21"/>
      <c r="D188" s="21"/>
      <c r="E188" s="21" t="str">
        <f>IF($D188="","",(SUMIF('TALLY KG DUMP'!$2:$2,"Qty",'TALLY KG DUMP'!187:187)/1000)-(SUMIF('TALLY KG DUMP'!$1:$1,"GL",'TALLY KG DUMP'!187:187)/1000))</f>
        <v/>
      </c>
      <c r="F188" s="21" t="str">
        <f>IF($D188="","",(SUMIF('TALLY KG DUMP'!$1:$1,'ACH CALC'!F$2,'TALLY KG DUMP'!187:187)/1000))</f>
        <v/>
      </c>
      <c r="G188" s="21" t="str">
        <f>IF($D188="","",SUMIF('TALLY BOX DUMP'!$1:$1,'ACH CALC'!G$2,'TALLY BOX DUMP'!187:187)+Y188)</f>
        <v/>
      </c>
      <c r="H188" s="21" t="str">
        <f t="shared" si="6"/>
        <v/>
      </c>
      <c r="I188" s="21" t="str">
        <f>IF($D188="","",SUMIF('TALLY BOX DUMP'!$1:$1,'ACH CALC'!I$2,'TALLY BOX DUMP'!187:187)+AA188)</f>
        <v/>
      </c>
      <c r="J188" s="21" t="str">
        <f>IF($D188="","",SUMIF('TALLY BOX DUMP'!$1:$1,'ACH CALC'!J$2,'TALLY BOX DUMP'!187:187)+AB188)</f>
        <v/>
      </c>
      <c r="K188" s="21" t="str">
        <f>IF($D188="","",SUMIF('TALLY BOX DUMP'!$1:$1,'ACH CALC'!K$2,'TALLY BOX DUMP'!187:187)+AC188)</f>
        <v/>
      </c>
      <c r="L188" s="21" t="str">
        <f>IF($D188="","",SUMIF('TALLY BOX DUMP'!$1:$1,'ACH CALC'!L$2,'TALLY BOX DUMP'!187:187))</f>
        <v/>
      </c>
      <c r="M188" s="21" t="str">
        <f>IF($D188="","",SUMIF('TALLY BOX DUMP'!$1:$1,'ACH CALC'!M$2,'TALLY BOX DUMP'!187:187)+AD188)</f>
        <v/>
      </c>
      <c r="N188" s="21" t="str">
        <f>IF($D188="","",SUMIF('TALLY BOX DUMP'!$1:$1,'ACH CALC'!N$2,'TALLY BOX DUMP'!187:187))</f>
        <v/>
      </c>
      <c r="O188" s="21" t="str">
        <f>IF($D188="","",SUMIF('TALLY BOX DUMP'!$1:$1,'ACH CALC'!O$2,'TALLY BOX DUMP'!187:187))</f>
        <v/>
      </c>
      <c r="P188" s="21" t="str">
        <f>IF($D188="","",SUMIF('TALLY BOX DUMP'!$1:$1,'ACH CALC'!P$2,'TALLY BOX DUMP'!187:187))</f>
        <v/>
      </c>
      <c r="Q188" s="21" t="str">
        <f t="shared" si="7"/>
        <v/>
      </c>
      <c r="R188" s="21" t="str">
        <f>IF($D188="","",SUMIF('TALLY BOX DUMP'!$1:$1,'ACH CALC'!R$2,'TALLY BOX DUMP'!187:187))</f>
        <v/>
      </c>
      <c r="S188" s="21" t="str">
        <f>IF($D188="","",SUMIF('TALLY BOX DUMP'!$1:$1,'ACH CALC'!S$2,'TALLY BOX DUMP'!187:187))</f>
        <v/>
      </c>
      <c r="T188" s="21" t="str">
        <f>IF($D188="","",SUMIF('TALLY BOX DUMP'!$1:$1,'ACH CALC'!T$2,'TALLY BOX DUMP'!187:187))</f>
        <v/>
      </c>
      <c r="U188" s="21" t="str">
        <f>IF($D188="","",SUMIF('TALLY BOX DUMP'!$1:$1,'ACH CALC'!U$2,'TALLY BOX DUMP'!187:187))</f>
        <v/>
      </c>
      <c r="V188" s="21" t="str">
        <f>IF($D188="","",SUMIF('TALLY BOX DUMP'!$1:$1,'ACH CALC'!V$2,'TALLY BOX DUMP'!187:187))</f>
        <v/>
      </c>
      <c r="W188" s="21" t="str">
        <f>IF($D188="","",SUMIF('TALLY BOX DUMP'!$1:$1,'ACH CALC'!W$2,'TALLY BOX DUMP'!187:187))</f>
        <v/>
      </c>
      <c r="X188" s="21" t="str">
        <f>IF($D188="","",SUMIF('TALLY BOX DUMP'!$1:$1,'ACH CALC'!X$2,'TALLY BOX DUMP'!187:187))</f>
        <v/>
      </c>
      <c r="Y188" s="21" t="str">
        <f>IF($D188="","",SUMIF('TALLY BOX DUMP'!$1:$1,'ACH CALC'!Y$2,'TALLY BOX DUMP'!187:187))</f>
        <v/>
      </c>
      <c r="Z188" s="21" t="str">
        <f>IF($D188="","",SUMIF('TALLY BOX DUMP'!$1:$1,'ACH CALC'!Z$2,'TALLY BOX DUMP'!187:187)+AE188)</f>
        <v/>
      </c>
      <c r="AA188" s="21" t="str">
        <f>IF($D188="","",SUMIF('TALLY BOX DUMP'!$1:$1,'ACH CALC'!AA$2,'TALLY BOX DUMP'!187:187))</f>
        <v/>
      </c>
      <c r="AB188" s="21" t="str">
        <f>IF($D188="","",SUMIF('TALLY BOX DUMP'!$1:$1,'ACH CALC'!AB$2,'TALLY BOX DUMP'!187:187))</f>
        <v/>
      </c>
      <c r="AC188" s="21" t="str">
        <f>IF($D188="","",SUMIF('TALLY BOX DUMP'!$1:$1,'ACH CALC'!AC$2,'TALLY BOX DUMP'!187:187))</f>
        <v/>
      </c>
      <c r="AD188" s="21" t="str">
        <f>IF($D188="","",SUMIF('TALLY BOX DUMP'!$1:$1,'ACH CALC'!AD$2,'TALLY BOX DUMP'!187:187))</f>
        <v/>
      </c>
      <c r="AE188" s="21" t="str">
        <f>IF($D188="","",SUMIF('TALLY BOX DUMP'!$1:$1,'ACH CALC'!AE$2,'TALLY BOX DUMP'!187:187))</f>
        <v/>
      </c>
      <c r="AF188" s="21" t="str">
        <f>IF($D188="","",SUMIF('TALLY BOX DUMP'!$1:$1,'ACH CALC'!AF$2,'TALLY BOX DUMP'!187:187))</f>
        <v/>
      </c>
      <c r="AG188" s="21" t="str">
        <f>IF($D188="","",SUMIF('TALLY BOX DUMP'!$1:$1,'ACH CALC'!AG$2,'TALLY BOX DUMP'!187:187))</f>
        <v/>
      </c>
      <c r="AH188" s="21" t="str">
        <f>IF($D188="","",SUMIF('TALLY BOX DUMP'!$1:$1,'ACH CALC'!AH$2,'TALLY BOX DUMP'!187:187))</f>
        <v/>
      </c>
      <c r="AI188" s="21" t="str">
        <f>IF($D188="","",SUMIF('TALLY BOX DUMP'!$1:$1,'ACH CALC'!AI$2,'TALLY BOX DUMP'!187:187))</f>
        <v/>
      </c>
      <c r="AJ188" s="21" t="str">
        <f>IF($D188="","",SUMIF('TALLY BOX DUMP'!$1:$1,'ACH CALC'!AJ$2,'TALLY BOX DUMP'!187:187))</f>
        <v/>
      </c>
      <c r="AK188" s="21" t="str">
        <f>IF($D188="","",SUMIF('TALLY BOX DUMP'!$1:$1,'ACH CALC'!AK$2,'TALLY BOX DUMP'!187:187))</f>
        <v/>
      </c>
      <c r="AL188" s="21" t="str">
        <f>IF($D188="","",ROUND(SUMIF('TALLY KG DUMP'!$1:$1,'ACH CALC'!AL$2,'TALLY KG DUMP'!187:187)/30,1))</f>
        <v/>
      </c>
      <c r="AM188" s="21" t="str">
        <f>IF($D188="","",SUMIF('TALLY BOX DUMP'!$1:$1,'ACH CALC'!AM$2,'TALLY BOX DUMP'!187:187))</f>
        <v/>
      </c>
      <c r="AN188" s="21" t="str">
        <f>IF($D188="","",SUMIF('TALLY BOX DUMP'!$1:$1,'ACH CALC'!AN$2,'TALLY BOX DUMP'!187:187))</f>
        <v/>
      </c>
      <c r="AO188" s="21" t="str">
        <f>IF($D188="","",SUMIF('TALLY BOX DUMP'!$1:$1,'ACH CALC'!AO$2,'TALLY BOX DUMP'!187:187))</f>
        <v/>
      </c>
      <c r="AP188" s="21" t="str">
        <f>IF($D188="","",SUMIF('TALLY BOX DUMP'!$1:$1,'ACH CALC'!AP$2,'TALLY BOX DUMP'!187:187))</f>
        <v/>
      </c>
      <c r="AQ188" s="21" t="str">
        <f>IF($D188="","",ROUND(SUMIF('TALLY KG DUMP'!$1:$1,'ACH CALC'!AQ$2,'TALLY KG DUMP'!187:187)/30,1))</f>
        <v/>
      </c>
      <c r="AR188" s="21" t="str">
        <f>IF($D188="","",SUMIF('TALLY BOX DUMP'!$1:$1,'ACH CALC'!AR$2,'TALLY BOX DUMP'!187:187))</f>
        <v/>
      </c>
      <c r="AS188" s="21" t="str">
        <f>IF($D188="","",SUMIF('TALLY BOX DUMP'!$1:$1,'ACH CALC'!AS$2,'TALLY BOX DUMP'!187:187))</f>
        <v/>
      </c>
      <c r="AT188" s="21" t="str">
        <f>IF($D188="","",SUMIF('TALLY BOX DUMP'!$1:$1,'ACH CALC'!AT$2,'TALLY BOX DUMP'!187:187))</f>
        <v/>
      </c>
      <c r="AU188" s="21" t="str">
        <f>IF($D188="","",SUMIF('TALLY BOX DUMP'!$1:$1,'ACH CALC'!AU$2,'TALLY BOX DUMP'!187:187))</f>
        <v/>
      </c>
      <c r="AV188" s="21" t="str">
        <f>IF($D188="","",SUMIF('TALLY BOX DUMP'!$1:$1,'ACH CALC'!AV$2,'TALLY BOX DUMP'!187:187))</f>
        <v/>
      </c>
      <c r="AW188" s="21" t="str">
        <f>IF($D188="","",SUMIF('TALLY BOX DUMP'!$1:$1,'ACH CALC'!AW$2,'TALLY BOX DUMP'!187:187))</f>
        <v/>
      </c>
      <c r="AX188" s="21" t="str">
        <f>IF($D188="","",SUMIF('TALLY BOX DUMP'!$1:$1,'ACH CALC'!AX$2,'TALLY BOX DUMP'!187:187))</f>
        <v/>
      </c>
      <c r="AY188" s="21" t="str">
        <f>IF($D188="","",SUMIF('TALLY BOX DUMP'!$1:$1,'ACH CALC'!AY$2,'TALLY BOX DUMP'!187:187))</f>
        <v/>
      </c>
      <c r="AZ188" s="21" t="str">
        <f>IF($D188="","",SUMIF('TALLY BOX DUMP'!$1:$1,'ACH CALC'!AZ$2,'TALLY BOX DUMP'!187:187))</f>
        <v/>
      </c>
      <c r="BA188" s="69">
        <f>(SUMIF('TALLY KG DUMP'!$2:$2,"Qty",'TALLY KG DUMP'!187:187)/1000)-(SUMIF('TALLY KG DUMP'!$1:$1,"GL",'TALLY KG DUMP'!187:187)/1000)</f>
        <v>0</v>
      </c>
      <c r="BB188" s="21" t="b">
        <f t="shared" si="8"/>
        <v>0</v>
      </c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</row>
    <row r="189" spans="2:75" x14ac:dyDescent="0.25">
      <c r="B189" s="21"/>
      <c r="C189" s="21"/>
      <c r="D189" s="21"/>
      <c r="E189" s="21" t="str">
        <f>IF($D189="","",(SUMIF('TALLY KG DUMP'!$2:$2,"Qty",'TALLY KG DUMP'!188:188)/1000)-(SUMIF('TALLY KG DUMP'!$1:$1,"GL",'TALLY KG DUMP'!188:188)/1000))</f>
        <v/>
      </c>
      <c r="F189" s="21" t="str">
        <f>IF($D189="","",(SUMIF('TALLY KG DUMP'!$1:$1,'ACH CALC'!F$2,'TALLY KG DUMP'!188:188)/1000))</f>
        <v/>
      </c>
      <c r="G189" s="21" t="str">
        <f>IF($D189="","",SUMIF('TALLY BOX DUMP'!$1:$1,'ACH CALC'!G$2,'TALLY BOX DUMP'!188:188)+Y189)</f>
        <v/>
      </c>
      <c r="H189" s="21" t="str">
        <f t="shared" si="6"/>
        <v/>
      </c>
      <c r="I189" s="21" t="str">
        <f>IF($D189="","",SUMIF('TALLY BOX DUMP'!$1:$1,'ACH CALC'!I$2,'TALLY BOX DUMP'!188:188)+AA189)</f>
        <v/>
      </c>
      <c r="J189" s="21" t="str">
        <f>IF($D189="","",SUMIF('TALLY BOX DUMP'!$1:$1,'ACH CALC'!J$2,'TALLY BOX DUMP'!188:188)+AB189)</f>
        <v/>
      </c>
      <c r="K189" s="21" t="str">
        <f>IF($D189="","",SUMIF('TALLY BOX DUMP'!$1:$1,'ACH CALC'!K$2,'TALLY BOX DUMP'!188:188)+AC189)</f>
        <v/>
      </c>
      <c r="L189" s="21" t="str">
        <f>IF($D189="","",SUMIF('TALLY BOX DUMP'!$1:$1,'ACH CALC'!L$2,'TALLY BOX DUMP'!188:188))</f>
        <v/>
      </c>
      <c r="M189" s="21" t="str">
        <f>IF($D189="","",SUMIF('TALLY BOX DUMP'!$1:$1,'ACH CALC'!M$2,'TALLY BOX DUMP'!188:188)+AD189)</f>
        <v/>
      </c>
      <c r="N189" s="21" t="str">
        <f>IF($D189="","",SUMIF('TALLY BOX DUMP'!$1:$1,'ACH CALC'!N$2,'TALLY BOX DUMP'!188:188))</f>
        <v/>
      </c>
      <c r="O189" s="21" t="str">
        <f>IF($D189="","",SUMIF('TALLY BOX DUMP'!$1:$1,'ACH CALC'!O$2,'TALLY BOX DUMP'!188:188))</f>
        <v/>
      </c>
      <c r="P189" s="21" t="str">
        <f>IF($D189="","",SUMIF('TALLY BOX DUMP'!$1:$1,'ACH CALC'!P$2,'TALLY BOX DUMP'!188:188))</f>
        <v/>
      </c>
      <c r="Q189" s="21" t="str">
        <f t="shared" si="7"/>
        <v/>
      </c>
      <c r="R189" s="21" t="str">
        <f>IF($D189="","",SUMIF('TALLY BOX DUMP'!$1:$1,'ACH CALC'!R$2,'TALLY BOX DUMP'!188:188))</f>
        <v/>
      </c>
      <c r="S189" s="21" t="str">
        <f>IF($D189="","",SUMIF('TALLY BOX DUMP'!$1:$1,'ACH CALC'!S$2,'TALLY BOX DUMP'!188:188))</f>
        <v/>
      </c>
      <c r="T189" s="21" t="str">
        <f>IF($D189="","",SUMIF('TALLY BOX DUMP'!$1:$1,'ACH CALC'!T$2,'TALLY BOX DUMP'!188:188))</f>
        <v/>
      </c>
      <c r="U189" s="21" t="str">
        <f>IF($D189="","",SUMIF('TALLY BOX DUMP'!$1:$1,'ACH CALC'!U$2,'TALLY BOX DUMP'!188:188))</f>
        <v/>
      </c>
      <c r="V189" s="21" t="str">
        <f>IF($D189="","",SUMIF('TALLY BOX DUMP'!$1:$1,'ACH CALC'!V$2,'TALLY BOX DUMP'!188:188))</f>
        <v/>
      </c>
      <c r="W189" s="21" t="str">
        <f>IF($D189="","",SUMIF('TALLY BOX DUMP'!$1:$1,'ACH CALC'!W$2,'TALLY BOX DUMP'!188:188))</f>
        <v/>
      </c>
      <c r="X189" s="21" t="str">
        <f>IF($D189="","",SUMIF('TALLY BOX DUMP'!$1:$1,'ACH CALC'!X$2,'TALLY BOX DUMP'!188:188))</f>
        <v/>
      </c>
      <c r="Y189" s="21" t="str">
        <f>IF($D189="","",SUMIF('TALLY BOX DUMP'!$1:$1,'ACH CALC'!Y$2,'TALLY BOX DUMP'!188:188))</f>
        <v/>
      </c>
      <c r="Z189" s="21" t="str">
        <f>IF($D189="","",SUMIF('TALLY BOX DUMP'!$1:$1,'ACH CALC'!Z$2,'TALLY BOX DUMP'!188:188)+AE189)</f>
        <v/>
      </c>
      <c r="AA189" s="21" t="str">
        <f>IF($D189="","",SUMIF('TALLY BOX DUMP'!$1:$1,'ACH CALC'!AA$2,'TALLY BOX DUMP'!188:188))</f>
        <v/>
      </c>
      <c r="AB189" s="21" t="str">
        <f>IF($D189="","",SUMIF('TALLY BOX DUMP'!$1:$1,'ACH CALC'!AB$2,'TALLY BOX DUMP'!188:188))</f>
        <v/>
      </c>
      <c r="AC189" s="21" t="str">
        <f>IF($D189="","",SUMIF('TALLY BOX DUMP'!$1:$1,'ACH CALC'!AC$2,'TALLY BOX DUMP'!188:188))</f>
        <v/>
      </c>
      <c r="AD189" s="21" t="str">
        <f>IF($D189="","",SUMIF('TALLY BOX DUMP'!$1:$1,'ACH CALC'!AD$2,'TALLY BOX DUMP'!188:188))</f>
        <v/>
      </c>
      <c r="AE189" s="21" t="str">
        <f>IF($D189="","",SUMIF('TALLY BOX DUMP'!$1:$1,'ACH CALC'!AE$2,'TALLY BOX DUMP'!188:188))</f>
        <v/>
      </c>
      <c r="AF189" s="21" t="str">
        <f>IF($D189="","",SUMIF('TALLY BOX DUMP'!$1:$1,'ACH CALC'!AF$2,'TALLY BOX DUMP'!188:188))</f>
        <v/>
      </c>
      <c r="AG189" s="21" t="str">
        <f>IF($D189="","",SUMIF('TALLY BOX DUMP'!$1:$1,'ACH CALC'!AG$2,'TALLY BOX DUMP'!188:188))</f>
        <v/>
      </c>
      <c r="AH189" s="21" t="str">
        <f>IF($D189="","",SUMIF('TALLY BOX DUMP'!$1:$1,'ACH CALC'!AH$2,'TALLY BOX DUMP'!188:188))</f>
        <v/>
      </c>
      <c r="AI189" s="21" t="str">
        <f>IF($D189="","",SUMIF('TALLY BOX DUMP'!$1:$1,'ACH CALC'!AI$2,'TALLY BOX DUMP'!188:188))</f>
        <v/>
      </c>
      <c r="AJ189" s="21" t="str">
        <f>IF($D189="","",SUMIF('TALLY BOX DUMP'!$1:$1,'ACH CALC'!AJ$2,'TALLY BOX DUMP'!188:188))</f>
        <v/>
      </c>
      <c r="AK189" s="21" t="str">
        <f>IF($D189="","",SUMIF('TALLY BOX DUMP'!$1:$1,'ACH CALC'!AK$2,'TALLY BOX DUMP'!188:188))</f>
        <v/>
      </c>
      <c r="AL189" s="21" t="str">
        <f>IF($D189="","",ROUND(SUMIF('TALLY KG DUMP'!$1:$1,'ACH CALC'!AL$2,'TALLY KG DUMP'!188:188)/30,1))</f>
        <v/>
      </c>
      <c r="AM189" s="21" t="str">
        <f>IF($D189="","",SUMIF('TALLY BOX DUMP'!$1:$1,'ACH CALC'!AM$2,'TALLY BOX DUMP'!188:188))</f>
        <v/>
      </c>
      <c r="AN189" s="21" t="str">
        <f>IF($D189="","",SUMIF('TALLY BOX DUMP'!$1:$1,'ACH CALC'!AN$2,'TALLY BOX DUMP'!188:188))</f>
        <v/>
      </c>
      <c r="AO189" s="21" t="str">
        <f>IF($D189="","",SUMIF('TALLY BOX DUMP'!$1:$1,'ACH CALC'!AO$2,'TALLY BOX DUMP'!188:188))</f>
        <v/>
      </c>
      <c r="AP189" s="21" t="str">
        <f>IF($D189="","",SUMIF('TALLY BOX DUMP'!$1:$1,'ACH CALC'!AP$2,'TALLY BOX DUMP'!188:188))</f>
        <v/>
      </c>
      <c r="AQ189" s="21" t="str">
        <f>IF($D189="","",ROUND(SUMIF('TALLY KG DUMP'!$1:$1,'ACH CALC'!AQ$2,'TALLY KG DUMP'!188:188)/30,1))</f>
        <v/>
      </c>
      <c r="AR189" s="21" t="str">
        <f>IF($D189="","",SUMIF('TALLY BOX DUMP'!$1:$1,'ACH CALC'!AR$2,'TALLY BOX DUMP'!188:188))</f>
        <v/>
      </c>
      <c r="AS189" s="21" t="str">
        <f>IF($D189="","",SUMIF('TALLY BOX DUMP'!$1:$1,'ACH CALC'!AS$2,'TALLY BOX DUMP'!188:188))</f>
        <v/>
      </c>
      <c r="AT189" s="21" t="str">
        <f>IF($D189="","",SUMIF('TALLY BOX DUMP'!$1:$1,'ACH CALC'!AT$2,'TALLY BOX DUMP'!188:188))</f>
        <v/>
      </c>
      <c r="AU189" s="21" t="str">
        <f>IF($D189="","",SUMIF('TALLY BOX DUMP'!$1:$1,'ACH CALC'!AU$2,'TALLY BOX DUMP'!188:188))</f>
        <v/>
      </c>
      <c r="AV189" s="21" t="str">
        <f>IF($D189="","",SUMIF('TALLY BOX DUMP'!$1:$1,'ACH CALC'!AV$2,'TALLY BOX DUMP'!188:188))</f>
        <v/>
      </c>
      <c r="AW189" s="21" t="str">
        <f>IF($D189="","",SUMIF('TALLY BOX DUMP'!$1:$1,'ACH CALC'!AW$2,'TALLY BOX DUMP'!188:188))</f>
        <v/>
      </c>
      <c r="AX189" s="21" t="str">
        <f>IF($D189="","",SUMIF('TALLY BOX DUMP'!$1:$1,'ACH CALC'!AX$2,'TALLY BOX DUMP'!188:188))</f>
        <v/>
      </c>
      <c r="AY189" s="21" t="str">
        <f>IF($D189="","",SUMIF('TALLY BOX DUMP'!$1:$1,'ACH CALC'!AY$2,'TALLY BOX DUMP'!188:188))</f>
        <v/>
      </c>
      <c r="AZ189" s="21" t="str">
        <f>IF($D189="","",SUMIF('TALLY BOX DUMP'!$1:$1,'ACH CALC'!AZ$2,'TALLY BOX DUMP'!188:188))</f>
        <v/>
      </c>
      <c r="BA189" s="69">
        <f>(SUMIF('TALLY KG DUMP'!$2:$2,"Qty",'TALLY KG DUMP'!188:188)/1000)-(SUMIF('TALLY KG DUMP'!$1:$1,"GL",'TALLY KG DUMP'!188:188)/1000)</f>
        <v>0</v>
      </c>
      <c r="BB189" s="21" t="b">
        <f t="shared" si="8"/>
        <v>0</v>
      </c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</row>
    <row r="190" spans="2:75" x14ac:dyDescent="0.25">
      <c r="B190" s="21"/>
      <c r="C190" s="21"/>
      <c r="D190" s="21"/>
      <c r="E190" s="21" t="str">
        <f>IF($D190="","",(SUMIF('TALLY KG DUMP'!$2:$2,"Qty",'TALLY KG DUMP'!189:189)/1000)-(SUMIF('TALLY KG DUMP'!$1:$1,"GL",'TALLY KG DUMP'!189:189)/1000))</f>
        <v/>
      </c>
      <c r="F190" s="21" t="str">
        <f>IF($D190="","",(SUMIF('TALLY KG DUMP'!$1:$1,'ACH CALC'!F$2,'TALLY KG DUMP'!189:189)/1000))</f>
        <v/>
      </c>
      <c r="G190" s="21" t="str">
        <f>IF($D190="","",SUMIF('TALLY BOX DUMP'!$1:$1,'ACH CALC'!G$2,'TALLY BOX DUMP'!189:189)+Y190)</f>
        <v/>
      </c>
      <c r="H190" s="21" t="str">
        <f t="shared" si="6"/>
        <v/>
      </c>
      <c r="I190" s="21" t="str">
        <f>IF($D190="","",SUMIF('TALLY BOX DUMP'!$1:$1,'ACH CALC'!I$2,'TALLY BOX DUMP'!189:189)+AA190)</f>
        <v/>
      </c>
      <c r="J190" s="21" t="str">
        <f>IF($D190="","",SUMIF('TALLY BOX DUMP'!$1:$1,'ACH CALC'!J$2,'TALLY BOX DUMP'!189:189)+AB190)</f>
        <v/>
      </c>
      <c r="K190" s="21" t="str">
        <f>IF($D190="","",SUMIF('TALLY BOX DUMP'!$1:$1,'ACH CALC'!K$2,'TALLY BOX DUMP'!189:189)+AC190)</f>
        <v/>
      </c>
      <c r="L190" s="21" t="str">
        <f>IF($D190="","",SUMIF('TALLY BOX DUMP'!$1:$1,'ACH CALC'!L$2,'TALLY BOX DUMP'!189:189))</f>
        <v/>
      </c>
      <c r="M190" s="21" t="str">
        <f>IF($D190="","",SUMIF('TALLY BOX DUMP'!$1:$1,'ACH CALC'!M$2,'TALLY BOX DUMP'!189:189)+AD190)</f>
        <v/>
      </c>
      <c r="N190" s="21" t="str">
        <f>IF($D190="","",SUMIF('TALLY BOX DUMP'!$1:$1,'ACH CALC'!N$2,'TALLY BOX DUMP'!189:189))</f>
        <v/>
      </c>
      <c r="O190" s="21" t="str">
        <f>IF($D190="","",SUMIF('TALLY BOX DUMP'!$1:$1,'ACH CALC'!O$2,'TALLY BOX DUMP'!189:189))</f>
        <v/>
      </c>
      <c r="P190" s="21" t="str">
        <f>IF($D190="","",SUMIF('TALLY BOX DUMP'!$1:$1,'ACH CALC'!P$2,'TALLY BOX DUMP'!189:189))</f>
        <v/>
      </c>
      <c r="Q190" s="21" t="str">
        <f t="shared" si="7"/>
        <v/>
      </c>
      <c r="R190" s="21" t="str">
        <f>IF($D190="","",SUMIF('TALLY BOX DUMP'!$1:$1,'ACH CALC'!R$2,'TALLY BOX DUMP'!189:189))</f>
        <v/>
      </c>
      <c r="S190" s="21" t="str">
        <f>IF($D190="","",SUMIF('TALLY BOX DUMP'!$1:$1,'ACH CALC'!S$2,'TALLY BOX DUMP'!189:189))</f>
        <v/>
      </c>
      <c r="T190" s="21" t="str">
        <f>IF($D190="","",SUMIF('TALLY BOX DUMP'!$1:$1,'ACH CALC'!T$2,'TALLY BOX DUMP'!189:189))</f>
        <v/>
      </c>
      <c r="U190" s="21" t="str">
        <f>IF($D190="","",SUMIF('TALLY BOX DUMP'!$1:$1,'ACH CALC'!U$2,'TALLY BOX DUMP'!189:189))</f>
        <v/>
      </c>
      <c r="V190" s="21" t="str">
        <f>IF($D190="","",SUMIF('TALLY BOX DUMP'!$1:$1,'ACH CALC'!V$2,'TALLY BOX DUMP'!189:189))</f>
        <v/>
      </c>
      <c r="W190" s="21" t="str">
        <f>IF($D190="","",SUMIF('TALLY BOX DUMP'!$1:$1,'ACH CALC'!W$2,'TALLY BOX DUMP'!189:189))</f>
        <v/>
      </c>
      <c r="X190" s="21" t="str">
        <f>IF($D190="","",SUMIF('TALLY BOX DUMP'!$1:$1,'ACH CALC'!X$2,'TALLY BOX DUMP'!189:189))</f>
        <v/>
      </c>
      <c r="Y190" s="21" t="str">
        <f>IF($D190="","",SUMIF('TALLY BOX DUMP'!$1:$1,'ACH CALC'!Y$2,'TALLY BOX DUMP'!189:189))</f>
        <v/>
      </c>
      <c r="Z190" s="21" t="str">
        <f>IF($D190="","",SUMIF('TALLY BOX DUMP'!$1:$1,'ACH CALC'!Z$2,'TALLY BOX DUMP'!189:189)+AE190)</f>
        <v/>
      </c>
      <c r="AA190" s="21" t="str">
        <f>IF($D190="","",SUMIF('TALLY BOX DUMP'!$1:$1,'ACH CALC'!AA$2,'TALLY BOX DUMP'!189:189))</f>
        <v/>
      </c>
      <c r="AB190" s="21" t="str">
        <f>IF($D190="","",SUMIF('TALLY BOX DUMP'!$1:$1,'ACH CALC'!AB$2,'TALLY BOX DUMP'!189:189))</f>
        <v/>
      </c>
      <c r="AC190" s="21" t="str">
        <f>IF($D190="","",SUMIF('TALLY BOX DUMP'!$1:$1,'ACH CALC'!AC$2,'TALLY BOX DUMP'!189:189))</f>
        <v/>
      </c>
      <c r="AD190" s="21" t="str">
        <f>IF($D190="","",SUMIF('TALLY BOX DUMP'!$1:$1,'ACH CALC'!AD$2,'TALLY BOX DUMP'!189:189))</f>
        <v/>
      </c>
      <c r="AE190" s="21" t="str">
        <f>IF($D190="","",SUMIF('TALLY BOX DUMP'!$1:$1,'ACH CALC'!AE$2,'TALLY BOX DUMP'!189:189))</f>
        <v/>
      </c>
      <c r="AF190" s="21" t="str">
        <f>IF($D190="","",SUMIF('TALLY BOX DUMP'!$1:$1,'ACH CALC'!AF$2,'TALLY BOX DUMP'!189:189))</f>
        <v/>
      </c>
      <c r="AG190" s="21" t="str">
        <f>IF($D190="","",SUMIF('TALLY BOX DUMP'!$1:$1,'ACH CALC'!AG$2,'TALLY BOX DUMP'!189:189))</f>
        <v/>
      </c>
      <c r="AH190" s="21" t="str">
        <f>IF($D190="","",SUMIF('TALLY BOX DUMP'!$1:$1,'ACH CALC'!AH$2,'TALLY BOX DUMP'!189:189))</f>
        <v/>
      </c>
      <c r="AI190" s="21" t="str">
        <f>IF($D190="","",SUMIF('TALLY BOX DUMP'!$1:$1,'ACH CALC'!AI$2,'TALLY BOX DUMP'!189:189))</f>
        <v/>
      </c>
      <c r="AJ190" s="21" t="str">
        <f>IF($D190="","",SUMIF('TALLY BOX DUMP'!$1:$1,'ACH CALC'!AJ$2,'TALLY BOX DUMP'!189:189))</f>
        <v/>
      </c>
      <c r="AK190" s="21" t="str">
        <f>IF($D190="","",SUMIF('TALLY BOX DUMP'!$1:$1,'ACH CALC'!AK$2,'TALLY BOX DUMP'!189:189))</f>
        <v/>
      </c>
      <c r="AL190" s="21" t="str">
        <f>IF($D190="","",ROUND(SUMIF('TALLY KG DUMP'!$1:$1,'ACH CALC'!AL$2,'TALLY KG DUMP'!189:189)/30,1))</f>
        <v/>
      </c>
      <c r="AM190" s="21" t="str">
        <f>IF($D190="","",SUMIF('TALLY BOX DUMP'!$1:$1,'ACH CALC'!AM$2,'TALLY BOX DUMP'!189:189))</f>
        <v/>
      </c>
      <c r="AN190" s="21" t="str">
        <f>IF($D190="","",SUMIF('TALLY BOX DUMP'!$1:$1,'ACH CALC'!AN$2,'TALLY BOX DUMP'!189:189))</f>
        <v/>
      </c>
      <c r="AO190" s="21" t="str">
        <f>IF($D190="","",SUMIF('TALLY BOX DUMP'!$1:$1,'ACH CALC'!AO$2,'TALLY BOX DUMP'!189:189))</f>
        <v/>
      </c>
      <c r="AP190" s="21" t="str">
        <f>IF($D190="","",SUMIF('TALLY BOX DUMP'!$1:$1,'ACH CALC'!AP$2,'TALLY BOX DUMP'!189:189))</f>
        <v/>
      </c>
      <c r="AQ190" s="21" t="str">
        <f>IF($D190="","",ROUND(SUMIF('TALLY KG DUMP'!$1:$1,'ACH CALC'!AQ$2,'TALLY KG DUMP'!189:189)/30,1))</f>
        <v/>
      </c>
      <c r="AR190" s="21" t="str">
        <f>IF($D190="","",SUMIF('TALLY BOX DUMP'!$1:$1,'ACH CALC'!AR$2,'TALLY BOX DUMP'!189:189))</f>
        <v/>
      </c>
      <c r="AS190" s="21" t="str">
        <f>IF($D190="","",SUMIF('TALLY BOX DUMP'!$1:$1,'ACH CALC'!AS$2,'TALLY BOX DUMP'!189:189))</f>
        <v/>
      </c>
      <c r="AT190" s="21" t="str">
        <f>IF($D190="","",SUMIF('TALLY BOX DUMP'!$1:$1,'ACH CALC'!AT$2,'TALLY BOX DUMP'!189:189))</f>
        <v/>
      </c>
      <c r="AU190" s="21" t="str">
        <f>IF($D190="","",SUMIF('TALLY BOX DUMP'!$1:$1,'ACH CALC'!AU$2,'TALLY BOX DUMP'!189:189))</f>
        <v/>
      </c>
      <c r="AV190" s="21" t="str">
        <f>IF($D190="","",SUMIF('TALLY BOX DUMP'!$1:$1,'ACH CALC'!AV$2,'TALLY BOX DUMP'!189:189))</f>
        <v/>
      </c>
      <c r="AW190" s="21" t="str">
        <f>IF($D190="","",SUMIF('TALLY BOX DUMP'!$1:$1,'ACH CALC'!AW$2,'TALLY BOX DUMP'!189:189))</f>
        <v/>
      </c>
      <c r="AX190" s="21" t="str">
        <f>IF($D190="","",SUMIF('TALLY BOX DUMP'!$1:$1,'ACH CALC'!AX$2,'TALLY BOX DUMP'!189:189))</f>
        <v/>
      </c>
      <c r="AY190" s="21" t="str">
        <f>IF($D190="","",SUMIF('TALLY BOX DUMP'!$1:$1,'ACH CALC'!AY$2,'TALLY BOX DUMP'!189:189))</f>
        <v/>
      </c>
      <c r="AZ190" s="21" t="str">
        <f>IF($D190="","",SUMIF('TALLY BOX DUMP'!$1:$1,'ACH CALC'!AZ$2,'TALLY BOX DUMP'!189:189))</f>
        <v/>
      </c>
      <c r="BA190" s="69">
        <f>(SUMIF('TALLY KG DUMP'!$2:$2,"Qty",'TALLY KG DUMP'!189:189)/1000)-(SUMIF('TALLY KG DUMP'!$1:$1,"GL",'TALLY KG DUMP'!189:189)/1000)</f>
        <v>0</v>
      </c>
      <c r="BB190" s="21" t="b">
        <f t="shared" si="8"/>
        <v>0</v>
      </c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</row>
    <row r="191" spans="2:75" x14ac:dyDescent="0.25">
      <c r="B191" s="21"/>
      <c r="C191" s="21"/>
      <c r="D191" s="21"/>
      <c r="E191" s="21" t="str">
        <f>IF($D191="","",(SUMIF('TALLY KG DUMP'!$2:$2,"Qty",'TALLY KG DUMP'!190:190)/1000)-(SUMIF('TALLY KG DUMP'!$1:$1,"GL",'TALLY KG DUMP'!190:190)/1000))</f>
        <v/>
      </c>
      <c r="F191" s="21" t="str">
        <f>IF($D191="","",(SUMIF('TALLY KG DUMP'!$1:$1,'ACH CALC'!F$2,'TALLY KG DUMP'!190:190)/1000))</f>
        <v/>
      </c>
      <c r="G191" s="21" t="str">
        <f>IF($D191="","",SUMIF('TALLY BOX DUMP'!$1:$1,'ACH CALC'!G$2,'TALLY BOX DUMP'!190:190)+Y191)</f>
        <v/>
      </c>
      <c r="H191" s="21" t="str">
        <f t="shared" si="6"/>
        <v/>
      </c>
      <c r="I191" s="21" t="str">
        <f>IF($D191="","",SUMIF('TALLY BOX DUMP'!$1:$1,'ACH CALC'!I$2,'TALLY BOX DUMP'!190:190)+AA191)</f>
        <v/>
      </c>
      <c r="J191" s="21" t="str">
        <f>IF($D191="","",SUMIF('TALLY BOX DUMP'!$1:$1,'ACH CALC'!J$2,'TALLY BOX DUMP'!190:190)+AB191)</f>
        <v/>
      </c>
      <c r="K191" s="21" t="str">
        <f>IF($D191="","",SUMIF('TALLY BOX DUMP'!$1:$1,'ACH CALC'!K$2,'TALLY BOX DUMP'!190:190)+AC191)</f>
        <v/>
      </c>
      <c r="L191" s="21" t="str">
        <f>IF($D191="","",SUMIF('TALLY BOX DUMP'!$1:$1,'ACH CALC'!L$2,'TALLY BOX DUMP'!190:190))</f>
        <v/>
      </c>
      <c r="M191" s="21" t="str">
        <f>IF($D191="","",SUMIF('TALLY BOX DUMP'!$1:$1,'ACH CALC'!M$2,'TALLY BOX DUMP'!190:190)+AD191)</f>
        <v/>
      </c>
      <c r="N191" s="21" t="str">
        <f>IF($D191="","",SUMIF('TALLY BOX DUMP'!$1:$1,'ACH CALC'!N$2,'TALLY BOX DUMP'!190:190))</f>
        <v/>
      </c>
      <c r="O191" s="21" t="str">
        <f>IF($D191="","",SUMIF('TALLY BOX DUMP'!$1:$1,'ACH CALC'!O$2,'TALLY BOX DUMP'!190:190))</f>
        <v/>
      </c>
      <c r="P191" s="21" t="str">
        <f>IF($D191="","",SUMIF('TALLY BOX DUMP'!$1:$1,'ACH CALC'!P$2,'TALLY BOX DUMP'!190:190))</f>
        <v/>
      </c>
      <c r="Q191" s="21" t="str">
        <f t="shared" si="7"/>
        <v/>
      </c>
      <c r="R191" s="21" t="str">
        <f>IF($D191="","",SUMIF('TALLY BOX DUMP'!$1:$1,'ACH CALC'!R$2,'TALLY BOX DUMP'!190:190))</f>
        <v/>
      </c>
      <c r="S191" s="21" t="str">
        <f>IF($D191="","",SUMIF('TALLY BOX DUMP'!$1:$1,'ACH CALC'!S$2,'TALLY BOX DUMP'!190:190))</f>
        <v/>
      </c>
      <c r="T191" s="21" t="str">
        <f>IF($D191="","",SUMIF('TALLY BOX DUMP'!$1:$1,'ACH CALC'!T$2,'TALLY BOX DUMP'!190:190))</f>
        <v/>
      </c>
      <c r="U191" s="21" t="str">
        <f>IF($D191="","",SUMIF('TALLY BOX DUMP'!$1:$1,'ACH CALC'!U$2,'TALLY BOX DUMP'!190:190))</f>
        <v/>
      </c>
      <c r="V191" s="21" t="str">
        <f>IF($D191="","",SUMIF('TALLY BOX DUMP'!$1:$1,'ACH CALC'!V$2,'TALLY BOX DUMP'!190:190))</f>
        <v/>
      </c>
      <c r="W191" s="21" t="str">
        <f>IF($D191="","",SUMIF('TALLY BOX DUMP'!$1:$1,'ACH CALC'!W$2,'TALLY BOX DUMP'!190:190))</f>
        <v/>
      </c>
      <c r="X191" s="21" t="str">
        <f>IF($D191="","",SUMIF('TALLY BOX DUMP'!$1:$1,'ACH CALC'!X$2,'TALLY BOX DUMP'!190:190))</f>
        <v/>
      </c>
      <c r="Y191" s="21" t="str">
        <f>IF($D191="","",SUMIF('TALLY BOX DUMP'!$1:$1,'ACH CALC'!Y$2,'TALLY BOX DUMP'!190:190))</f>
        <v/>
      </c>
      <c r="Z191" s="21" t="str">
        <f>IF($D191="","",SUMIF('TALLY BOX DUMP'!$1:$1,'ACH CALC'!Z$2,'TALLY BOX DUMP'!190:190)+AE191)</f>
        <v/>
      </c>
      <c r="AA191" s="21" t="str">
        <f>IF($D191="","",SUMIF('TALLY BOX DUMP'!$1:$1,'ACH CALC'!AA$2,'TALLY BOX DUMP'!190:190))</f>
        <v/>
      </c>
      <c r="AB191" s="21" t="str">
        <f>IF($D191="","",SUMIF('TALLY BOX DUMP'!$1:$1,'ACH CALC'!AB$2,'TALLY BOX DUMP'!190:190))</f>
        <v/>
      </c>
      <c r="AC191" s="21" t="str">
        <f>IF($D191="","",SUMIF('TALLY BOX DUMP'!$1:$1,'ACH CALC'!AC$2,'TALLY BOX DUMP'!190:190))</f>
        <v/>
      </c>
      <c r="AD191" s="21" t="str">
        <f>IF($D191="","",SUMIF('TALLY BOX DUMP'!$1:$1,'ACH CALC'!AD$2,'TALLY BOX DUMP'!190:190))</f>
        <v/>
      </c>
      <c r="AE191" s="21" t="str">
        <f>IF($D191="","",SUMIF('TALLY BOX DUMP'!$1:$1,'ACH CALC'!AE$2,'TALLY BOX DUMP'!190:190))</f>
        <v/>
      </c>
      <c r="AF191" s="21" t="str">
        <f>IF($D191="","",SUMIF('TALLY BOX DUMP'!$1:$1,'ACH CALC'!AF$2,'TALLY BOX DUMP'!190:190))</f>
        <v/>
      </c>
      <c r="AG191" s="21" t="str">
        <f>IF($D191="","",SUMIF('TALLY BOX DUMP'!$1:$1,'ACH CALC'!AG$2,'TALLY BOX DUMP'!190:190))</f>
        <v/>
      </c>
      <c r="AH191" s="21" t="str">
        <f>IF($D191="","",SUMIF('TALLY BOX DUMP'!$1:$1,'ACH CALC'!AH$2,'TALLY BOX DUMP'!190:190))</f>
        <v/>
      </c>
      <c r="AI191" s="21" t="str">
        <f>IF($D191="","",SUMIF('TALLY BOX DUMP'!$1:$1,'ACH CALC'!AI$2,'TALLY BOX DUMP'!190:190))</f>
        <v/>
      </c>
      <c r="AJ191" s="21" t="str">
        <f>IF($D191="","",SUMIF('TALLY BOX DUMP'!$1:$1,'ACH CALC'!AJ$2,'TALLY BOX DUMP'!190:190))</f>
        <v/>
      </c>
      <c r="AK191" s="21" t="str">
        <f>IF($D191="","",SUMIF('TALLY BOX DUMP'!$1:$1,'ACH CALC'!AK$2,'TALLY BOX DUMP'!190:190))</f>
        <v/>
      </c>
      <c r="AL191" s="21" t="str">
        <f>IF($D191="","",ROUND(SUMIF('TALLY KG DUMP'!$1:$1,'ACH CALC'!AL$2,'TALLY KG DUMP'!190:190)/30,1))</f>
        <v/>
      </c>
      <c r="AM191" s="21" t="str">
        <f>IF($D191="","",SUMIF('TALLY BOX DUMP'!$1:$1,'ACH CALC'!AM$2,'TALLY BOX DUMP'!190:190))</f>
        <v/>
      </c>
      <c r="AN191" s="21" t="str">
        <f>IF($D191="","",SUMIF('TALLY BOX DUMP'!$1:$1,'ACH CALC'!AN$2,'TALLY BOX DUMP'!190:190))</f>
        <v/>
      </c>
      <c r="AO191" s="21" t="str">
        <f>IF($D191="","",SUMIF('TALLY BOX DUMP'!$1:$1,'ACH CALC'!AO$2,'TALLY BOX DUMP'!190:190))</f>
        <v/>
      </c>
      <c r="AP191" s="21" t="str">
        <f>IF($D191="","",SUMIF('TALLY BOX DUMP'!$1:$1,'ACH CALC'!AP$2,'TALLY BOX DUMP'!190:190))</f>
        <v/>
      </c>
      <c r="AQ191" s="21" t="str">
        <f>IF($D191="","",ROUND(SUMIF('TALLY KG DUMP'!$1:$1,'ACH CALC'!AQ$2,'TALLY KG DUMP'!190:190)/30,1))</f>
        <v/>
      </c>
      <c r="AR191" s="21" t="str">
        <f>IF($D191="","",SUMIF('TALLY BOX DUMP'!$1:$1,'ACH CALC'!AR$2,'TALLY BOX DUMP'!190:190))</f>
        <v/>
      </c>
      <c r="AS191" s="21" t="str">
        <f>IF($D191="","",SUMIF('TALLY BOX DUMP'!$1:$1,'ACH CALC'!AS$2,'TALLY BOX DUMP'!190:190))</f>
        <v/>
      </c>
      <c r="AT191" s="21" t="str">
        <f>IF($D191="","",SUMIF('TALLY BOX DUMP'!$1:$1,'ACH CALC'!AT$2,'TALLY BOX DUMP'!190:190))</f>
        <v/>
      </c>
      <c r="AU191" s="21" t="str">
        <f>IF($D191="","",SUMIF('TALLY BOX DUMP'!$1:$1,'ACH CALC'!AU$2,'TALLY BOX DUMP'!190:190))</f>
        <v/>
      </c>
      <c r="AV191" s="21" t="str">
        <f>IF($D191="","",SUMIF('TALLY BOX DUMP'!$1:$1,'ACH CALC'!AV$2,'TALLY BOX DUMP'!190:190))</f>
        <v/>
      </c>
      <c r="AW191" s="21" t="str">
        <f>IF($D191="","",SUMIF('TALLY BOX DUMP'!$1:$1,'ACH CALC'!AW$2,'TALLY BOX DUMP'!190:190))</f>
        <v/>
      </c>
      <c r="AX191" s="21" t="str">
        <f>IF($D191="","",SUMIF('TALLY BOX DUMP'!$1:$1,'ACH CALC'!AX$2,'TALLY BOX DUMP'!190:190))</f>
        <v/>
      </c>
      <c r="AY191" s="21" t="str">
        <f>IF($D191="","",SUMIF('TALLY BOX DUMP'!$1:$1,'ACH CALC'!AY$2,'TALLY BOX DUMP'!190:190))</f>
        <v/>
      </c>
      <c r="AZ191" s="21" t="str">
        <f>IF($D191="","",SUMIF('TALLY BOX DUMP'!$1:$1,'ACH CALC'!AZ$2,'TALLY BOX DUMP'!190:190))</f>
        <v/>
      </c>
      <c r="BA191" s="69">
        <f>(SUMIF('TALLY KG DUMP'!$2:$2,"Qty",'TALLY KG DUMP'!190:190)/1000)-(SUMIF('TALLY KG DUMP'!$1:$1,"GL",'TALLY KG DUMP'!190:190)/1000)</f>
        <v>0</v>
      </c>
      <c r="BB191" s="21" t="b">
        <f t="shared" si="8"/>
        <v>0</v>
      </c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</row>
    <row r="192" spans="2:75" x14ac:dyDescent="0.25">
      <c r="B192" s="21"/>
      <c r="C192" s="21"/>
      <c r="D192" s="21"/>
      <c r="E192" s="21" t="str">
        <f>IF($D192="","",(SUMIF('TALLY KG DUMP'!$2:$2,"Qty",'TALLY KG DUMP'!191:191)/1000)-(SUMIF('TALLY KG DUMP'!$1:$1,"GL",'TALLY KG DUMP'!191:191)/1000))</f>
        <v/>
      </c>
      <c r="F192" s="21" t="str">
        <f>IF($D192="","",(SUMIF('TALLY KG DUMP'!$1:$1,'ACH CALC'!F$2,'TALLY KG DUMP'!191:191)/1000))</f>
        <v/>
      </c>
      <c r="G192" s="21" t="str">
        <f>IF($D192="","",SUMIF('TALLY BOX DUMP'!$1:$1,'ACH CALC'!G$2,'TALLY BOX DUMP'!191:191)+Y192)</f>
        <v/>
      </c>
      <c r="H192" s="21" t="str">
        <f t="shared" si="6"/>
        <v/>
      </c>
      <c r="I192" s="21" t="str">
        <f>IF($D192="","",SUMIF('TALLY BOX DUMP'!$1:$1,'ACH CALC'!I$2,'TALLY BOX DUMP'!191:191)+AA192)</f>
        <v/>
      </c>
      <c r="J192" s="21" t="str">
        <f>IF($D192="","",SUMIF('TALLY BOX DUMP'!$1:$1,'ACH CALC'!J$2,'TALLY BOX DUMP'!191:191)+AB192)</f>
        <v/>
      </c>
      <c r="K192" s="21" t="str">
        <f>IF($D192="","",SUMIF('TALLY BOX DUMP'!$1:$1,'ACH CALC'!K$2,'TALLY BOX DUMP'!191:191)+AC192)</f>
        <v/>
      </c>
      <c r="L192" s="21" t="str">
        <f>IF($D192="","",SUMIF('TALLY BOX DUMP'!$1:$1,'ACH CALC'!L$2,'TALLY BOX DUMP'!191:191))</f>
        <v/>
      </c>
      <c r="M192" s="21" t="str">
        <f>IF($D192="","",SUMIF('TALLY BOX DUMP'!$1:$1,'ACH CALC'!M$2,'TALLY BOX DUMP'!191:191)+AD192)</f>
        <v/>
      </c>
      <c r="N192" s="21" t="str">
        <f>IF($D192="","",SUMIF('TALLY BOX DUMP'!$1:$1,'ACH CALC'!N$2,'TALLY BOX DUMP'!191:191))</f>
        <v/>
      </c>
      <c r="O192" s="21" t="str">
        <f>IF($D192="","",SUMIF('TALLY BOX DUMP'!$1:$1,'ACH CALC'!O$2,'TALLY BOX DUMP'!191:191))</f>
        <v/>
      </c>
      <c r="P192" s="21" t="str">
        <f>IF($D192="","",SUMIF('TALLY BOX DUMP'!$1:$1,'ACH CALC'!P$2,'TALLY BOX DUMP'!191:191))</f>
        <v/>
      </c>
      <c r="Q192" s="21" t="str">
        <f t="shared" si="7"/>
        <v/>
      </c>
      <c r="R192" s="21" t="str">
        <f>IF($D192="","",SUMIF('TALLY BOX DUMP'!$1:$1,'ACH CALC'!R$2,'TALLY BOX DUMP'!191:191))</f>
        <v/>
      </c>
      <c r="S192" s="21" t="str">
        <f>IF($D192="","",SUMIF('TALLY BOX DUMP'!$1:$1,'ACH CALC'!S$2,'TALLY BOX DUMP'!191:191))</f>
        <v/>
      </c>
      <c r="T192" s="21" t="str">
        <f>IF($D192="","",SUMIF('TALLY BOX DUMP'!$1:$1,'ACH CALC'!T$2,'TALLY BOX DUMP'!191:191))</f>
        <v/>
      </c>
      <c r="U192" s="21" t="str">
        <f>IF($D192="","",SUMIF('TALLY BOX DUMP'!$1:$1,'ACH CALC'!U$2,'TALLY BOX DUMP'!191:191))</f>
        <v/>
      </c>
      <c r="V192" s="21" t="str">
        <f>IF($D192="","",SUMIF('TALLY BOX DUMP'!$1:$1,'ACH CALC'!V$2,'TALLY BOX DUMP'!191:191))</f>
        <v/>
      </c>
      <c r="W192" s="21" t="str">
        <f>IF($D192="","",SUMIF('TALLY BOX DUMP'!$1:$1,'ACH CALC'!W$2,'TALLY BOX DUMP'!191:191))</f>
        <v/>
      </c>
      <c r="X192" s="21" t="str">
        <f>IF($D192="","",SUMIF('TALLY BOX DUMP'!$1:$1,'ACH CALC'!X$2,'TALLY BOX DUMP'!191:191))</f>
        <v/>
      </c>
      <c r="Y192" s="21" t="str">
        <f>IF($D192="","",SUMIF('TALLY BOX DUMP'!$1:$1,'ACH CALC'!Y$2,'TALLY BOX DUMP'!191:191))</f>
        <v/>
      </c>
      <c r="Z192" s="21" t="str">
        <f>IF($D192="","",SUMIF('TALLY BOX DUMP'!$1:$1,'ACH CALC'!Z$2,'TALLY BOX DUMP'!191:191)+AE192)</f>
        <v/>
      </c>
      <c r="AA192" s="21" t="str">
        <f>IF($D192="","",SUMIF('TALLY BOX DUMP'!$1:$1,'ACH CALC'!AA$2,'TALLY BOX DUMP'!191:191))</f>
        <v/>
      </c>
      <c r="AB192" s="21" t="str">
        <f>IF($D192="","",SUMIF('TALLY BOX DUMP'!$1:$1,'ACH CALC'!AB$2,'TALLY BOX DUMP'!191:191))</f>
        <v/>
      </c>
      <c r="AC192" s="21" t="str">
        <f>IF($D192="","",SUMIF('TALLY BOX DUMP'!$1:$1,'ACH CALC'!AC$2,'TALLY BOX DUMP'!191:191))</f>
        <v/>
      </c>
      <c r="AD192" s="21" t="str">
        <f>IF($D192="","",SUMIF('TALLY BOX DUMP'!$1:$1,'ACH CALC'!AD$2,'TALLY BOX DUMP'!191:191))</f>
        <v/>
      </c>
      <c r="AE192" s="21" t="str">
        <f>IF($D192="","",SUMIF('TALLY BOX DUMP'!$1:$1,'ACH CALC'!AE$2,'TALLY BOX DUMP'!191:191))</f>
        <v/>
      </c>
      <c r="AF192" s="21" t="str">
        <f>IF($D192="","",SUMIF('TALLY BOX DUMP'!$1:$1,'ACH CALC'!AF$2,'TALLY BOX DUMP'!191:191))</f>
        <v/>
      </c>
      <c r="AG192" s="21" t="str">
        <f>IF($D192="","",SUMIF('TALLY BOX DUMP'!$1:$1,'ACH CALC'!AG$2,'TALLY BOX DUMP'!191:191))</f>
        <v/>
      </c>
      <c r="AH192" s="21" t="str">
        <f>IF($D192="","",SUMIF('TALLY BOX DUMP'!$1:$1,'ACH CALC'!AH$2,'TALLY BOX DUMP'!191:191))</f>
        <v/>
      </c>
      <c r="AI192" s="21" t="str">
        <f>IF($D192="","",SUMIF('TALLY BOX DUMP'!$1:$1,'ACH CALC'!AI$2,'TALLY BOX DUMP'!191:191))</f>
        <v/>
      </c>
      <c r="AJ192" s="21" t="str">
        <f>IF($D192="","",SUMIF('TALLY BOX DUMP'!$1:$1,'ACH CALC'!AJ$2,'TALLY BOX DUMP'!191:191))</f>
        <v/>
      </c>
      <c r="AK192" s="21" t="str">
        <f>IF($D192="","",SUMIF('TALLY BOX DUMP'!$1:$1,'ACH CALC'!AK$2,'TALLY BOX DUMP'!191:191))</f>
        <v/>
      </c>
      <c r="AL192" s="21" t="str">
        <f>IF($D192="","",ROUND(SUMIF('TALLY KG DUMP'!$1:$1,'ACH CALC'!AL$2,'TALLY KG DUMP'!191:191)/30,1))</f>
        <v/>
      </c>
      <c r="AM192" s="21" t="str">
        <f>IF($D192="","",SUMIF('TALLY BOX DUMP'!$1:$1,'ACH CALC'!AM$2,'TALLY BOX DUMP'!191:191))</f>
        <v/>
      </c>
      <c r="AN192" s="21" t="str">
        <f>IF($D192="","",SUMIF('TALLY BOX DUMP'!$1:$1,'ACH CALC'!AN$2,'TALLY BOX DUMP'!191:191))</f>
        <v/>
      </c>
      <c r="AO192" s="21" t="str">
        <f>IF($D192="","",SUMIF('TALLY BOX DUMP'!$1:$1,'ACH CALC'!AO$2,'TALLY BOX DUMP'!191:191))</f>
        <v/>
      </c>
      <c r="AP192" s="21" t="str">
        <f>IF($D192="","",SUMIF('TALLY BOX DUMP'!$1:$1,'ACH CALC'!AP$2,'TALLY BOX DUMP'!191:191))</f>
        <v/>
      </c>
      <c r="AQ192" s="21" t="str">
        <f>IF($D192="","",ROUND(SUMIF('TALLY KG DUMP'!$1:$1,'ACH CALC'!AQ$2,'TALLY KG DUMP'!191:191)/30,1))</f>
        <v/>
      </c>
      <c r="AR192" s="21" t="str">
        <f>IF($D192="","",SUMIF('TALLY BOX DUMP'!$1:$1,'ACH CALC'!AR$2,'TALLY BOX DUMP'!191:191))</f>
        <v/>
      </c>
      <c r="AS192" s="21" t="str">
        <f>IF($D192="","",SUMIF('TALLY BOX DUMP'!$1:$1,'ACH CALC'!AS$2,'TALLY BOX DUMP'!191:191))</f>
        <v/>
      </c>
      <c r="AT192" s="21" t="str">
        <f>IF($D192="","",SUMIF('TALLY BOX DUMP'!$1:$1,'ACH CALC'!AT$2,'TALLY BOX DUMP'!191:191))</f>
        <v/>
      </c>
      <c r="AU192" s="21" t="str">
        <f>IF($D192="","",SUMIF('TALLY BOX DUMP'!$1:$1,'ACH CALC'!AU$2,'TALLY BOX DUMP'!191:191))</f>
        <v/>
      </c>
      <c r="AV192" s="21" t="str">
        <f>IF($D192="","",SUMIF('TALLY BOX DUMP'!$1:$1,'ACH CALC'!AV$2,'TALLY BOX DUMP'!191:191))</f>
        <v/>
      </c>
      <c r="AW192" s="21" t="str">
        <f>IF($D192="","",SUMIF('TALLY BOX DUMP'!$1:$1,'ACH CALC'!AW$2,'TALLY BOX DUMP'!191:191))</f>
        <v/>
      </c>
      <c r="AX192" s="21" t="str">
        <f>IF($D192="","",SUMIF('TALLY BOX DUMP'!$1:$1,'ACH CALC'!AX$2,'TALLY BOX DUMP'!191:191))</f>
        <v/>
      </c>
      <c r="AY192" s="21" t="str">
        <f>IF($D192="","",SUMIF('TALLY BOX DUMP'!$1:$1,'ACH CALC'!AY$2,'TALLY BOX DUMP'!191:191))</f>
        <v/>
      </c>
      <c r="AZ192" s="21" t="str">
        <f>IF($D192="","",SUMIF('TALLY BOX DUMP'!$1:$1,'ACH CALC'!AZ$2,'TALLY BOX DUMP'!191:191))</f>
        <v/>
      </c>
      <c r="BA192" s="69">
        <f>(SUMIF('TALLY KG DUMP'!$2:$2,"Qty",'TALLY KG DUMP'!191:191)/1000)-(SUMIF('TALLY KG DUMP'!$1:$1,"GL",'TALLY KG DUMP'!191:191)/1000)</f>
        <v>0</v>
      </c>
      <c r="BB192" s="21" t="b">
        <f t="shared" si="8"/>
        <v>0</v>
      </c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</row>
    <row r="193" spans="2:75" x14ac:dyDescent="0.25">
      <c r="B193" s="21"/>
      <c r="C193" s="21"/>
      <c r="D193" s="21"/>
      <c r="E193" s="21" t="str">
        <f>IF($D193="","",(SUMIF('TALLY KG DUMP'!$2:$2,"Qty",'TALLY KG DUMP'!192:192)/1000)-(SUMIF('TALLY KG DUMP'!$1:$1,"GL",'TALLY KG DUMP'!192:192)/1000))</f>
        <v/>
      </c>
      <c r="F193" s="21" t="str">
        <f>IF($D193="","",(SUMIF('TALLY KG DUMP'!$1:$1,'ACH CALC'!F$2,'TALLY KG DUMP'!192:192)/1000))</f>
        <v/>
      </c>
      <c r="G193" s="21" t="str">
        <f>IF($D193="","",SUMIF('TALLY BOX DUMP'!$1:$1,'ACH CALC'!G$2,'TALLY BOX DUMP'!192:192)+Y193)</f>
        <v/>
      </c>
      <c r="H193" s="21" t="str">
        <f t="shared" si="6"/>
        <v/>
      </c>
      <c r="I193" s="21" t="str">
        <f>IF($D193="","",SUMIF('TALLY BOX DUMP'!$1:$1,'ACH CALC'!I$2,'TALLY BOX DUMP'!192:192)+AA193)</f>
        <v/>
      </c>
      <c r="J193" s="21" t="str">
        <f>IF($D193="","",SUMIF('TALLY BOX DUMP'!$1:$1,'ACH CALC'!J$2,'TALLY BOX DUMP'!192:192)+AB193)</f>
        <v/>
      </c>
      <c r="K193" s="21" t="str">
        <f>IF($D193="","",SUMIF('TALLY BOX DUMP'!$1:$1,'ACH CALC'!K$2,'TALLY BOX DUMP'!192:192)+AC193)</f>
        <v/>
      </c>
      <c r="L193" s="21" t="str">
        <f>IF($D193="","",SUMIF('TALLY BOX DUMP'!$1:$1,'ACH CALC'!L$2,'TALLY BOX DUMP'!192:192))</f>
        <v/>
      </c>
      <c r="M193" s="21" t="str">
        <f>IF($D193="","",SUMIF('TALLY BOX DUMP'!$1:$1,'ACH CALC'!M$2,'TALLY BOX DUMP'!192:192)+AD193)</f>
        <v/>
      </c>
      <c r="N193" s="21" t="str">
        <f>IF($D193="","",SUMIF('TALLY BOX DUMP'!$1:$1,'ACH CALC'!N$2,'TALLY BOX DUMP'!192:192))</f>
        <v/>
      </c>
      <c r="O193" s="21" t="str">
        <f>IF($D193="","",SUMIF('TALLY BOX DUMP'!$1:$1,'ACH CALC'!O$2,'TALLY BOX DUMP'!192:192))</f>
        <v/>
      </c>
      <c r="P193" s="21" t="str">
        <f>IF($D193="","",SUMIF('TALLY BOX DUMP'!$1:$1,'ACH CALC'!P$2,'TALLY BOX DUMP'!192:192))</f>
        <v/>
      </c>
      <c r="Q193" s="21" t="str">
        <f t="shared" si="7"/>
        <v/>
      </c>
      <c r="R193" s="21" t="str">
        <f>IF($D193="","",SUMIF('TALLY BOX DUMP'!$1:$1,'ACH CALC'!R$2,'TALLY BOX DUMP'!192:192))</f>
        <v/>
      </c>
      <c r="S193" s="21" t="str">
        <f>IF($D193="","",SUMIF('TALLY BOX DUMP'!$1:$1,'ACH CALC'!S$2,'TALLY BOX DUMP'!192:192))</f>
        <v/>
      </c>
      <c r="T193" s="21" t="str">
        <f>IF($D193="","",SUMIF('TALLY BOX DUMP'!$1:$1,'ACH CALC'!T$2,'TALLY BOX DUMP'!192:192))</f>
        <v/>
      </c>
      <c r="U193" s="21" t="str">
        <f>IF($D193="","",SUMIF('TALLY BOX DUMP'!$1:$1,'ACH CALC'!U$2,'TALLY BOX DUMP'!192:192))</f>
        <v/>
      </c>
      <c r="V193" s="21" t="str">
        <f>IF($D193="","",SUMIF('TALLY BOX DUMP'!$1:$1,'ACH CALC'!V$2,'TALLY BOX DUMP'!192:192))</f>
        <v/>
      </c>
      <c r="W193" s="21" t="str">
        <f>IF($D193="","",SUMIF('TALLY BOX DUMP'!$1:$1,'ACH CALC'!W$2,'TALLY BOX DUMP'!192:192))</f>
        <v/>
      </c>
      <c r="X193" s="21" t="str">
        <f>IF($D193="","",SUMIF('TALLY BOX DUMP'!$1:$1,'ACH CALC'!X$2,'TALLY BOX DUMP'!192:192))</f>
        <v/>
      </c>
      <c r="Y193" s="21" t="str">
        <f>IF($D193="","",SUMIF('TALLY BOX DUMP'!$1:$1,'ACH CALC'!Y$2,'TALLY BOX DUMP'!192:192))</f>
        <v/>
      </c>
      <c r="Z193" s="21" t="str">
        <f>IF($D193="","",SUMIF('TALLY BOX DUMP'!$1:$1,'ACH CALC'!Z$2,'TALLY BOX DUMP'!192:192)+AE193)</f>
        <v/>
      </c>
      <c r="AA193" s="21" t="str">
        <f>IF($D193="","",SUMIF('TALLY BOX DUMP'!$1:$1,'ACH CALC'!AA$2,'TALLY BOX DUMP'!192:192))</f>
        <v/>
      </c>
      <c r="AB193" s="21" t="str">
        <f>IF($D193="","",SUMIF('TALLY BOX DUMP'!$1:$1,'ACH CALC'!AB$2,'TALLY BOX DUMP'!192:192))</f>
        <v/>
      </c>
      <c r="AC193" s="21" t="str">
        <f>IF($D193="","",SUMIF('TALLY BOX DUMP'!$1:$1,'ACH CALC'!AC$2,'TALLY BOX DUMP'!192:192))</f>
        <v/>
      </c>
      <c r="AD193" s="21" t="str">
        <f>IF($D193="","",SUMIF('TALLY BOX DUMP'!$1:$1,'ACH CALC'!AD$2,'TALLY BOX DUMP'!192:192))</f>
        <v/>
      </c>
      <c r="AE193" s="21" t="str">
        <f>IF($D193="","",SUMIF('TALLY BOX DUMP'!$1:$1,'ACH CALC'!AE$2,'TALLY BOX DUMP'!192:192))</f>
        <v/>
      </c>
      <c r="AF193" s="21" t="str">
        <f>IF($D193="","",SUMIF('TALLY BOX DUMP'!$1:$1,'ACH CALC'!AF$2,'TALLY BOX DUMP'!192:192))</f>
        <v/>
      </c>
      <c r="AG193" s="21" t="str">
        <f>IF($D193="","",SUMIF('TALLY BOX DUMP'!$1:$1,'ACH CALC'!AG$2,'TALLY BOX DUMP'!192:192))</f>
        <v/>
      </c>
      <c r="AH193" s="21" t="str">
        <f>IF($D193="","",SUMIF('TALLY BOX DUMP'!$1:$1,'ACH CALC'!AH$2,'TALLY BOX DUMP'!192:192))</f>
        <v/>
      </c>
      <c r="AI193" s="21" t="str">
        <f>IF($D193="","",SUMIF('TALLY BOX DUMP'!$1:$1,'ACH CALC'!AI$2,'TALLY BOX DUMP'!192:192))</f>
        <v/>
      </c>
      <c r="AJ193" s="21" t="str">
        <f>IF($D193="","",SUMIF('TALLY BOX DUMP'!$1:$1,'ACH CALC'!AJ$2,'TALLY BOX DUMP'!192:192))</f>
        <v/>
      </c>
      <c r="AK193" s="21" t="str">
        <f>IF($D193="","",SUMIF('TALLY BOX DUMP'!$1:$1,'ACH CALC'!AK$2,'TALLY BOX DUMP'!192:192))</f>
        <v/>
      </c>
      <c r="AL193" s="21" t="str">
        <f>IF($D193="","",ROUND(SUMIF('TALLY KG DUMP'!$1:$1,'ACH CALC'!AL$2,'TALLY KG DUMP'!192:192)/30,1))</f>
        <v/>
      </c>
      <c r="AM193" s="21" t="str">
        <f>IF($D193="","",SUMIF('TALLY BOX DUMP'!$1:$1,'ACH CALC'!AM$2,'TALLY BOX DUMP'!192:192))</f>
        <v/>
      </c>
      <c r="AN193" s="21" t="str">
        <f>IF($D193="","",SUMIF('TALLY BOX DUMP'!$1:$1,'ACH CALC'!AN$2,'TALLY BOX DUMP'!192:192))</f>
        <v/>
      </c>
      <c r="AO193" s="21" t="str">
        <f>IF($D193="","",SUMIF('TALLY BOX DUMP'!$1:$1,'ACH CALC'!AO$2,'TALLY BOX DUMP'!192:192))</f>
        <v/>
      </c>
      <c r="AP193" s="21" t="str">
        <f>IF($D193="","",SUMIF('TALLY BOX DUMP'!$1:$1,'ACH CALC'!AP$2,'TALLY BOX DUMP'!192:192))</f>
        <v/>
      </c>
      <c r="AQ193" s="21" t="str">
        <f>IF($D193="","",ROUND(SUMIF('TALLY KG DUMP'!$1:$1,'ACH CALC'!AQ$2,'TALLY KG DUMP'!192:192)/30,1))</f>
        <v/>
      </c>
      <c r="AR193" s="21" t="str">
        <f>IF($D193="","",SUMIF('TALLY BOX DUMP'!$1:$1,'ACH CALC'!AR$2,'TALLY BOX DUMP'!192:192))</f>
        <v/>
      </c>
      <c r="AS193" s="21" t="str">
        <f>IF($D193="","",SUMIF('TALLY BOX DUMP'!$1:$1,'ACH CALC'!AS$2,'TALLY BOX DUMP'!192:192))</f>
        <v/>
      </c>
      <c r="AT193" s="21" t="str">
        <f>IF($D193="","",SUMIF('TALLY BOX DUMP'!$1:$1,'ACH CALC'!AT$2,'TALLY BOX DUMP'!192:192))</f>
        <v/>
      </c>
      <c r="AU193" s="21" t="str">
        <f>IF($D193="","",SUMIF('TALLY BOX DUMP'!$1:$1,'ACH CALC'!AU$2,'TALLY BOX DUMP'!192:192))</f>
        <v/>
      </c>
      <c r="AV193" s="21" t="str">
        <f>IF($D193="","",SUMIF('TALLY BOX DUMP'!$1:$1,'ACH CALC'!AV$2,'TALLY BOX DUMP'!192:192))</f>
        <v/>
      </c>
      <c r="AW193" s="21" t="str">
        <f>IF($D193="","",SUMIF('TALLY BOX DUMP'!$1:$1,'ACH CALC'!AW$2,'TALLY BOX DUMP'!192:192))</f>
        <v/>
      </c>
      <c r="AX193" s="21" t="str">
        <f>IF($D193="","",SUMIF('TALLY BOX DUMP'!$1:$1,'ACH CALC'!AX$2,'TALLY BOX DUMP'!192:192))</f>
        <v/>
      </c>
      <c r="AY193" s="21" t="str">
        <f>IF($D193="","",SUMIF('TALLY BOX DUMP'!$1:$1,'ACH CALC'!AY$2,'TALLY BOX DUMP'!192:192))</f>
        <v/>
      </c>
      <c r="AZ193" s="21" t="str">
        <f>IF($D193="","",SUMIF('TALLY BOX DUMP'!$1:$1,'ACH CALC'!AZ$2,'TALLY BOX DUMP'!192:192))</f>
        <v/>
      </c>
      <c r="BA193" s="69">
        <f>(SUMIF('TALLY KG DUMP'!$2:$2,"Qty",'TALLY KG DUMP'!192:192)/1000)-(SUMIF('TALLY KG DUMP'!$1:$1,"GL",'TALLY KG DUMP'!192:192)/1000)</f>
        <v>0</v>
      </c>
      <c r="BB193" s="21" t="b">
        <f t="shared" si="8"/>
        <v>0</v>
      </c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</row>
    <row r="194" spans="2:75" x14ac:dyDescent="0.25">
      <c r="B194" s="21"/>
      <c r="C194" s="21"/>
      <c r="D194" s="21"/>
      <c r="E194" s="21" t="str">
        <f>IF($D194="","",(SUMIF('TALLY KG DUMP'!$2:$2,"Qty",'TALLY KG DUMP'!193:193)/1000)-(SUMIF('TALLY KG DUMP'!$1:$1,"GL",'TALLY KG DUMP'!193:193)/1000))</f>
        <v/>
      </c>
      <c r="F194" s="21" t="str">
        <f>IF($D194="","",(SUMIF('TALLY KG DUMP'!$1:$1,'ACH CALC'!F$2,'TALLY KG DUMP'!193:193)/1000))</f>
        <v/>
      </c>
      <c r="G194" s="21" t="str">
        <f>IF($D194="","",SUMIF('TALLY BOX DUMP'!$1:$1,'ACH CALC'!G$2,'TALLY BOX DUMP'!193:193)+Y194)</f>
        <v/>
      </c>
      <c r="H194" s="21" t="str">
        <f t="shared" si="6"/>
        <v/>
      </c>
      <c r="I194" s="21" t="str">
        <f>IF($D194="","",SUMIF('TALLY BOX DUMP'!$1:$1,'ACH CALC'!I$2,'TALLY BOX DUMP'!193:193)+AA194)</f>
        <v/>
      </c>
      <c r="J194" s="21" t="str">
        <f>IF($D194="","",SUMIF('TALLY BOX DUMP'!$1:$1,'ACH CALC'!J$2,'TALLY BOX DUMP'!193:193)+AB194)</f>
        <v/>
      </c>
      <c r="K194" s="21" t="str">
        <f>IF($D194="","",SUMIF('TALLY BOX DUMP'!$1:$1,'ACH CALC'!K$2,'TALLY BOX DUMP'!193:193)+AC194)</f>
        <v/>
      </c>
      <c r="L194" s="21" t="str">
        <f>IF($D194="","",SUMIF('TALLY BOX DUMP'!$1:$1,'ACH CALC'!L$2,'TALLY BOX DUMP'!193:193))</f>
        <v/>
      </c>
      <c r="M194" s="21" t="str">
        <f>IF($D194="","",SUMIF('TALLY BOX DUMP'!$1:$1,'ACH CALC'!M$2,'TALLY BOX DUMP'!193:193)+AD194)</f>
        <v/>
      </c>
      <c r="N194" s="21" t="str">
        <f>IF($D194="","",SUMIF('TALLY BOX DUMP'!$1:$1,'ACH CALC'!N$2,'TALLY BOX DUMP'!193:193))</f>
        <v/>
      </c>
      <c r="O194" s="21" t="str">
        <f>IF($D194="","",SUMIF('TALLY BOX DUMP'!$1:$1,'ACH CALC'!O$2,'TALLY BOX DUMP'!193:193))</f>
        <v/>
      </c>
      <c r="P194" s="21" t="str">
        <f>IF($D194="","",SUMIF('TALLY BOX DUMP'!$1:$1,'ACH CALC'!P$2,'TALLY BOX DUMP'!193:193))</f>
        <v/>
      </c>
      <c r="Q194" s="21" t="str">
        <f t="shared" si="7"/>
        <v/>
      </c>
      <c r="R194" s="21" t="str">
        <f>IF($D194="","",SUMIF('TALLY BOX DUMP'!$1:$1,'ACH CALC'!R$2,'TALLY BOX DUMP'!193:193))</f>
        <v/>
      </c>
      <c r="S194" s="21" t="str">
        <f>IF($D194="","",SUMIF('TALLY BOX DUMP'!$1:$1,'ACH CALC'!S$2,'TALLY BOX DUMP'!193:193))</f>
        <v/>
      </c>
      <c r="T194" s="21" t="str">
        <f>IF($D194="","",SUMIF('TALLY BOX DUMP'!$1:$1,'ACH CALC'!T$2,'TALLY BOX DUMP'!193:193))</f>
        <v/>
      </c>
      <c r="U194" s="21" t="str">
        <f>IF($D194="","",SUMIF('TALLY BOX DUMP'!$1:$1,'ACH CALC'!U$2,'TALLY BOX DUMP'!193:193))</f>
        <v/>
      </c>
      <c r="V194" s="21" t="str">
        <f>IF($D194="","",SUMIF('TALLY BOX DUMP'!$1:$1,'ACH CALC'!V$2,'TALLY BOX DUMP'!193:193))</f>
        <v/>
      </c>
      <c r="W194" s="21" t="str">
        <f>IF($D194="","",SUMIF('TALLY BOX DUMP'!$1:$1,'ACH CALC'!W$2,'TALLY BOX DUMP'!193:193))</f>
        <v/>
      </c>
      <c r="X194" s="21" t="str">
        <f>IF($D194="","",SUMIF('TALLY BOX DUMP'!$1:$1,'ACH CALC'!X$2,'TALLY BOX DUMP'!193:193))</f>
        <v/>
      </c>
      <c r="Y194" s="21" t="str">
        <f>IF($D194="","",SUMIF('TALLY BOX DUMP'!$1:$1,'ACH CALC'!Y$2,'TALLY BOX DUMP'!193:193))</f>
        <v/>
      </c>
      <c r="Z194" s="21" t="str">
        <f>IF($D194="","",SUMIF('TALLY BOX DUMP'!$1:$1,'ACH CALC'!Z$2,'TALLY BOX DUMP'!193:193)+AE194)</f>
        <v/>
      </c>
      <c r="AA194" s="21" t="str">
        <f>IF($D194="","",SUMIF('TALLY BOX DUMP'!$1:$1,'ACH CALC'!AA$2,'TALLY BOX DUMP'!193:193))</f>
        <v/>
      </c>
      <c r="AB194" s="21" t="str">
        <f>IF($D194="","",SUMIF('TALLY BOX DUMP'!$1:$1,'ACH CALC'!AB$2,'TALLY BOX DUMP'!193:193))</f>
        <v/>
      </c>
      <c r="AC194" s="21" t="str">
        <f>IF($D194="","",SUMIF('TALLY BOX DUMP'!$1:$1,'ACH CALC'!AC$2,'TALLY BOX DUMP'!193:193))</f>
        <v/>
      </c>
      <c r="AD194" s="21" t="str">
        <f>IF($D194="","",SUMIF('TALLY BOX DUMP'!$1:$1,'ACH CALC'!AD$2,'TALLY BOX DUMP'!193:193))</f>
        <v/>
      </c>
      <c r="AE194" s="21" t="str">
        <f>IF($D194="","",SUMIF('TALLY BOX DUMP'!$1:$1,'ACH CALC'!AE$2,'TALLY BOX DUMP'!193:193))</f>
        <v/>
      </c>
      <c r="AF194" s="21" t="str">
        <f>IF($D194="","",SUMIF('TALLY BOX DUMP'!$1:$1,'ACH CALC'!AF$2,'TALLY BOX DUMP'!193:193))</f>
        <v/>
      </c>
      <c r="AG194" s="21" t="str">
        <f>IF($D194="","",SUMIF('TALLY BOX DUMP'!$1:$1,'ACH CALC'!AG$2,'TALLY BOX DUMP'!193:193))</f>
        <v/>
      </c>
      <c r="AH194" s="21" t="str">
        <f>IF($D194="","",SUMIF('TALLY BOX DUMP'!$1:$1,'ACH CALC'!AH$2,'TALLY BOX DUMP'!193:193))</f>
        <v/>
      </c>
      <c r="AI194" s="21" t="str">
        <f>IF($D194="","",SUMIF('TALLY BOX DUMP'!$1:$1,'ACH CALC'!AI$2,'TALLY BOX DUMP'!193:193))</f>
        <v/>
      </c>
      <c r="AJ194" s="21" t="str">
        <f>IF($D194="","",SUMIF('TALLY BOX DUMP'!$1:$1,'ACH CALC'!AJ$2,'TALLY BOX DUMP'!193:193))</f>
        <v/>
      </c>
      <c r="AK194" s="21" t="str">
        <f>IF($D194="","",SUMIF('TALLY BOX DUMP'!$1:$1,'ACH CALC'!AK$2,'TALLY BOX DUMP'!193:193))</f>
        <v/>
      </c>
      <c r="AL194" s="21" t="str">
        <f>IF($D194="","",ROUND(SUMIF('TALLY KG DUMP'!$1:$1,'ACH CALC'!AL$2,'TALLY KG DUMP'!193:193)/30,1))</f>
        <v/>
      </c>
      <c r="AM194" s="21" t="str">
        <f>IF($D194="","",SUMIF('TALLY BOX DUMP'!$1:$1,'ACH CALC'!AM$2,'TALLY BOX DUMP'!193:193))</f>
        <v/>
      </c>
      <c r="AN194" s="21" t="str">
        <f>IF($D194="","",SUMIF('TALLY BOX DUMP'!$1:$1,'ACH CALC'!AN$2,'TALLY BOX DUMP'!193:193))</f>
        <v/>
      </c>
      <c r="AO194" s="21" t="str">
        <f>IF($D194="","",SUMIF('TALLY BOX DUMP'!$1:$1,'ACH CALC'!AO$2,'TALLY BOX DUMP'!193:193))</f>
        <v/>
      </c>
      <c r="AP194" s="21" t="str">
        <f>IF($D194="","",SUMIF('TALLY BOX DUMP'!$1:$1,'ACH CALC'!AP$2,'TALLY BOX DUMP'!193:193))</f>
        <v/>
      </c>
      <c r="AQ194" s="21" t="str">
        <f>IF($D194="","",ROUND(SUMIF('TALLY KG DUMP'!$1:$1,'ACH CALC'!AQ$2,'TALLY KG DUMP'!193:193)/30,1))</f>
        <v/>
      </c>
      <c r="AR194" s="21" t="str">
        <f>IF($D194="","",SUMIF('TALLY BOX DUMP'!$1:$1,'ACH CALC'!AR$2,'TALLY BOX DUMP'!193:193))</f>
        <v/>
      </c>
      <c r="AS194" s="21" t="str">
        <f>IF($D194="","",SUMIF('TALLY BOX DUMP'!$1:$1,'ACH CALC'!AS$2,'TALLY BOX DUMP'!193:193))</f>
        <v/>
      </c>
      <c r="AT194" s="21" t="str">
        <f>IF($D194="","",SUMIF('TALLY BOX DUMP'!$1:$1,'ACH CALC'!AT$2,'TALLY BOX DUMP'!193:193))</f>
        <v/>
      </c>
      <c r="AU194" s="21" t="str">
        <f>IF($D194="","",SUMIF('TALLY BOX DUMP'!$1:$1,'ACH CALC'!AU$2,'TALLY BOX DUMP'!193:193))</f>
        <v/>
      </c>
      <c r="AV194" s="21" t="str">
        <f>IF($D194="","",SUMIF('TALLY BOX DUMP'!$1:$1,'ACH CALC'!AV$2,'TALLY BOX DUMP'!193:193))</f>
        <v/>
      </c>
      <c r="AW194" s="21" t="str">
        <f>IF($D194="","",SUMIF('TALLY BOX DUMP'!$1:$1,'ACH CALC'!AW$2,'TALLY BOX DUMP'!193:193))</f>
        <v/>
      </c>
      <c r="AX194" s="21" t="str">
        <f>IF($D194="","",SUMIF('TALLY BOX DUMP'!$1:$1,'ACH CALC'!AX$2,'TALLY BOX DUMP'!193:193))</f>
        <v/>
      </c>
      <c r="AY194" s="21" t="str">
        <f>IF($D194="","",SUMIF('TALLY BOX DUMP'!$1:$1,'ACH CALC'!AY$2,'TALLY BOX DUMP'!193:193))</f>
        <v/>
      </c>
      <c r="AZ194" s="21" t="str">
        <f>IF($D194="","",SUMIF('TALLY BOX DUMP'!$1:$1,'ACH CALC'!AZ$2,'TALLY BOX DUMP'!193:193))</f>
        <v/>
      </c>
      <c r="BA194" s="69">
        <f>(SUMIF('TALLY KG DUMP'!$2:$2,"Qty",'TALLY KG DUMP'!193:193)/1000)-(SUMIF('TALLY KG DUMP'!$1:$1,"GL",'TALLY KG DUMP'!193:193)/1000)</f>
        <v>0</v>
      </c>
      <c r="BB194" s="21" t="b">
        <f t="shared" si="8"/>
        <v>0</v>
      </c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</row>
    <row r="195" spans="2:75" x14ac:dyDescent="0.25">
      <c r="B195" s="21"/>
      <c r="C195" s="21"/>
      <c r="D195" s="21"/>
      <c r="E195" s="21" t="str">
        <f>IF($D195="","",(SUMIF('TALLY KG DUMP'!$2:$2,"Qty",'TALLY KG DUMP'!194:194)/1000)-(SUMIF('TALLY KG DUMP'!$1:$1,"GL",'TALLY KG DUMP'!194:194)/1000))</f>
        <v/>
      </c>
      <c r="F195" s="21" t="str">
        <f>IF($D195="","",(SUMIF('TALLY KG DUMP'!$1:$1,'ACH CALC'!F$2,'TALLY KG DUMP'!194:194)/1000))</f>
        <v/>
      </c>
      <c r="G195" s="21" t="str">
        <f>IF($D195="","",SUMIF('TALLY BOX DUMP'!$1:$1,'ACH CALC'!G$2,'TALLY BOX DUMP'!194:194)+Y195)</f>
        <v/>
      </c>
      <c r="H195" s="21" t="str">
        <f t="shared" si="6"/>
        <v/>
      </c>
      <c r="I195" s="21" t="str">
        <f>IF($D195="","",SUMIF('TALLY BOX DUMP'!$1:$1,'ACH CALC'!I$2,'TALLY BOX DUMP'!194:194)+AA195)</f>
        <v/>
      </c>
      <c r="J195" s="21" t="str">
        <f>IF($D195="","",SUMIF('TALLY BOX DUMP'!$1:$1,'ACH CALC'!J$2,'TALLY BOX DUMP'!194:194)+AB195)</f>
        <v/>
      </c>
      <c r="K195" s="21" t="str">
        <f>IF($D195="","",SUMIF('TALLY BOX DUMP'!$1:$1,'ACH CALC'!K$2,'TALLY BOX DUMP'!194:194)+AC195)</f>
        <v/>
      </c>
      <c r="L195" s="21" t="str">
        <f>IF($D195="","",SUMIF('TALLY BOX DUMP'!$1:$1,'ACH CALC'!L$2,'TALLY BOX DUMP'!194:194))</f>
        <v/>
      </c>
      <c r="M195" s="21" t="str">
        <f>IF($D195="","",SUMIF('TALLY BOX DUMP'!$1:$1,'ACH CALC'!M$2,'TALLY BOX DUMP'!194:194)+AD195)</f>
        <v/>
      </c>
      <c r="N195" s="21" t="str">
        <f>IF($D195="","",SUMIF('TALLY BOX DUMP'!$1:$1,'ACH CALC'!N$2,'TALLY BOX DUMP'!194:194))</f>
        <v/>
      </c>
      <c r="O195" s="21" t="str">
        <f>IF($D195="","",SUMIF('TALLY BOX DUMP'!$1:$1,'ACH CALC'!O$2,'TALLY BOX DUMP'!194:194))</f>
        <v/>
      </c>
      <c r="P195" s="21" t="str">
        <f>IF($D195="","",SUMIF('TALLY BOX DUMP'!$1:$1,'ACH CALC'!P$2,'TALLY BOX DUMP'!194:194))</f>
        <v/>
      </c>
      <c r="Q195" s="21" t="str">
        <f t="shared" si="7"/>
        <v/>
      </c>
      <c r="R195" s="21" t="str">
        <f>IF($D195="","",SUMIF('TALLY BOX DUMP'!$1:$1,'ACH CALC'!R$2,'TALLY BOX DUMP'!194:194))</f>
        <v/>
      </c>
      <c r="S195" s="21" t="str">
        <f>IF($D195="","",SUMIF('TALLY BOX DUMP'!$1:$1,'ACH CALC'!S$2,'TALLY BOX DUMP'!194:194))</f>
        <v/>
      </c>
      <c r="T195" s="21" t="str">
        <f>IF($D195="","",SUMIF('TALLY BOX DUMP'!$1:$1,'ACH CALC'!T$2,'TALLY BOX DUMP'!194:194))</f>
        <v/>
      </c>
      <c r="U195" s="21" t="str">
        <f>IF($D195="","",SUMIF('TALLY BOX DUMP'!$1:$1,'ACH CALC'!U$2,'TALLY BOX DUMP'!194:194))</f>
        <v/>
      </c>
      <c r="V195" s="21" t="str">
        <f>IF($D195="","",SUMIF('TALLY BOX DUMP'!$1:$1,'ACH CALC'!V$2,'TALLY BOX DUMP'!194:194))</f>
        <v/>
      </c>
      <c r="W195" s="21" t="str">
        <f>IF($D195="","",SUMIF('TALLY BOX DUMP'!$1:$1,'ACH CALC'!W$2,'TALLY BOX DUMP'!194:194))</f>
        <v/>
      </c>
      <c r="X195" s="21" t="str">
        <f>IF($D195="","",SUMIF('TALLY BOX DUMP'!$1:$1,'ACH CALC'!X$2,'TALLY BOX DUMP'!194:194))</f>
        <v/>
      </c>
      <c r="Y195" s="21" t="str">
        <f>IF($D195="","",SUMIF('TALLY BOX DUMP'!$1:$1,'ACH CALC'!Y$2,'TALLY BOX DUMP'!194:194))</f>
        <v/>
      </c>
      <c r="Z195" s="21" t="str">
        <f>IF($D195="","",SUMIF('TALLY BOX DUMP'!$1:$1,'ACH CALC'!Z$2,'TALLY BOX DUMP'!194:194)+AE195)</f>
        <v/>
      </c>
      <c r="AA195" s="21" t="str">
        <f>IF($D195="","",SUMIF('TALLY BOX DUMP'!$1:$1,'ACH CALC'!AA$2,'TALLY BOX DUMP'!194:194))</f>
        <v/>
      </c>
      <c r="AB195" s="21" t="str">
        <f>IF($D195="","",SUMIF('TALLY BOX DUMP'!$1:$1,'ACH CALC'!AB$2,'TALLY BOX DUMP'!194:194))</f>
        <v/>
      </c>
      <c r="AC195" s="21" t="str">
        <f>IF($D195="","",SUMIF('TALLY BOX DUMP'!$1:$1,'ACH CALC'!AC$2,'TALLY BOX DUMP'!194:194))</f>
        <v/>
      </c>
      <c r="AD195" s="21" t="str">
        <f>IF($D195="","",SUMIF('TALLY BOX DUMP'!$1:$1,'ACH CALC'!AD$2,'TALLY BOX DUMP'!194:194))</f>
        <v/>
      </c>
      <c r="AE195" s="21" t="str">
        <f>IF($D195="","",SUMIF('TALLY BOX DUMP'!$1:$1,'ACH CALC'!AE$2,'TALLY BOX DUMP'!194:194))</f>
        <v/>
      </c>
      <c r="AF195" s="21" t="str">
        <f>IF($D195="","",SUMIF('TALLY BOX DUMP'!$1:$1,'ACH CALC'!AF$2,'TALLY BOX DUMP'!194:194))</f>
        <v/>
      </c>
      <c r="AG195" s="21" t="str">
        <f>IF($D195="","",SUMIF('TALLY BOX DUMP'!$1:$1,'ACH CALC'!AG$2,'TALLY BOX DUMP'!194:194))</f>
        <v/>
      </c>
      <c r="AH195" s="21" t="str">
        <f>IF($D195="","",SUMIF('TALLY BOX DUMP'!$1:$1,'ACH CALC'!AH$2,'TALLY BOX DUMP'!194:194))</f>
        <v/>
      </c>
      <c r="AI195" s="21" t="str">
        <f>IF($D195="","",SUMIF('TALLY BOX DUMP'!$1:$1,'ACH CALC'!AI$2,'TALLY BOX DUMP'!194:194))</f>
        <v/>
      </c>
      <c r="AJ195" s="21" t="str">
        <f>IF($D195="","",SUMIF('TALLY BOX DUMP'!$1:$1,'ACH CALC'!AJ$2,'TALLY BOX DUMP'!194:194))</f>
        <v/>
      </c>
      <c r="AK195" s="21" t="str">
        <f>IF($D195="","",SUMIF('TALLY BOX DUMP'!$1:$1,'ACH CALC'!AK$2,'TALLY BOX DUMP'!194:194))</f>
        <v/>
      </c>
      <c r="AL195" s="21" t="str">
        <f>IF($D195="","",ROUND(SUMIF('TALLY KG DUMP'!$1:$1,'ACH CALC'!AL$2,'TALLY KG DUMP'!194:194)/30,1))</f>
        <v/>
      </c>
      <c r="AM195" s="21" t="str">
        <f>IF($D195="","",SUMIF('TALLY BOX DUMP'!$1:$1,'ACH CALC'!AM$2,'TALLY BOX DUMP'!194:194))</f>
        <v/>
      </c>
      <c r="AN195" s="21" t="str">
        <f>IF($D195="","",SUMIF('TALLY BOX DUMP'!$1:$1,'ACH CALC'!AN$2,'TALLY BOX DUMP'!194:194))</f>
        <v/>
      </c>
      <c r="AO195" s="21" t="str">
        <f>IF($D195="","",SUMIF('TALLY BOX DUMP'!$1:$1,'ACH CALC'!AO$2,'TALLY BOX DUMP'!194:194))</f>
        <v/>
      </c>
      <c r="AP195" s="21" t="str">
        <f>IF($D195="","",SUMIF('TALLY BOX DUMP'!$1:$1,'ACH CALC'!AP$2,'TALLY BOX DUMP'!194:194))</f>
        <v/>
      </c>
      <c r="AQ195" s="21" t="str">
        <f>IF($D195="","",ROUND(SUMIF('TALLY KG DUMP'!$1:$1,'ACH CALC'!AQ$2,'TALLY KG DUMP'!194:194)/30,1))</f>
        <v/>
      </c>
      <c r="AR195" s="21" t="str">
        <f>IF($D195="","",SUMIF('TALLY BOX DUMP'!$1:$1,'ACH CALC'!AR$2,'TALLY BOX DUMP'!194:194))</f>
        <v/>
      </c>
      <c r="AS195" s="21" t="str">
        <f>IF($D195="","",SUMIF('TALLY BOX DUMP'!$1:$1,'ACH CALC'!AS$2,'TALLY BOX DUMP'!194:194))</f>
        <v/>
      </c>
      <c r="AT195" s="21" t="str">
        <f>IF($D195="","",SUMIF('TALLY BOX DUMP'!$1:$1,'ACH CALC'!AT$2,'TALLY BOX DUMP'!194:194))</f>
        <v/>
      </c>
      <c r="AU195" s="21" t="str">
        <f>IF($D195="","",SUMIF('TALLY BOX DUMP'!$1:$1,'ACH CALC'!AU$2,'TALLY BOX DUMP'!194:194))</f>
        <v/>
      </c>
      <c r="AV195" s="21" t="str">
        <f>IF($D195="","",SUMIF('TALLY BOX DUMP'!$1:$1,'ACH CALC'!AV$2,'TALLY BOX DUMP'!194:194))</f>
        <v/>
      </c>
      <c r="AW195" s="21" t="str">
        <f>IF($D195="","",SUMIF('TALLY BOX DUMP'!$1:$1,'ACH CALC'!AW$2,'TALLY BOX DUMP'!194:194))</f>
        <v/>
      </c>
      <c r="AX195" s="21" t="str">
        <f>IF($D195="","",SUMIF('TALLY BOX DUMP'!$1:$1,'ACH CALC'!AX$2,'TALLY BOX DUMP'!194:194))</f>
        <v/>
      </c>
      <c r="AY195" s="21" t="str">
        <f>IF($D195="","",SUMIF('TALLY BOX DUMP'!$1:$1,'ACH CALC'!AY$2,'TALLY BOX DUMP'!194:194))</f>
        <v/>
      </c>
      <c r="AZ195" s="21" t="str">
        <f>IF($D195="","",SUMIF('TALLY BOX DUMP'!$1:$1,'ACH CALC'!AZ$2,'TALLY BOX DUMP'!194:194))</f>
        <v/>
      </c>
      <c r="BA195" s="69">
        <f>(SUMIF('TALLY KG DUMP'!$2:$2,"Qty",'TALLY KG DUMP'!194:194)/1000)-(SUMIF('TALLY KG DUMP'!$1:$1,"GL",'TALLY KG DUMP'!194:194)/1000)</f>
        <v>0</v>
      </c>
      <c r="BB195" s="21" t="b">
        <f t="shared" si="8"/>
        <v>0</v>
      </c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</row>
    <row r="196" spans="2:75" x14ac:dyDescent="0.25">
      <c r="B196" s="21"/>
      <c r="C196" s="21"/>
      <c r="D196" s="21"/>
      <c r="E196" s="21" t="str">
        <f>IF($D196="","",(SUMIF('TALLY KG DUMP'!$2:$2,"Qty",'TALLY KG DUMP'!195:195)/1000)-(SUMIF('TALLY KG DUMP'!$1:$1,"GL",'TALLY KG DUMP'!195:195)/1000))</f>
        <v/>
      </c>
      <c r="F196" s="21" t="str">
        <f>IF($D196="","",(SUMIF('TALLY KG DUMP'!$1:$1,'ACH CALC'!F$2,'TALLY KG DUMP'!195:195)/1000))</f>
        <v/>
      </c>
      <c r="G196" s="21" t="str">
        <f>IF($D196="","",SUMIF('TALLY BOX DUMP'!$1:$1,'ACH CALC'!G$2,'TALLY BOX DUMP'!195:195)+Y196)</f>
        <v/>
      </c>
      <c r="H196" s="21" t="str">
        <f t="shared" si="6"/>
        <v/>
      </c>
      <c r="I196" s="21" t="str">
        <f>IF($D196="","",SUMIF('TALLY BOX DUMP'!$1:$1,'ACH CALC'!I$2,'TALLY BOX DUMP'!195:195)+AA196)</f>
        <v/>
      </c>
      <c r="J196" s="21" t="str">
        <f>IF($D196="","",SUMIF('TALLY BOX DUMP'!$1:$1,'ACH CALC'!J$2,'TALLY BOX DUMP'!195:195)+AB196)</f>
        <v/>
      </c>
      <c r="K196" s="21" t="str">
        <f>IF($D196="","",SUMIF('TALLY BOX DUMP'!$1:$1,'ACH CALC'!K$2,'TALLY BOX DUMP'!195:195)+AC196)</f>
        <v/>
      </c>
      <c r="L196" s="21" t="str">
        <f>IF($D196="","",SUMIF('TALLY BOX DUMP'!$1:$1,'ACH CALC'!L$2,'TALLY BOX DUMP'!195:195))</f>
        <v/>
      </c>
      <c r="M196" s="21" t="str">
        <f>IF($D196="","",SUMIF('TALLY BOX DUMP'!$1:$1,'ACH CALC'!M$2,'TALLY BOX DUMP'!195:195)+AD196)</f>
        <v/>
      </c>
      <c r="N196" s="21" t="str">
        <f>IF($D196="","",SUMIF('TALLY BOX DUMP'!$1:$1,'ACH CALC'!N$2,'TALLY BOX DUMP'!195:195))</f>
        <v/>
      </c>
      <c r="O196" s="21" t="str">
        <f>IF($D196="","",SUMIF('TALLY BOX DUMP'!$1:$1,'ACH CALC'!O$2,'TALLY BOX DUMP'!195:195))</f>
        <v/>
      </c>
      <c r="P196" s="21" t="str">
        <f>IF($D196="","",SUMIF('TALLY BOX DUMP'!$1:$1,'ACH CALC'!P$2,'TALLY BOX DUMP'!195:195))</f>
        <v/>
      </c>
      <c r="Q196" s="21" t="str">
        <f t="shared" si="7"/>
        <v/>
      </c>
      <c r="R196" s="21" t="str">
        <f>IF($D196="","",SUMIF('TALLY BOX DUMP'!$1:$1,'ACH CALC'!R$2,'TALLY BOX DUMP'!195:195))</f>
        <v/>
      </c>
      <c r="S196" s="21" t="str">
        <f>IF($D196="","",SUMIF('TALLY BOX DUMP'!$1:$1,'ACH CALC'!S$2,'TALLY BOX DUMP'!195:195))</f>
        <v/>
      </c>
      <c r="T196" s="21" t="str">
        <f>IF($D196="","",SUMIF('TALLY BOX DUMP'!$1:$1,'ACH CALC'!T$2,'TALLY BOX DUMP'!195:195))</f>
        <v/>
      </c>
      <c r="U196" s="21" t="str">
        <f>IF($D196="","",SUMIF('TALLY BOX DUMP'!$1:$1,'ACH CALC'!U$2,'TALLY BOX DUMP'!195:195))</f>
        <v/>
      </c>
      <c r="V196" s="21" t="str">
        <f>IF($D196="","",SUMIF('TALLY BOX DUMP'!$1:$1,'ACH CALC'!V$2,'TALLY BOX DUMP'!195:195))</f>
        <v/>
      </c>
      <c r="W196" s="21" t="str">
        <f>IF($D196="","",SUMIF('TALLY BOX DUMP'!$1:$1,'ACH CALC'!W$2,'TALLY BOX DUMP'!195:195))</f>
        <v/>
      </c>
      <c r="X196" s="21" t="str">
        <f>IF($D196="","",SUMIF('TALLY BOX DUMP'!$1:$1,'ACH CALC'!X$2,'TALLY BOX DUMP'!195:195))</f>
        <v/>
      </c>
      <c r="Y196" s="21" t="str">
        <f>IF($D196="","",SUMIF('TALLY BOX DUMP'!$1:$1,'ACH CALC'!Y$2,'TALLY BOX DUMP'!195:195))</f>
        <v/>
      </c>
      <c r="Z196" s="21" t="str">
        <f>IF($D196="","",SUMIF('TALLY BOX DUMP'!$1:$1,'ACH CALC'!Z$2,'TALLY BOX DUMP'!195:195)+AE196)</f>
        <v/>
      </c>
      <c r="AA196" s="21" t="str">
        <f>IF($D196="","",SUMIF('TALLY BOX DUMP'!$1:$1,'ACH CALC'!AA$2,'TALLY BOX DUMP'!195:195))</f>
        <v/>
      </c>
      <c r="AB196" s="21" t="str">
        <f>IF($D196="","",SUMIF('TALLY BOX DUMP'!$1:$1,'ACH CALC'!AB$2,'TALLY BOX DUMP'!195:195))</f>
        <v/>
      </c>
      <c r="AC196" s="21" t="str">
        <f>IF($D196="","",SUMIF('TALLY BOX DUMP'!$1:$1,'ACH CALC'!AC$2,'TALLY BOX DUMP'!195:195))</f>
        <v/>
      </c>
      <c r="AD196" s="21" t="str">
        <f>IF($D196="","",SUMIF('TALLY BOX DUMP'!$1:$1,'ACH CALC'!AD$2,'TALLY BOX DUMP'!195:195))</f>
        <v/>
      </c>
      <c r="AE196" s="21" t="str">
        <f>IF($D196="","",SUMIF('TALLY BOX DUMP'!$1:$1,'ACH CALC'!AE$2,'TALLY BOX DUMP'!195:195))</f>
        <v/>
      </c>
      <c r="AF196" s="21" t="str">
        <f>IF($D196="","",SUMIF('TALLY BOX DUMP'!$1:$1,'ACH CALC'!AF$2,'TALLY BOX DUMP'!195:195))</f>
        <v/>
      </c>
      <c r="AG196" s="21" t="str">
        <f>IF($D196="","",SUMIF('TALLY BOX DUMP'!$1:$1,'ACH CALC'!AG$2,'TALLY BOX DUMP'!195:195))</f>
        <v/>
      </c>
      <c r="AH196" s="21" t="str">
        <f>IF($D196="","",SUMIF('TALLY BOX DUMP'!$1:$1,'ACH CALC'!AH$2,'TALLY BOX DUMP'!195:195))</f>
        <v/>
      </c>
      <c r="AI196" s="21" t="str">
        <f>IF($D196="","",SUMIF('TALLY BOX DUMP'!$1:$1,'ACH CALC'!AI$2,'TALLY BOX DUMP'!195:195))</f>
        <v/>
      </c>
      <c r="AJ196" s="21" t="str">
        <f>IF($D196="","",SUMIF('TALLY BOX DUMP'!$1:$1,'ACH CALC'!AJ$2,'TALLY BOX DUMP'!195:195))</f>
        <v/>
      </c>
      <c r="AK196" s="21" t="str">
        <f>IF($D196="","",SUMIF('TALLY BOX DUMP'!$1:$1,'ACH CALC'!AK$2,'TALLY BOX DUMP'!195:195))</f>
        <v/>
      </c>
      <c r="AL196" s="21" t="str">
        <f>IF($D196="","",ROUND(SUMIF('TALLY KG DUMP'!$1:$1,'ACH CALC'!AL$2,'TALLY KG DUMP'!195:195)/30,1))</f>
        <v/>
      </c>
      <c r="AM196" s="21" t="str">
        <f>IF($D196="","",SUMIF('TALLY BOX DUMP'!$1:$1,'ACH CALC'!AM$2,'TALLY BOX DUMP'!195:195))</f>
        <v/>
      </c>
      <c r="AN196" s="21" t="str">
        <f>IF($D196="","",SUMIF('TALLY BOX DUMP'!$1:$1,'ACH CALC'!AN$2,'TALLY BOX DUMP'!195:195))</f>
        <v/>
      </c>
      <c r="AO196" s="21" t="str">
        <f>IF($D196="","",SUMIF('TALLY BOX DUMP'!$1:$1,'ACH CALC'!AO$2,'TALLY BOX DUMP'!195:195))</f>
        <v/>
      </c>
      <c r="AP196" s="21" t="str">
        <f>IF($D196="","",SUMIF('TALLY BOX DUMP'!$1:$1,'ACH CALC'!AP$2,'TALLY BOX DUMP'!195:195))</f>
        <v/>
      </c>
      <c r="AQ196" s="21" t="str">
        <f>IF($D196="","",ROUND(SUMIF('TALLY KG DUMP'!$1:$1,'ACH CALC'!AQ$2,'TALLY KG DUMP'!195:195)/30,1))</f>
        <v/>
      </c>
      <c r="AR196" s="21" t="str">
        <f>IF($D196="","",SUMIF('TALLY BOX DUMP'!$1:$1,'ACH CALC'!AR$2,'TALLY BOX DUMP'!195:195))</f>
        <v/>
      </c>
      <c r="AS196" s="21" t="str">
        <f>IF($D196="","",SUMIF('TALLY BOX DUMP'!$1:$1,'ACH CALC'!AS$2,'TALLY BOX DUMP'!195:195))</f>
        <v/>
      </c>
      <c r="AT196" s="21" t="str">
        <f>IF($D196="","",SUMIF('TALLY BOX DUMP'!$1:$1,'ACH CALC'!AT$2,'TALLY BOX DUMP'!195:195))</f>
        <v/>
      </c>
      <c r="AU196" s="21" t="str">
        <f>IF($D196="","",SUMIF('TALLY BOX DUMP'!$1:$1,'ACH CALC'!AU$2,'TALLY BOX DUMP'!195:195))</f>
        <v/>
      </c>
      <c r="AV196" s="21" t="str">
        <f>IF($D196="","",SUMIF('TALLY BOX DUMP'!$1:$1,'ACH CALC'!AV$2,'TALLY BOX DUMP'!195:195))</f>
        <v/>
      </c>
      <c r="AW196" s="21" t="str">
        <f>IF($D196="","",SUMIF('TALLY BOX DUMP'!$1:$1,'ACH CALC'!AW$2,'TALLY BOX DUMP'!195:195))</f>
        <v/>
      </c>
      <c r="AX196" s="21" t="str">
        <f>IF($D196="","",SUMIF('TALLY BOX DUMP'!$1:$1,'ACH CALC'!AX$2,'TALLY BOX DUMP'!195:195))</f>
        <v/>
      </c>
      <c r="AY196" s="21" t="str">
        <f>IF($D196="","",SUMIF('TALLY BOX DUMP'!$1:$1,'ACH CALC'!AY$2,'TALLY BOX DUMP'!195:195))</f>
        <v/>
      </c>
      <c r="AZ196" s="21" t="str">
        <f>IF($D196="","",SUMIF('TALLY BOX DUMP'!$1:$1,'ACH CALC'!AZ$2,'TALLY BOX DUMP'!195:195))</f>
        <v/>
      </c>
      <c r="BA196" s="69">
        <f>(SUMIF('TALLY KG DUMP'!$2:$2,"Qty",'TALLY KG DUMP'!195:195)/1000)-(SUMIF('TALLY KG DUMP'!$1:$1,"GL",'TALLY KG DUMP'!195:195)/1000)</f>
        <v>0</v>
      </c>
      <c r="BB196" s="21" t="b">
        <f t="shared" si="8"/>
        <v>0</v>
      </c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</row>
    <row r="197" spans="2:75" x14ac:dyDescent="0.25">
      <c r="B197" s="21"/>
      <c r="C197" s="21"/>
      <c r="D197" s="21"/>
      <c r="E197" s="21" t="str">
        <f>IF($D197="","",(SUMIF('TALLY KG DUMP'!$2:$2,"Qty",'TALLY KG DUMP'!196:196)/1000)-(SUMIF('TALLY KG DUMP'!$1:$1,"GL",'TALLY KG DUMP'!196:196)/1000))</f>
        <v/>
      </c>
      <c r="F197" s="21" t="str">
        <f>IF($D197="","",(SUMIF('TALLY KG DUMP'!$1:$1,'ACH CALC'!F$2,'TALLY KG DUMP'!196:196)/1000))</f>
        <v/>
      </c>
      <c r="G197" s="21" t="str">
        <f>IF($D197="","",SUMIF('TALLY BOX DUMP'!$1:$1,'ACH CALC'!G$2,'TALLY BOX DUMP'!196:196)+Y197)</f>
        <v/>
      </c>
      <c r="H197" s="21" t="str">
        <f t="shared" ref="H197:H200" si="9">IF($D197="","",SUM(I197:N197))</f>
        <v/>
      </c>
      <c r="I197" s="21" t="str">
        <f>IF($D197="","",SUMIF('TALLY BOX DUMP'!$1:$1,'ACH CALC'!I$2,'TALLY BOX DUMP'!196:196)+AA197)</f>
        <v/>
      </c>
      <c r="J197" s="21" t="str">
        <f>IF($D197="","",SUMIF('TALLY BOX DUMP'!$1:$1,'ACH CALC'!J$2,'TALLY BOX DUMP'!196:196)+AB197)</f>
        <v/>
      </c>
      <c r="K197" s="21" t="str">
        <f>IF($D197="","",SUMIF('TALLY BOX DUMP'!$1:$1,'ACH CALC'!K$2,'TALLY BOX DUMP'!196:196)+AC197)</f>
        <v/>
      </c>
      <c r="L197" s="21" t="str">
        <f>IF($D197="","",SUMIF('TALLY BOX DUMP'!$1:$1,'ACH CALC'!L$2,'TALLY BOX DUMP'!196:196))</f>
        <v/>
      </c>
      <c r="M197" s="21" t="str">
        <f>IF($D197="","",SUMIF('TALLY BOX DUMP'!$1:$1,'ACH CALC'!M$2,'TALLY BOX DUMP'!196:196)+AD197)</f>
        <v/>
      </c>
      <c r="N197" s="21" t="str">
        <f>IF($D197="","",SUMIF('TALLY BOX DUMP'!$1:$1,'ACH CALC'!N$2,'TALLY BOX DUMP'!196:196))</f>
        <v/>
      </c>
      <c r="O197" s="21" t="str">
        <f>IF($D197="","",SUMIF('TALLY BOX DUMP'!$1:$1,'ACH CALC'!O$2,'TALLY BOX DUMP'!196:196))</f>
        <v/>
      </c>
      <c r="P197" s="21" t="str">
        <f>IF($D197="","",SUMIF('TALLY BOX DUMP'!$1:$1,'ACH CALC'!P$2,'TALLY BOX DUMP'!196:196))</f>
        <v/>
      </c>
      <c r="Q197" s="21" t="str">
        <f t="shared" ref="Q197:Q200" si="10">IF($D197="","",SUM(R197:X197))</f>
        <v/>
      </c>
      <c r="R197" s="21" t="str">
        <f>IF($D197="","",SUMIF('TALLY BOX DUMP'!$1:$1,'ACH CALC'!R$2,'TALLY BOX DUMP'!196:196))</f>
        <v/>
      </c>
      <c r="S197" s="21" t="str">
        <f>IF($D197="","",SUMIF('TALLY BOX DUMP'!$1:$1,'ACH CALC'!S$2,'TALLY BOX DUMP'!196:196))</f>
        <v/>
      </c>
      <c r="T197" s="21" t="str">
        <f>IF($D197="","",SUMIF('TALLY BOX DUMP'!$1:$1,'ACH CALC'!T$2,'TALLY BOX DUMP'!196:196))</f>
        <v/>
      </c>
      <c r="U197" s="21" t="str">
        <f>IF($D197="","",SUMIF('TALLY BOX DUMP'!$1:$1,'ACH CALC'!U$2,'TALLY BOX DUMP'!196:196))</f>
        <v/>
      </c>
      <c r="V197" s="21" t="str">
        <f>IF($D197="","",SUMIF('TALLY BOX DUMP'!$1:$1,'ACH CALC'!V$2,'TALLY BOX DUMP'!196:196))</f>
        <v/>
      </c>
      <c r="W197" s="21" t="str">
        <f>IF($D197="","",SUMIF('TALLY BOX DUMP'!$1:$1,'ACH CALC'!W$2,'TALLY BOX DUMP'!196:196))</f>
        <v/>
      </c>
      <c r="X197" s="21" t="str">
        <f>IF($D197="","",SUMIF('TALLY BOX DUMP'!$1:$1,'ACH CALC'!X$2,'TALLY BOX DUMP'!196:196))</f>
        <v/>
      </c>
      <c r="Y197" s="21" t="str">
        <f>IF($D197="","",SUMIF('TALLY BOX DUMP'!$1:$1,'ACH CALC'!Y$2,'TALLY BOX DUMP'!196:196))</f>
        <v/>
      </c>
      <c r="Z197" s="21" t="str">
        <f>IF($D197="","",SUMIF('TALLY BOX DUMP'!$1:$1,'ACH CALC'!Z$2,'TALLY BOX DUMP'!196:196)+AE197)</f>
        <v/>
      </c>
      <c r="AA197" s="21" t="str">
        <f>IF($D197="","",SUMIF('TALLY BOX DUMP'!$1:$1,'ACH CALC'!AA$2,'TALLY BOX DUMP'!196:196))</f>
        <v/>
      </c>
      <c r="AB197" s="21" t="str">
        <f>IF($D197="","",SUMIF('TALLY BOX DUMP'!$1:$1,'ACH CALC'!AB$2,'TALLY BOX DUMP'!196:196))</f>
        <v/>
      </c>
      <c r="AC197" s="21" t="str">
        <f>IF($D197="","",SUMIF('TALLY BOX DUMP'!$1:$1,'ACH CALC'!AC$2,'TALLY BOX DUMP'!196:196))</f>
        <v/>
      </c>
      <c r="AD197" s="21" t="str">
        <f>IF($D197="","",SUMIF('TALLY BOX DUMP'!$1:$1,'ACH CALC'!AD$2,'TALLY BOX DUMP'!196:196))</f>
        <v/>
      </c>
      <c r="AE197" s="21" t="str">
        <f>IF($D197="","",SUMIF('TALLY BOX DUMP'!$1:$1,'ACH CALC'!AE$2,'TALLY BOX DUMP'!196:196))</f>
        <v/>
      </c>
      <c r="AF197" s="21" t="str">
        <f>IF($D197="","",SUMIF('TALLY BOX DUMP'!$1:$1,'ACH CALC'!AF$2,'TALLY BOX DUMP'!196:196))</f>
        <v/>
      </c>
      <c r="AG197" s="21" t="str">
        <f>IF($D197="","",SUMIF('TALLY BOX DUMP'!$1:$1,'ACH CALC'!AG$2,'TALLY BOX DUMP'!196:196))</f>
        <v/>
      </c>
      <c r="AH197" s="21" t="str">
        <f>IF($D197="","",SUMIF('TALLY BOX DUMP'!$1:$1,'ACH CALC'!AH$2,'TALLY BOX DUMP'!196:196))</f>
        <v/>
      </c>
      <c r="AI197" s="21" t="str">
        <f>IF($D197="","",SUMIF('TALLY BOX DUMP'!$1:$1,'ACH CALC'!AI$2,'TALLY BOX DUMP'!196:196))</f>
        <v/>
      </c>
      <c r="AJ197" s="21" t="str">
        <f>IF($D197="","",SUMIF('TALLY BOX DUMP'!$1:$1,'ACH CALC'!AJ$2,'TALLY BOX DUMP'!196:196))</f>
        <v/>
      </c>
      <c r="AK197" s="21" t="str">
        <f>IF($D197="","",SUMIF('TALLY BOX DUMP'!$1:$1,'ACH CALC'!AK$2,'TALLY BOX DUMP'!196:196))</f>
        <v/>
      </c>
      <c r="AL197" s="21" t="str">
        <f>IF($D197="","",ROUND(SUMIF('TALLY KG DUMP'!$1:$1,'ACH CALC'!AL$2,'TALLY KG DUMP'!196:196)/30,1))</f>
        <v/>
      </c>
      <c r="AM197" s="21" t="str">
        <f>IF($D197="","",SUMIF('TALLY BOX DUMP'!$1:$1,'ACH CALC'!AM$2,'TALLY BOX DUMP'!196:196))</f>
        <v/>
      </c>
      <c r="AN197" s="21" t="str">
        <f>IF($D197="","",SUMIF('TALLY BOX DUMP'!$1:$1,'ACH CALC'!AN$2,'TALLY BOX DUMP'!196:196))</f>
        <v/>
      </c>
      <c r="AO197" s="21" t="str">
        <f>IF($D197="","",SUMIF('TALLY BOX DUMP'!$1:$1,'ACH CALC'!AO$2,'TALLY BOX DUMP'!196:196))</f>
        <v/>
      </c>
      <c r="AP197" s="21" t="str">
        <f>IF($D197="","",SUMIF('TALLY BOX DUMP'!$1:$1,'ACH CALC'!AP$2,'TALLY BOX DUMP'!196:196))</f>
        <v/>
      </c>
      <c r="AQ197" s="21" t="str">
        <f>IF($D197="","",ROUND(SUMIF('TALLY KG DUMP'!$1:$1,'ACH CALC'!AQ$2,'TALLY KG DUMP'!196:196)/30,1))</f>
        <v/>
      </c>
      <c r="AR197" s="21" t="str">
        <f>IF($D197="","",SUMIF('TALLY BOX DUMP'!$1:$1,'ACH CALC'!AR$2,'TALLY BOX DUMP'!196:196))</f>
        <v/>
      </c>
      <c r="AS197" s="21" t="str">
        <f>IF($D197="","",SUMIF('TALLY BOX DUMP'!$1:$1,'ACH CALC'!AS$2,'TALLY BOX DUMP'!196:196))</f>
        <v/>
      </c>
      <c r="AT197" s="21" t="str">
        <f>IF($D197="","",SUMIF('TALLY BOX DUMP'!$1:$1,'ACH CALC'!AT$2,'TALLY BOX DUMP'!196:196))</f>
        <v/>
      </c>
      <c r="AU197" s="21" t="str">
        <f>IF($D197="","",SUMIF('TALLY BOX DUMP'!$1:$1,'ACH CALC'!AU$2,'TALLY BOX DUMP'!196:196))</f>
        <v/>
      </c>
      <c r="AV197" s="21" t="str">
        <f>IF($D197="","",SUMIF('TALLY BOX DUMP'!$1:$1,'ACH CALC'!AV$2,'TALLY BOX DUMP'!196:196))</f>
        <v/>
      </c>
      <c r="AW197" s="21" t="str">
        <f>IF($D197="","",SUMIF('TALLY BOX DUMP'!$1:$1,'ACH CALC'!AW$2,'TALLY BOX DUMP'!196:196))</f>
        <v/>
      </c>
      <c r="AX197" s="21" t="str">
        <f>IF($D197="","",SUMIF('TALLY BOX DUMP'!$1:$1,'ACH CALC'!AX$2,'TALLY BOX DUMP'!196:196))</f>
        <v/>
      </c>
      <c r="AY197" s="21" t="str">
        <f>IF($D197="","",SUMIF('TALLY BOX DUMP'!$1:$1,'ACH CALC'!AY$2,'TALLY BOX DUMP'!196:196))</f>
        <v/>
      </c>
      <c r="AZ197" s="21" t="str">
        <f>IF($D197="","",SUMIF('TALLY BOX DUMP'!$1:$1,'ACH CALC'!AZ$2,'TALLY BOX DUMP'!196:196))</f>
        <v/>
      </c>
      <c r="BA197" s="69">
        <f>(SUMIF('TALLY KG DUMP'!$2:$2,"Qty",'TALLY KG DUMP'!196:196)/1000)-(SUMIF('TALLY KG DUMP'!$1:$1,"GL",'TALLY KG DUMP'!196:196)/1000)</f>
        <v>0</v>
      </c>
      <c r="BB197" s="21" t="b">
        <f t="shared" ref="BB197:BB200" si="11">BA197=E197</f>
        <v>0</v>
      </c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</row>
    <row r="198" spans="2:75" x14ac:dyDescent="0.25">
      <c r="B198" s="21"/>
      <c r="C198" s="21"/>
      <c r="D198" s="21"/>
      <c r="E198" s="21" t="str">
        <f>IF($D198="","",(SUMIF('TALLY KG DUMP'!$2:$2,"Qty",'TALLY KG DUMP'!197:197)/1000)-(SUMIF('TALLY KG DUMP'!$1:$1,"GL",'TALLY KG DUMP'!197:197)/1000))</f>
        <v/>
      </c>
      <c r="F198" s="21" t="str">
        <f>IF($D198="","",(SUMIF('TALLY KG DUMP'!$1:$1,'ACH CALC'!F$2,'TALLY KG DUMP'!197:197)/1000))</f>
        <v/>
      </c>
      <c r="G198" s="21" t="str">
        <f>IF($D198="","",SUMIF('TALLY BOX DUMP'!$1:$1,'ACH CALC'!G$2,'TALLY BOX DUMP'!197:197)+Y198)</f>
        <v/>
      </c>
      <c r="H198" s="21" t="str">
        <f t="shared" si="9"/>
        <v/>
      </c>
      <c r="I198" s="21" t="str">
        <f>IF($D198="","",SUMIF('TALLY BOX DUMP'!$1:$1,'ACH CALC'!I$2,'TALLY BOX DUMP'!197:197)+AA198)</f>
        <v/>
      </c>
      <c r="J198" s="21" t="str">
        <f>IF($D198="","",SUMIF('TALLY BOX DUMP'!$1:$1,'ACH CALC'!J$2,'TALLY BOX DUMP'!197:197)+AB198)</f>
        <v/>
      </c>
      <c r="K198" s="21" t="str">
        <f>IF($D198="","",SUMIF('TALLY BOX DUMP'!$1:$1,'ACH CALC'!K$2,'TALLY BOX DUMP'!197:197)+AC198)</f>
        <v/>
      </c>
      <c r="L198" s="21" t="str">
        <f>IF($D198="","",SUMIF('TALLY BOX DUMP'!$1:$1,'ACH CALC'!L$2,'TALLY BOX DUMP'!197:197))</f>
        <v/>
      </c>
      <c r="M198" s="21" t="str">
        <f>IF($D198="","",SUMIF('TALLY BOX DUMP'!$1:$1,'ACH CALC'!M$2,'TALLY BOX DUMP'!197:197)+AD198)</f>
        <v/>
      </c>
      <c r="N198" s="21" t="str">
        <f>IF($D198="","",SUMIF('TALLY BOX DUMP'!$1:$1,'ACH CALC'!N$2,'TALLY BOX DUMP'!197:197))</f>
        <v/>
      </c>
      <c r="O198" s="21" t="str">
        <f>IF($D198="","",SUMIF('TALLY BOX DUMP'!$1:$1,'ACH CALC'!O$2,'TALLY BOX DUMP'!197:197))</f>
        <v/>
      </c>
      <c r="P198" s="21" t="str">
        <f>IF($D198="","",SUMIF('TALLY BOX DUMP'!$1:$1,'ACH CALC'!P$2,'TALLY BOX DUMP'!197:197))</f>
        <v/>
      </c>
      <c r="Q198" s="21" t="str">
        <f t="shared" si="10"/>
        <v/>
      </c>
      <c r="R198" s="21" t="str">
        <f>IF($D198="","",SUMIF('TALLY BOX DUMP'!$1:$1,'ACH CALC'!R$2,'TALLY BOX DUMP'!197:197))</f>
        <v/>
      </c>
      <c r="S198" s="21" t="str">
        <f>IF($D198="","",SUMIF('TALLY BOX DUMP'!$1:$1,'ACH CALC'!S$2,'TALLY BOX DUMP'!197:197))</f>
        <v/>
      </c>
      <c r="T198" s="21" t="str">
        <f>IF($D198="","",SUMIF('TALLY BOX DUMP'!$1:$1,'ACH CALC'!T$2,'TALLY BOX DUMP'!197:197))</f>
        <v/>
      </c>
      <c r="U198" s="21" t="str">
        <f>IF($D198="","",SUMIF('TALLY BOX DUMP'!$1:$1,'ACH CALC'!U$2,'TALLY BOX DUMP'!197:197))</f>
        <v/>
      </c>
      <c r="V198" s="21" t="str">
        <f>IF($D198="","",SUMIF('TALLY BOX DUMP'!$1:$1,'ACH CALC'!V$2,'TALLY BOX DUMP'!197:197))</f>
        <v/>
      </c>
      <c r="W198" s="21" t="str">
        <f>IF($D198="","",SUMIF('TALLY BOX DUMP'!$1:$1,'ACH CALC'!W$2,'TALLY BOX DUMP'!197:197))</f>
        <v/>
      </c>
      <c r="X198" s="21" t="str">
        <f>IF($D198="","",SUMIF('TALLY BOX DUMP'!$1:$1,'ACH CALC'!X$2,'TALLY BOX DUMP'!197:197))</f>
        <v/>
      </c>
      <c r="Y198" s="21" t="str">
        <f>IF($D198="","",SUMIF('TALLY BOX DUMP'!$1:$1,'ACH CALC'!Y$2,'TALLY BOX DUMP'!197:197))</f>
        <v/>
      </c>
      <c r="Z198" s="21" t="str">
        <f>IF($D198="","",SUMIF('TALLY BOX DUMP'!$1:$1,'ACH CALC'!Z$2,'TALLY BOX DUMP'!197:197)+AE198)</f>
        <v/>
      </c>
      <c r="AA198" s="21" t="str">
        <f>IF($D198="","",SUMIF('TALLY BOX DUMP'!$1:$1,'ACH CALC'!AA$2,'TALLY BOX DUMP'!197:197))</f>
        <v/>
      </c>
      <c r="AB198" s="21" t="str">
        <f>IF($D198="","",SUMIF('TALLY BOX DUMP'!$1:$1,'ACH CALC'!AB$2,'TALLY BOX DUMP'!197:197))</f>
        <v/>
      </c>
      <c r="AC198" s="21" t="str">
        <f>IF($D198="","",SUMIF('TALLY BOX DUMP'!$1:$1,'ACH CALC'!AC$2,'TALLY BOX DUMP'!197:197))</f>
        <v/>
      </c>
      <c r="AD198" s="21" t="str">
        <f>IF($D198="","",SUMIF('TALLY BOX DUMP'!$1:$1,'ACH CALC'!AD$2,'TALLY BOX DUMP'!197:197))</f>
        <v/>
      </c>
      <c r="AE198" s="21" t="str">
        <f>IF($D198="","",SUMIF('TALLY BOX DUMP'!$1:$1,'ACH CALC'!AE$2,'TALLY BOX DUMP'!197:197))</f>
        <v/>
      </c>
      <c r="AF198" s="21" t="str">
        <f>IF($D198="","",SUMIF('TALLY BOX DUMP'!$1:$1,'ACH CALC'!AF$2,'TALLY BOX DUMP'!197:197))</f>
        <v/>
      </c>
      <c r="AG198" s="21" t="str">
        <f>IF($D198="","",SUMIF('TALLY BOX DUMP'!$1:$1,'ACH CALC'!AG$2,'TALLY BOX DUMP'!197:197))</f>
        <v/>
      </c>
      <c r="AH198" s="21" t="str">
        <f>IF($D198="","",SUMIF('TALLY BOX DUMP'!$1:$1,'ACH CALC'!AH$2,'TALLY BOX DUMP'!197:197))</f>
        <v/>
      </c>
      <c r="AI198" s="21" t="str">
        <f>IF($D198="","",SUMIF('TALLY BOX DUMP'!$1:$1,'ACH CALC'!AI$2,'TALLY BOX DUMP'!197:197))</f>
        <v/>
      </c>
      <c r="AJ198" s="21" t="str">
        <f>IF($D198="","",SUMIF('TALLY BOX DUMP'!$1:$1,'ACH CALC'!AJ$2,'TALLY BOX DUMP'!197:197))</f>
        <v/>
      </c>
      <c r="AK198" s="21" t="str">
        <f>IF($D198="","",SUMIF('TALLY BOX DUMP'!$1:$1,'ACH CALC'!AK$2,'TALLY BOX DUMP'!197:197))</f>
        <v/>
      </c>
      <c r="AL198" s="21" t="str">
        <f>IF($D198="","",ROUND(SUMIF('TALLY KG DUMP'!$1:$1,'ACH CALC'!AL$2,'TALLY KG DUMP'!197:197)/30,1))</f>
        <v/>
      </c>
      <c r="AM198" s="21" t="str">
        <f>IF($D198="","",SUMIF('TALLY BOX DUMP'!$1:$1,'ACH CALC'!AM$2,'TALLY BOX DUMP'!197:197))</f>
        <v/>
      </c>
      <c r="AN198" s="21" t="str">
        <f>IF($D198="","",SUMIF('TALLY BOX DUMP'!$1:$1,'ACH CALC'!AN$2,'TALLY BOX DUMP'!197:197))</f>
        <v/>
      </c>
      <c r="AO198" s="21" t="str">
        <f>IF($D198="","",SUMIF('TALLY BOX DUMP'!$1:$1,'ACH CALC'!AO$2,'TALLY BOX DUMP'!197:197))</f>
        <v/>
      </c>
      <c r="AP198" s="21" t="str">
        <f>IF($D198="","",SUMIF('TALLY BOX DUMP'!$1:$1,'ACH CALC'!AP$2,'TALLY BOX DUMP'!197:197))</f>
        <v/>
      </c>
      <c r="AQ198" s="21" t="str">
        <f>IF($D198="","",ROUND(SUMIF('TALLY KG DUMP'!$1:$1,'ACH CALC'!AQ$2,'TALLY KG DUMP'!197:197)/30,1))</f>
        <v/>
      </c>
      <c r="AR198" s="21" t="str">
        <f>IF($D198="","",SUMIF('TALLY BOX DUMP'!$1:$1,'ACH CALC'!AR$2,'TALLY BOX DUMP'!197:197))</f>
        <v/>
      </c>
      <c r="AS198" s="21" t="str">
        <f>IF($D198="","",SUMIF('TALLY BOX DUMP'!$1:$1,'ACH CALC'!AS$2,'TALLY BOX DUMP'!197:197))</f>
        <v/>
      </c>
      <c r="AT198" s="21" t="str">
        <f>IF($D198="","",SUMIF('TALLY BOX DUMP'!$1:$1,'ACH CALC'!AT$2,'TALLY BOX DUMP'!197:197))</f>
        <v/>
      </c>
      <c r="AU198" s="21" t="str">
        <f>IF($D198="","",SUMIF('TALLY BOX DUMP'!$1:$1,'ACH CALC'!AU$2,'TALLY BOX DUMP'!197:197))</f>
        <v/>
      </c>
      <c r="AV198" s="21" t="str">
        <f>IF($D198="","",SUMIF('TALLY BOX DUMP'!$1:$1,'ACH CALC'!AV$2,'TALLY BOX DUMP'!197:197))</f>
        <v/>
      </c>
      <c r="AW198" s="21" t="str">
        <f>IF($D198="","",SUMIF('TALLY BOX DUMP'!$1:$1,'ACH CALC'!AW$2,'TALLY BOX DUMP'!197:197))</f>
        <v/>
      </c>
      <c r="AX198" s="21" t="str">
        <f>IF($D198="","",SUMIF('TALLY BOX DUMP'!$1:$1,'ACH CALC'!AX$2,'TALLY BOX DUMP'!197:197))</f>
        <v/>
      </c>
      <c r="AY198" s="21" t="str">
        <f>IF($D198="","",SUMIF('TALLY BOX DUMP'!$1:$1,'ACH CALC'!AY$2,'TALLY BOX DUMP'!197:197))</f>
        <v/>
      </c>
      <c r="AZ198" s="21" t="str">
        <f>IF($D198="","",SUMIF('TALLY BOX DUMP'!$1:$1,'ACH CALC'!AZ$2,'TALLY BOX DUMP'!197:197))</f>
        <v/>
      </c>
      <c r="BA198" s="69">
        <f>(SUMIF('TALLY KG DUMP'!$2:$2,"Qty",'TALLY KG DUMP'!197:197)/1000)-(SUMIF('TALLY KG DUMP'!$1:$1,"GL",'TALLY KG DUMP'!197:197)/1000)</f>
        <v>0</v>
      </c>
      <c r="BB198" s="21" t="b">
        <f t="shared" si="11"/>
        <v>0</v>
      </c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</row>
    <row r="199" spans="2:75" x14ac:dyDescent="0.25">
      <c r="B199" s="21"/>
      <c r="C199" s="21"/>
      <c r="D199" s="21"/>
      <c r="E199" s="21" t="str">
        <f>IF($D199="","",(SUMIF('TALLY KG DUMP'!$2:$2,"Qty",'TALLY KG DUMP'!198:198)/1000)-(SUMIF('TALLY KG DUMP'!$1:$1,"GL",'TALLY KG DUMP'!198:198)/1000))</f>
        <v/>
      </c>
      <c r="F199" s="21" t="str">
        <f>IF($D199="","",(SUMIF('TALLY KG DUMP'!$1:$1,'ACH CALC'!F$2,'TALLY KG DUMP'!198:198)/1000))</f>
        <v/>
      </c>
      <c r="G199" s="21" t="str">
        <f>IF($D199="","",SUMIF('TALLY BOX DUMP'!$1:$1,'ACH CALC'!G$2,'TALLY BOX DUMP'!198:198)+Y199)</f>
        <v/>
      </c>
      <c r="H199" s="21" t="str">
        <f t="shared" si="9"/>
        <v/>
      </c>
      <c r="I199" s="21" t="str">
        <f>IF($D199="","",SUMIF('TALLY BOX DUMP'!$1:$1,'ACH CALC'!I$2,'TALLY BOX DUMP'!198:198)+AA199)</f>
        <v/>
      </c>
      <c r="J199" s="21" t="str">
        <f>IF($D199="","",SUMIF('TALLY BOX DUMP'!$1:$1,'ACH CALC'!J$2,'TALLY BOX DUMP'!198:198)+AB199)</f>
        <v/>
      </c>
      <c r="K199" s="21" t="str">
        <f>IF($D199="","",SUMIF('TALLY BOX DUMP'!$1:$1,'ACH CALC'!K$2,'TALLY BOX DUMP'!198:198)+AC199)</f>
        <v/>
      </c>
      <c r="L199" s="21" t="str">
        <f>IF($D199="","",SUMIF('TALLY BOX DUMP'!$1:$1,'ACH CALC'!L$2,'TALLY BOX DUMP'!198:198))</f>
        <v/>
      </c>
      <c r="M199" s="21" t="str">
        <f>IF($D199="","",SUMIF('TALLY BOX DUMP'!$1:$1,'ACH CALC'!M$2,'TALLY BOX DUMP'!198:198)+AD199)</f>
        <v/>
      </c>
      <c r="N199" s="21" t="str">
        <f>IF($D199="","",SUMIF('TALLY BOX DUMP'!$1:$1,'ACH CALC'!N$2,'TALLY BOX DUMP'!198:198))</f>
        <v/>
      </c>
      <c r="O199" s="21" t="str">
        <f>IF($D199="","",SUMIF('TALLY BOX DUMP'!$1:$1,'ACH CALC'!O$2,'TALLY BOX DUMP'!198:198))</f>
        <v/>
      </c>
      <c r="P199" s="21" t="str">
        <f>IF($D199="","",SUMIF('TALLY BOX DUMP'!$1:$1,'ACH CALC'!P$2,'TALLY BOX DUMP'!198:198))</f>
        <v/>
      </c>
      <c r="Q199" s="21" t="str">
        <f t="shared" si="10"/>
        <v/>
      </c>
      <c r="R199" s="21" t="str">
        <f>IF($D199="","",SUMIF('TALLY BOX DUMP'!$1:$1,'ACH CALC'!R$2,'TALLY BOX DUMP'!198:198))</f>
        <v/>
      </c>
      <c r="S199" s="21" t="str">
        <f>IF($D199="","",SUMIF('TALLY BOX DUMP'!$1:$1,'ACH CALC'!S$2,'TALLY BOX DUMP'!198:198))</f>
        <v/>
      </c>
      <c r="T199" s="21" t="str">
        <f>IF($D199="","",SUMIF('TALLY BOX DUMP'!$1:$1,'ACH CALC'!T$2,'TALLY BOX DUMP'!198:198))</f>
        <v/>
      </c>
      <c r="U199" s="21" t="str">
        <f>IF($D199="","",SUMIF('TALLY BOX DUMP'!$1:$1,'ACH CALC'!U$2,'TALLY BOX DUMP'!198:198))</f>
        <v/>
      </c>
      <c r="V199" s="21" t="str">
        <f>IF($D199="","",SUMIF('TALLY BOX DUMP'!$1:$1,'ACH CALC'!V$2,'TALLY BOX DUMP'!198:198))</f>
        <v/>
      </c>
      <c r="W199" s="21" t="str">
        <f>IF($D199="","",SUMIF('TALLY BOX DUMP'!$1:$1,'ACH CALC'!W$2,'TALLY BOX DUMP'!198:198))</f>
        <v/>
      </c>
      <c r="X199" s="21" t="str">
        <f>IF($D199="","",SUMIF('TALLY BOX DUMP'!$1:$1,'ACH CALC'!X$2,'TALLY BOX DUMP'!198:198))</f>
        <v/>
      </c>
      <c r="Y199" s="21" t="str">
        <f>IF($D199="","",SUMIF('TALLY BOX DUMP'!$1:$1,'ACH CALC'!Y$2,'TALLY BOX DUMP'!198:198))</f>
        <v/>
      </c>
      <c r="Z199" s="21" t="str">
        <f>IF($D199="","",SUMIF('TALLY BOX DUMP'!$1:$1,'ACH CALC'!Z$2,'TALLY BOX DUMP'!198:198)+AE199)</f>
        <v/>
      </c>
      <c r="AA199" s="21" t="str">
        <f>IF($D199="","",SUMIF('TALLY BOX DUMP'!$1:$1,'ACH CALC'!AA$2,'TALLY BOX DUMP'!198:198))</f>
        <v/>
      </c>
      <c r="AB199" s="21" t="str">
        <f>IF($D199="","",SUMIF('TALLY BOX DUMP'!$1:$1,'ACH CALC'!AB$2,'TALLY BOX DUMP'!198:198))</f>
        <v/>
      </c>
      <c r="AC199" s="21" t="str">
        <f>IF($D199="","",SUMIF('TALLY BOX DUMP'!$1:$1,'ACH CALC'!AC$2,'TALLY BOX DUMP'!198:198))</f>
        <v/>
      </c>
      <c r="AD199" s="21" t="str">
        <f>IF($D199="","",SUMIF('TALLY BOX DUMP'!$1:$1,'ACH CALC'!AD$2,'TALLY BOX DUMP'!198:198))</f>
        <v/>
      </c>
      <c r="AE199" s="21" t="str">
        <f>IF($D199="","",SUMIF('TALLY BOX DUMP'!$1:$1,'ACH CALC'!AE$2,'TALLY BOX DUMP'!198:198))</f>
        <v/>
      </c>
      <c r="AF199" s="21" t="str">
        <f>IF($D199="","",SUMIF('TALLY BOX DUMP'!$1:$1,'ACH CALC'!AF$2,'TALLY BOX DUMP'!198:198))</f>
        <v/>
      </c>
      <c r="AG199" s="21" t="str">
        <f>IF($D199="","",SUMIF('TALLY BOX DUMP'!$1:$1,'ACH CALC'!AG$2,'TALLY BOX DUMP'!198:198))</f>
        <v/>
      </c>
      <c r="AH199" s="21" t="str">
        <f>IF($D199="","",SUMIF('TALLY BOX DUMP'!$1:$1,'ACH CALC'!AH$2,'TALLY BOX DUMP'!198:198))</f>
        <v/>
      </c>
      <c r="AI199" s="21" t="str">
        <f>IF($D199="","",SUMIF('TALLY BOX DUMP'!$1:$1,'ACH CALC'!AI$2,'TALLY BOX DUMP'!198:198))</f>
        <v/>
      </c>
      <c r="AJ199" s="21" t="str">
        <f>IF($D199="","",SUMIF('TALLY BOX DUMP'!$1:$1,'ACH CALC'!AJ$2,'TALLY BOX DUMP'!198:198))</f>
        <v/>
      </c>
      <c r="AK199" s="21" t="str">
        <f>IF($D199="","",SUMIF('TALLY BOX DUMP'!$1:$1,'ACH CALC'!AK$2,'TALLY BOX DUMP'!198:198))</f>
        <v/>
      </c>
      <c r="AL199" s="21" t="str">
        <f>IF($D199="","",ROUND(SUMIF('TALLY KG DUMP'!$1:$1,'ACH CALC'!AL$2,'TALLY KG DUMP'!198:198)/30,1))</f>
        <v/>
      </c>
      <c r="AM199" s="21" t="str">
        <f>IF($D199="","",SUMIF('TALLY BOX DUMP'!$1:$1,'ACH CALC'!AM$2,'TALLY BOX DUMP'!198:198))</f>
        <v/>
      </c>
      <c r="AN199" s="21" t="str">
        <f>IF($D199="","",SUMIF('TALLY BOX DUMP'!$1:$1,'ACH CALC'!AN$2,'TALLY BOX DUMP'!198:198))</f>
        <v/>
      </c>
      <c r="AO199" s="21" t="str">
        <f>IF($D199="","",SUMIF('TALLY BOX DUMP'!$1:$1,'ACH CALC'!AO$2,'TALLY BOX DUMP'!198:198))</f>
        <v/>
      </c>
      <c r="AP199" s="21" t="str">
        <f>IF($D199="","",SUMIF('TALLY BOX DUMP'!$1:$1,'ACH CALC'!AP$2,'TALLY BOX DUMP'!198:198))</f>
        <v/>
      </c>
      <c r="AQ199" s="21" t="str">
        <f>IF($D199="","",ROUND(SUMIF('TALLY KG DUMP'!$1:$1,'ACH CALC'!AQ$2,'TALLY KG DUMP'!198:198)/30,1))</f>
        <v/>
      </c>
      <c r="AR199" s="21" t="str">
        <f>IF($D199="","",SUMIF('TALLY BOX DUMP'!$1:$1,'ACH CALC'!AR$2,'TALLY BOX DUMP'!198:198))</f>
        <v/>
      </c>
      <c r="AS199" s="21" t="str">
        <f>IF($D199="","",SUMIF('TALLY BOX DUMP'!$1:$1,'ACH CALC'!AS$2,'TALLY BOX DUMP'!198:198))</f>
        <v/>
      </c>
      <c r="AT199" s="21" t="str">
        <f>IF($D199="","",SUMIF('TALLY BOX DUMP'!$1:$1,'ACH CALC'!AT$2,'TALLY BOX DUMP'!198:198))</f>
        <v/>
      </c>
      <c r="AU199" s="21" t="str">
        <f>IF($D199="","",SUMIF('TALLY BOX DUMP'!$1:$1,'ACH CALC'!AU$2,'TALLY BOX DUMP'!198:198))</f>
        <v/>
      </c>
      <c r="AV199" s="21" t="str">
        <f>IF($D199="","",SUMIF('TALLY BOX DUMP'!$1:$1,'ACH CALC'!AV$2,'TALLY BOX DUMP'!198:198))</f>
        <v/>
      </c>
      <c r="AW199" s="21" t="str">
        <f>IF($D199="","",SUMIF('TALLY BOX DUMP'!$1:$1,'ACH CALC'!AW$2,'TALLY BOX DUMP'!198:198))</f>
        <v/>
      </c>
      <c r="AX199" s="21" t="str">
        <f>IF($D199="","",SUMIF('TALLY BOX DUMP'!$1:$1,'ACH CALC'!AX$2,'TALLY BOX DUMP'!198:198))</f>
        <v/>
      </c>
      <c r="AY199" s="21" t="str">
        <f>IF($D199="","",SUMIF('TALLY BOX DUMP'!$1:$1,'ACH CALC'!AY$2,'TALLY BOX DUMP'!198:198))</f>
        <v/>
      </c>
      <c r="AZ199" s="21" t="str">
        <f>IF($D199="","",SUMIF('TALLY BOX DUMP'!$1:$1,'ACH CALC'!AZ$2,'TALLY BOX DUMP'!198:198))</f>
        <v/>
      </c>
      <c r="BA199" s="69">
        <f>(SUMIF('TALLY KG DUMP'!$2:$2,"Qty",'TALLY KG DUMP'!198:198)/1000)-(SUMIF('TALLY KG DUMP'!$1:$1,"GL",'TALLY KG DUMP'!198:198)/1000)</f>
        <v>0</v>
      </c>
      <c r="BB199" s="21" t="b">
        <f t="shared" si="11"/>
        <v>0</v>
      </c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</row>
    <row r="200" spans="2:75" x14ac:dyDescent="0.25">
      <c r="B200" s="21"/>
      <c r="C200" s="21"/>
      <c r="D200" s="21"/>
      <c r="E200" s="21" t="str">
        <f>IF($D200="","",(SUMIF('TALLY KG DUMP'!$2:$2,"Qty",'TALLY KG DUMP'!199:199)/1000)-(SUMIF('TALLY KG DUMP'!$1:$1,"GL",'TALLY KG DUMP'!199:199)/1000))</f>
        <v/>
      </c>
      <c r="F200" s="21" t="str">
        <f>IF($D200="","",(SUMIF('TALLY KG DUMP'!$1:$1,'ACH CALC'!F$2,'TALLY KG DUMP'!199:199)/1000))</f>
        <v/>
      </c>
      <c r="G200" s="21" t="str">
        <f>IF($D200="","",SUMIF('TALLY BOX DUMP'!$1:$1,'ACH CALC'!G$2,'TALLY BOX DUMP'!199:199)+Y200)</f>
        <v/>
      </c>
      <c r="H200" s="21" t="str">
        <f t="shared" si="9"/>
        <v/>
      </c>
      <c r="I200" s="21" t="str">
        <f>IF($D200="","",SUMIF('TALLY BOX DUMP'!$1:$1,'ACH CALC'!I$2,'TALLY BOX DUMP'!199:199)+AA200)</f>
        <v/>
      </c>
      <c r="J200" s="21" t="str">
        <f>IF($D200="","",SUMIF('TALLY BOX DUMP'!$1:$1,'ACH CALC'!J$2,'TALLY BOX DUMP'!199:199)+AB200)</f>
        <v/>
      </c>
      <c r="K200" s="21" t="str">
        <f>IF($D200="","",SUMIF('TALLY BOX DUMP'!$1:$1,'ACH CALC'!K$2,'TALLY BOX DUMP'!199:199)+AC200)</f>
        <v/>
      </c>
      <c r="L200" s="21" t="str">
        <f>IF($D200="","",SUMIF('TALLY BOX DUMP'!$1:$1,'ACH CALC'!L$2,'TALLY BOX DUMP'!199:199))</f>
        <v/>
      </c>
      <c r="M200" s="21" t="str">
        <f>IF($D200="","",SUMIF('TALLY BOX DUMP'!$1:$1,'ACH CALC'!M$2,'TALLY BOX DUMP'!199:199)+AD200)</f>
        <v/>
      </c>
      <c r="N200" s="21" t="str">
        <f>IF($D200="","",SUMIF('TALLY BOX DUMP'!$1:$1,'ACH CALC'!N$2,'TALLY BOX DUMP'!199:199))</f>
        <v/>
      </c>
      <c r="O200" s="21" t="str">
        <f>IF($D200="","",SUMIF('TALLY BOX DUMP'!$1:$1,'ACH CALC'!O$2,'TALLY BOX DUMP'!199:199))</f>
        <v/>
      </c>
      <c r="P200" s="21" t="str">
        <f>IF($D200="","",SUMIF('TALLY BOX DUMP'!$1:$1,'ACH CALC'!P$2,'TALLY BOX DUMP'!199:199))</f>
        <v/>
      </c>
      <c r="Q200" s="21" t="str">
        <f t="shared" si="10"/>
        <v/>
      </c>
      <c r="R200" s="21" t="str">
        <f>IF($D200="","",SUMIF('TALLY BOX DUMP'!$1:$1,'ACH CALC'!R$2,'TALLY BOX DUMP'!199:199))</f>
        <v/>
      </c>
      <c r="S200" s="21" t="str">
        <f>IF($D200="","",SUMIF('TALLY BOX DUMP'!$1:$1,'ACH CALC'!S$2,'TALLY BOX DUMP'!199:199))</f>
        <v/>
      </c>
      <c r="T200" s="21" t="str">
        <f>IF($D200="","",SUMIF('TALLY BOX DUMP'!$1:$1,'ACH CALC'!T$2,'TALLY BOX DUMP'!199:199))</f>
        <v/>
      </c>
      <c r="U200" s="21" t="str">
        <f>IF($D200="","",SUMIF('TALLY BOX DUMP'!$1:$1,'ACH CALC'!U$2,'TALLY BOX DUMP'!199:199))</f>
        <v/>
      </c>
      <c r="V200" s="21" t="str">
        <f>IF($D200="","",SUMIF('TALLY BOX DUMP'!$1:$1,'ACH CALC'!V$2,'TALLY BOX DUMP'!199:199))</f>
        <v/>
      </c>
      <c r="W200" s="21" t="str">
        <f>IF($D200="","",SUMIF('TALLY BOX DUMP'!$1:$1,'ACH CALC'!W$2,'TALLY BOX DUMP'!199:199))</f>
        <v/>
      </c>
      <c r="X200" s="21" t="str">
        <f>IF($D200="","",SUMIF('TALLY BOX DUMP'!$1:$1,'ACH CALC'!X$2,'TALLY BOX DUMP'!199:199))</f>
        <v/>
      </c>
      <c r="Y200" s="21" t="str">
        <f>IF($D200="","",SUMIF('TALLY BOX DUMP'!$1:$1,'ACH CALC'!Y$2,'TALLY BOX DUMP'!199:199))</f>
        <v/>
      </c>
      <c r="Z200" s="21" t="str">
        <f>IF($D200="","",SUMIF('TALLY BOX DUMP'!$1:$1,'ACH CALC'!Z$2,'TALLY BOX DUMP'!199:199)+AE200)</f>
        <v/>
      </c>
      <c r="AA200" s="21" t="str">
        <f>IF($D200="","",SUMIF('TALLY BOX DUMP'!$1:$1,'ACH CALC'!AA$2,'TALLY BOX DUMP'!199:199))</f>
        <v/>
      </c>
      <c r="AB200" s="21" t="str">
        <f>IF($D200="","",SUMIF('TALLY BOX DUMP'!$1:$1,'ACH CALC'!AB$2,'TALLY BOX DUMP'!199:199))</f>
        <v/>
      </c>
      <c r="AC200" s="21" t="str">
        <f>IF($D200="","",SUMIF('TALLY BOX DUMP'!$1:$1,'ACH CALC'!AC$2,'TALLY BOX DUMP'!199:199))</f>
        <v/>
      </c>
      <c r="AD200" s="21" t="str">
        <f>IF($D200="","",SUMIF('TALLY BOX DUMP'!$1:$1,'ACH CALC'!AD$2,'TALLY BOX DUMP'!199:199))</f>
        <v/>
      </c>
      <c r="AE200" s="21" t="str">
        <f>IF($D200="","",SUMIF('TALLY BOX DUMP'!$1:$1,'ACH CALC'!AE$2,'TALLY BOX DUMP'!199:199))</f>
        <v/>
      </c>
      <c r="AF200" s="21" t="str">
        <f>IF($D200="","",SUMIF('TALLY BOX DUMP'!$1:$1,'ACH CALC'!AF$2,'TALLY BOX DUMP'!199:199))</f>
        <v/>
      </c>
      <c r="AG200" s="21" t="str">
        <f>IF($D200="","",SUMIF('TALLY BOX DUMP'!$1:$1,'ACH CALC'!AG$2,'TALLY BOX DUMP'!199:199))</f>
        <v/>
      </c>
      <c r="AH200" s="21" t="str">
        <f>IF($D200="","",SUMIF('TALLY BOX DUMP'!$1:$1,'ACH CALC'!AH$2,'TALLY BOX DUMP'!199:199))</f>
        <v/>
      </c>
      <c r="AI200" s="21" t="str">
        <f>IF($D200="","",SUMIF('TALLY BOX DUMP'!$1:$1,'ACH CALC'!AI$2,'TALLY BOX DUMP'!199:199))</f>
        <v/>
      </c>
      <c r="AJ200" s="21" t="str">
        <f>IF($D200="","",SUMIF('TALLY BOX DUMP'!$1:$1,'ACH CALC'!AJ$2,'TALLY BOX DUMP'!199:199))</f>
        <v/>
      </c>
      <c r="AK200" s="21" t="str">
        <f>IF($D200="","",SUMIF('TALLY BOX DUMP'!$1:$1,'ACH CALC'!AK$2,'TALLY BOX DUMP'!199:199))</f>
        <v/>
      </c>
      <c r="AL200" s="21" t="str">
        <f>IF($D200="","",ROUND(SUMIF('TALLY KG DUMP'!$1:$1,'ACH CALC'!AL$2,'TALLY KG DUMP'!199:199)/30,1))</f>
        <v/>
      </c>
      <c r="AM200" s="21" t="str">
        <f>IF($D200="","",SUMIF('TALLY BOX DUMP'!$1:$1,'ACH CALC'!AM$2,'TALLY BOX DUMP'!199:199))</f>
        <v/>
      </c>
      <c r="AN200" s="21" t="str">
        <f>IF($D200="","",SUMIF('TALLY BOX DUMP'!$1:$1,'ACH CALC'!AN$2,'TALLY BOX DUMP'!199:199))</f>
        <v/>
      </c>
      <c r="AO200" s="21" t="str">
        <f>IF($D200="","",SUMIF('TALLY BOX DUMP'!$1:$1,'ACH CALC'!AO$2,'TALLY BOX DUMP'!199:199))</f>
        <v/>
      </c>
      <c r="AP200" s="21" t="str">
        <f>IF($D200="","",SUMIF('TALLY BOX DUMP'!$1:$1,'ACH CALC'!AP$2,'TALLY BOX DUMP'!199:199))</f>
        <v/>
      </c>
      <c r="AQ200" s="21" t="str">
        <f>IF($D200="","",ROUND(SUMIF('TALLY KG DUMP'!$1:$1,'ACH CALC'!AQ$2,'TALLY KG DUMP'!199:199)/30,1))</f>
        <v/>
      </c>
      <c r="AR200" s="21" t="str">
        <f>IF($D200="","",SUMIF('TALLY BOX DUMP'!$1:$1,'ACH CALC'!AR$2,'TALLY BOX DUMP'!199:199))</f>
        <v/>
      </c>
      <c r="AS200" s="21" t="str">
        <f>IF($D200="","",SUMIF('TALLY BOX DUMP'!$1:$1,'ACH CALC'!AS$2,'TALLY BOX DUMP'!199:199))</f>
        <v/>
      </c>
      <c r="AT200" s="21" t="str">
        <f>IF($D200="","",SUMIF('TALLY BOX DUMP'!$1:$1,'ACH CALC'!AT$2,'TALLY BOX DUMP'!199:199))</f>
        <v/>
      </c>
      <c r="AU200" s="21" t="str">
        <f>IF($D200="","",SUMIF('TALLY BOX DUMP'!$1:$1,'ACH CALC'!AU$2,'TALLY BOX DUMP'!199:199))</f>
        <v/>
      </c>
      <c r="AV200" s="21" t="str">
        <f>IF($D200="","",SUMIF('TALLY BOX DUMP'!$1:$1,'ACH CALC'!AV$2,'TALLY BOX DUMP'!199:199))</f>
        <v/>
      </c>
      <c r="AW200" s="21" t="str">
        <f>IF($D200="","",SUMIF('TALLY BOX DUMP'!$1:$1,'ACH CALC'!AW$2,'TALLY BOX DUMP'!199:199))</f>
        <v/>
      </c>
      <c r="AX200" s="21" t="str">
        <f>IF($D200="","",SUMIF('TALLY BOX DUMP'!$1:$1,'ACH CALC'!AX$2,'TALLY BOX DUMP'!199:199))</f>
        <v/>
      </c>
      <c r="AY200" s="21" t="str">
        <f>IF($D200="","",SUMIF('TALLY BOX DUMP'!$1:$1,'ACH CALC'!AY$2,'TALLY BOX DUMP'!199:199))</f>
        <v/>
      </c>
      <c r="AZ200" s="21" t="str">
        <f>IF($D200="","",SUMIF('TALLY BOX DUMP'!$1:$1,'ACH CALC'!AZ$2,'TALLY BOX DUMP'!199:199))</f>
        <v/>
      </c>
      <c r="BA200" s="69">
        <f>(SUMIF('TALLY KG DUMP'!$2:$2,"Qty",'TALLY KG DUMP'!199:199)/1000)-(SUMIF('TALLY KG DUMP'!$1:$1,"GL",'TALLY KG DUMP'!199:199)/1000)</f>
        <v>0</v>
      </c>
      <c r="BB200" s="21" t="b">
        <f t="shared" si="11"/>
        <v>0</v>
      </c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</row>
    <row r="201" spans="2:75" x14ac:dyDescent="0.25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</row>
    <row r="202" spans="2:75" x14ac:dyDescent="0.25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</row>
    <row r="203" spans="2:75" x14ac:dyDescent="0.25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</row>
    <row r="204" spans="2:75" x14ac:dyDescent="0.25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</row>
    <row r="205" spans="2:75" x14ac:dyDescent="0.25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</row>
    <row r="206" spans="2:75" x14ac:dyDescent="0.25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</row>
    <row r="207" spans="2:75" x14ac:dyDescent="0.25"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</row>
    <row r="208" spans="2:75" x14ac:dyDescent="0.25"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</row>
    <row r="209" spans="2:75" x14ac:dyDescent="0.25"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</row>
    <row r="210" spans="2:75" x14ac:dyDescent="0.25"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</row>
    <row r="211" spans="2:75" x14ac:dyDescent="0.25"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</row>
    <row r="212" spans="2:75" x14ac:dyDescent="0.25"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</row>
    <row r="213" spans="2:75" x14ac:dyDescent="0.25"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</row>
    <row r="214" spans="2:75" x14ac:dyDescent="0.25"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</row>
    <row r="215" spans="2:75" x14ac:dyDescent="0.25"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</row>
    <row r="216" spans="2:75" x14ac:dyDescent="0.25"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</row>
    <row r="217" spans="2:75" x14ac:dyDescent="0.25"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</row>
    <row r="218" spans="2:75" x14ac:dyDescent="0.25"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</row>
    <row r="219" spans="2:75" x14ac:dyDescent="0.25"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</row>
    <row r="220" spans="2:75" x14ac:dyDescent="0.25"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</row>
    <row r="221" spans="2:75" x14ac:dyDescent="0.25"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</row>
    <row r="222" spans="2:75" x14ac:dyDescent="0.25"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</row>
    <row r="223" spans="2:75" x14ac:dyDescent="0.25"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</row>
    <row r="224" spans="2:75" x14ac:dyDescent="0.25"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</row>
    <row r="225" spans="2:75" x14ac:dyDescent="0.25"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</row>
    <row r="226" spans="2:75" x14ac:dyDescent="0.25"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</row>
    <row r="227" spans="2:75" x14ac:dyDescent="0.25"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</row>
    <row r="228" spans="2:75" x14ac:dyDescent="0.25"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</row>
    <row r="229" spans="2:75" x14ac:dyDescent="0.25"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</row>
    <row r="230" spans="2:75" x14ac:dyDescent="0.25"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</row>
    <row r="231" spans="2:75" x14ac:dyDescent="0.25"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</row>
    <row r="232" spans="2:75" x14ac:dyDescent="0.25"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</row>
    <row r="233" spans="2:75" x14ac:dyDescent="0.25"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</row>
    <row r="234" spans="2:75" x14ac:dyDescent="0.25"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</row>
    <row r="235" spans="2:75" x14ac:dyDescent="0.25"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</row>
    <row r="236" spans="2:75" x14ac:dyDescent="0.25"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</row>
    <row r="237" spans="2:75" x14ac:dyDescent="0.25"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</row>
    <row r="238" spans="2:75" x14ac:dyDescent="0.25"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</row>
    <row r="239" spans="2:75" x14ac:dyDescent="0.25"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</row>
    <row r="240" spans="2:75" x14ac:dyDescent="0.25"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</row>
    <row r="241" spans="2:75" x14ac:dyDescent="0.25"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</row>
    <row r="242" spans="2:75" x14ac:dyDescent="0.25"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</row>
    <row r="243" spans="2:75" x14ac:dyDescent="0.25"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</row>
    <row r="244" spans="2:75" x14ac:dyDescent="0.25"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</row>
    <row r="245" spans="2:75" x14ac:dyDescent="0.25"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</row>
    <row r="246" spans="2:75" x14ac:dyDescent="0.25"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</row>
    <row r="247" spans="2:75" x14ac:dyDescent="0.25"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</row>
    <row r="248" spans="2:75" x14ac:dyDescent="0.25"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</row>
    <row r="249" spans="2:75" x14ac:dyDescent="0.25"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</row>
    <row r="250" spans="2:75" x14ac:dyDescent="0.25"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</row>
    <row r="251" spans="2:75" x14ac:dyDescent="0.25"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</row>
    <row r="252" spans="2:75" x14ac:dyDescent="0.25"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</row>
    <row r="253" spans="2:75" x14ac:dyDescent="0.25"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</row>
    <row r="254" spans="2:75" x14ac:dyDescent="0.25"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</row>
    <row r="255" spans="2:75" x14ac:dyDescent="0.25"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</row>
    <row r="256" spans="2:75" x14ac:dyDescent="0.25"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</row>
    <row r="257" spans="2:75" x14ac:dyDescent="0.25"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</row>
    <row r="258" spans="2:75" x14ac:dyDescent="0.25"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</row>
    <row r="259" spans="2:75" x14ac:dyDescent="0.25"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</row>
    <row r="260" spans="2:75" x14ac:dyDescent="0.25"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</row>
    <row r="261" spans="2:75" x14ac:dyDescent="0.25"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</row>
    <row r="262" spans="2:75" x14ac:dyDescent="0.25"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</row>
    <row r="263" spans="2:75" x14ac:dyDescent="0.25"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</row>
    <row r="264" spans="2:75" x14ac:dyDescent="0.25"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</row>
    <row r="265" spans="2:75" x14ac:dyDescent="0.25"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</row>
    <row r="266" spans="2:75" x14ac:dyDescent="0.25"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</row>
    <row r="267" spans="2:75" x14ac:dyDescent="0.25"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</row>
    <row r="268" spans="2:75" x14ac:dyDescent="0.25"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</row>
    <row r="269" spans="2:75" x14ac:dyDescent="0.25"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</row>
    <row r="270" spans="2:75" x14ac:dyDescent="0.25"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</row>
    <row r="271" spans="2:75" x14ac:dyDescent="0.25"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</row>
    <row r="272" spans="2:75" x14ac:dyDescent="0.25"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</row>
    <row r="273" spans="2:75" x14ac:dyDescent="0.25"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</row>
    <row r="274" spans="2:75" x14ac:dyDescent="0.25"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</row>
    <row r="275" spans="2:75" x14ac:dyDescent="0.25"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</row>
    <row r="276" spans="2:75" x14ac:dyDescent="0.25"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</row>
    <row r="277" spans="2:75" x14ac:dyDescent="0.25"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</row>
    <row r="278" spans="2:75" x14ac:dyDescent="0.25"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</row>
    <row r="279" spans="2:75" x14ac:dyDescent="0.25"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</row>
    <row r="280" spans="2:75" x14ac:dyDescent="0.25"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</row>
    <row r="281" spans="2:75" x14ac:dyDescent="0.25"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</row>
    <row r="282" spans="2:75" x14ac:dyDescent="0.25"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</row>
    <row r="283" spans="2:75" x14ac:dyDescent="0.25"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</row>
    <row r="284" spans="2:75" x14ac:dyDescent="0.25"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</row>
    <row r="285" spans="2:75" x14ac:dyDescent="0.25"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</row>
    <row r="286" spans="2:75" x14ac:dyDescent="0.25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</row>
    <row r="287" spans="2:75" x14ac:dyDescent="0.25"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</row>
    <row r="288" spans="2:75" x14ac:dyDescent="0.25"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</row>
    <row r="289" spans="2:75" x14ac:dyDescent="0.25"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</row>
    <row r="290" spans="2:75" x14ac:dyDescent="0.25"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</row>
    <row r="291" spans="2:75" x14ac:dyDescent="0.25"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</row>
    <row r="292" spans="2:75" x14ac:dyDescent="0.25"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</row>
    <row r="293" spans="2:75" x14ac:dyDescent="0.25"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</row>
    <row r="294" spans="2:75" x14ac:dyDescent="0.25"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</row>
    <row r="295" spans="2:75" x14ac:dyDescent="0.25"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</row>
    <row r="296" spans="2:75" x14ac:dyDescent="0.25"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</row>
    <row r="297" spans="2:75" x14ac:dyDescent="0.25"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</row>
    <row r="298" spans="2:75" x14ac:dyDescent="0.25"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</row>
    <row r="299" spans="2:75" x14ac:dyDescent="0.25"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</row>
    <row r="300" spans="2:75" x14ac:dyDescent="0.25"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</row>
    <row r="301" spans="2:75" x14ac:dyDescent="0.25"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</row>
    <row r="302" spans="2:75" x14ac:dyDescent="0.25"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</row>
    <row r="303" spans="2:75" x14ac:dyDescent="0.25"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</row>
    <row r="304" spans="2:75" x14ac:dyDescent="0.25"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</row>
    <row r="305" spans="2:75" x14ac:dyDescent="0.25"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</row>
    <row r="306" spans="2:75" x14ac:dyDescent="0.25"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</row>
    <row r="307" spans="2:75" x14ac:dyDescent="0.25"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</row>
    <row r="308" spans="2:75" x14ac:dyDescent="0.25"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</row>
    <row r="309" spans="2:75" x14ac:dyDescent="0.25"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</row>
    <row r="310" spans="2:75" x14ac:dyDescent="0.25"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</row>
    <row r="311" spans="2:75" x14ac:dyDescent="0.25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</row>
    <row r="312" spans="2:75" x14ac:dyDescent="0.25"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</row>
    <row r="313" spans="2:75" x14ac:dyDescent="0.25"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</row>
    <row r="314" spans="2:75" x14ac:dyDescent="0.25"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</row>
    <row r="315" spans="2:75" x14ac:dyDescent="0.25"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</row>
    <row r="316" spans="2:75" x14ac:dyDescent="0.25"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</row>
    <row r="317" spans="2:75" x14ac:dyDescent="0.25"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</row>
    <row r="318" spans="2:75" x14ac:dyDescent="0.25"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</row>
    <row r="319" spans="2:75" x14ac:dyDescent="0.25"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</row>
    <row r="320" spans="2:75" x14ac:dyDescent="0.25"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</row>
    <row r="321" spans="2:75" x14ac:dyDescent="0.25"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</row>
    <row r="322" spans="2:75" x14ac:dyDescent="0.25"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</row>
    <row r="323" spans="2:75" x14ac:dyDescent="0.25"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</row>
    <row r="324" spans="2:75" x14ac:dyDescent="0.25"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</row>
    <row r="325" spans="2:75" x14ac:dyDescent="0.25"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</row>
    <row r="326" spans="2:75" x14ac:dyDescent="0.25"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</row>
    <row r="327" spans="2:75" x14ac:dyDescent="0.25"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</row>
    <row r="328" spans="2:75" x14ac:dyDescent="0.25"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</row>
    <row r="329" spans="2:75" x14ac:dyDescent="0.25"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</row>
    <row r="330" spans="2:75" x14ac:dyDescent="0.25"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</row>
    <row r="331" spans="2:75" x14ac:dyDescent="0.25"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</row>
    <row r="332" spans="2:75" x14ac:dyDescent="0.25"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</row>
    <row r="333" spans="2:75" x14ac:dyDescent="0.25"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</row>
    <row r="334" spans="2:75" x14ac:dyDescent="0.25"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</row>
    <row r="335" spans="2:75" x14ac:dyDescent="0.25"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</row>
    <row r="336" spans="2:75" x14ac:dyDescent="0.25"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</row>
    <row r="337" spans="2:75" x14ac:dyDescent="0.25"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</row>
    <row r="338" spans="2:75" x14ac:dyDescent="0.25"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</row>
    <row r="339" spans="2:75" x14ac:dyDescent="0.25"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</row>
    <row r="340" spans="2:75" x14ac:dyDescent="0.25"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</row>
    <row r="341" spans="2:75" x14ac:dyDescent="0.25"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</row>
    <row r="342" spans="2:75" x14ac:dyDescent="0.25"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</row>
    <row r="343" spans="2:75" x14ac:dyDescent="0.25"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</row>
    <row r="344" spans="2:75" x14ac:dyDescent="0.25"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</row>
    <row r="345" spans="2:75" x14ac:dyDescent="0.25"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</row>
    <row r="346" spans="2:75" x14ac:dyDescent="0.25"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</row>
    <row r="347" spans="2:75" x14ac:dyDescent="0.25"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</row>
    <row r="348" spans="2:75" x14ac:dyDescent="0.25"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</row>
    <row r="349" spans="2:75" x14ac:dyDescent="0.25"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</row>
    <row r="350" spans="2:75" x14ac:dyDescent="0.25"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</row>
    <row r="351" spans="2:75" x14ac:dyDescent="0.25"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</row>
    <row r="352" spans="2:75" x14ac:dyDescent="0.25"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</row>
    <row r="353" spans="2:75" x14ac:dyDescent="0.25"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</row>
    <row r="354" spans="2:75" x14ac:dyDescent="0.25"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</row>
    <row r="355" spans="2:75" x14ac:dyDescent="0.25"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</row>
    <row r="356" spans="2:75" x14ac:dyDescent="0.25"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</row>
    <row r="357" spans="2:75" x14ac:dyDescent="0.25"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</row>
    <row r="358" spans="2:75" x14ac:dyDescent="0.25"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</row>
    <row r="359" spans="2:75" x14ac:dyDescent="0.25"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</row>
    <row r="360" spans="2:75" x14ac:dyDescent="0.25"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</row>
    <row r="361" spans="2:75" x14ac:dyDescent="0.25"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</row>
    <row r="362" spans="2:75" x14ac:dyDescent="0.25"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</row>
    <row r="363" spans="2:75" x14ac:dyDescent="0.25"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</row>
    <row r="364" spans="2:75" x14ac:dyDescent="0.25"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</row>
    <row r="365" spans="2:75" x14ac:dyDescent="0.25"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</row>
    <row r="366" spans="2:75" x14ac:dyDescent="0.25"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</row>
    <row r="367" spans="2:75" x14ac:dyDescent="0.25"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</row>
    <row r="368" spans="2:75" x14ac:dyDescent="0.25"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</row>
    <row r="369" spans="2:75" x14ac:dyDescent="0.25"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</row>
    <row r="370" spans="2:75" x14ac:dyDescent="0.25"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</row>
    <row r="371" spans="2:75" x14ac:dyDescent="0.25"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</row>
    <row r="372" spans="2:75" x14ac:dyDescent="0.25"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</row>
    <row r="373" spans="2:75" x14ac:dyDescent="0.25"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</row>
    <row r="374" spans="2:75" x14ac:dyDescent="0.25"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</row>
    <row r="375" spans="2:75" x14ac:dyDescent="0.25"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</row>
    <row r="376" spans="2:75" x14ac:dyDescent="0.25"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</row>
    <row r="377" spans="2:75" x14ac:dyDescent="0.25"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</row>
    <row r="378" spans="2:75" x14ac:dyDescent="0.25"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</row>
    <row r="379" spans="2:75" x14ac:dyDescent="0.25"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</row>
    <row r="380" spans="2:75" x14ac:dyDescent="0.25"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</row>
    <row r="381" spans="2:75" x14ac:dyDescent="0.25"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</row>
    <row r="382" spans="2:75" x14ac:dyDescent="0.25"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</row>
    <row r="383" spans="2:75" x14ac:dyDescent="0.25"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</row>
    <row r="384" spans="2:75" x14ac:dyDescent="0.25"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</row>
    <row r="385" spans="2:75" x14ac:dyDescent="0.25"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</row>
    <row r="386" spans="2:75" x14ac:dyDescent="0.25"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</row>
    <row r="387" spans="2:75" x14ac:dyDescent="0.25"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</row>
    <row r="388" spans="2:75" x14ac:dyDescent="0.25"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</row>
    <row r="389" spans="2:75" x14ac:dyDescent="0.25"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</row>
    <row r="390" spans="2:75" x14ac:dyDescent="0.25"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</row>
    <row r="391" spans="2:75" x14ac:dyDescent="0.25"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</row>
    <row r="392" spans="2:75" x14ac:dyDescent="0.25"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</row>
    <row r="393" spans="2:75" x14ac:dyDescent="0.25"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</row>
    <row r="394" spans="2:75" x14ac:dyDescent="0.25"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</row>
    <row r="395" spans="2:75" x14ac:dyDescent="0.25"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</row>
    <row r="396" spans="2:75" x14ac:dyDescent="0.25"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</row>
    <row r="397" spans="2:75" x14ac:dyDescent="0.25"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</row>
    <row r="398" spans="2:75" x14ac:dyDescent="0.25"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</row>
    <row r="399" spans="2:75" x14ac:dyDescent="0.25"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</row>
    <row r="400" spans="2:75" x14ac:dyDescent="0.25"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</row>
    <row r="401" spans="2:75" x14ac:dyDescent="0.25"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</row>
    <row r="402" spans="2:75" x14ac:dyDescent="0.25"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</row>
    <row r="403" spans="2:75" x14ac:dyDescent="0.25"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</row>
    <row r="404" spans="2:75" x14ac:dyDescent="0.25"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</row>
    <row r="405" spans="2:75" x14ac:dyDescent="0.25"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</row>
    <row r="406" spans="2:75" x14ac:dyDescent="0.25"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</row>
    <row r="407" spans="2:75" x14ac:dyDescent="0.25"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</row>
    <row r="408" spans="2:75" x14ac:dyDescent="0.25"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</row>
    <row r="409" spans="2:75" x14ac:dyDescent="0.25"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</row>
    <row r="410" spans="2:75" x14ac:dyDescent="0.25"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</row>
    <row r="411" spans="2:75" x14ac:dyDescent="0.25"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</row>
    <row r="412" spans="2:75" x14ac:dyDescent="0.25"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</row>
    <row r="413" spans="2:75" x14ac:dyDescent="0.25"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</row>
    <row r="414" spans="2:75" x14ac:dyDescent="0.25"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</row>
    <row r="415" spans="2:75" x14ac:dyDescent="0.25"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</row>
    <row r="416" spans="2:75" x14ac:dyDescent="0.25"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</row>
    <row r="417" spans="2:75" x14ac:dyDescent="0.25"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</row>
    <row r="418" spans="2:75" x14ac:dyDescent="0.25"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</row>
    <row r="419" spans="2:75" x14ac:dyDescent="0.25"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</row>
    <row r="420" spans="2:75" x14ac:dyDescent="0.25"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</row>
    <row r="421" spans="2:75" x14ac:dyDescent="0.25"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</row>
    <row r="422" spans="2:75" x14ac:dyDescent="0.25"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</row>
    <row r="423" spans="2:75" x14ac:dyDescent="0.25"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</row>
    <row r="424" spans="2:75" x14ac:dyDescent="0.25"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</row>
    <row r="425" spans="2:75" x14ac:dyDescent="0.25"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</row>
    <row r="426" spans="2:75" x14ac:dyDescent="0.25"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</row>
    <row r="427" spans="2:75" x14ac:dyDescent="0.25"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</row>
    <row r="428" spans="2:75" x14ac:dyDescent="0.25"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</row>
    <row r="429" spans="2:75" x14ac:dyDescent="0.25"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</row>
    <row r="430" spans="2:75" x14ac:dyDescent="0.25"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</row>
    <row r="431" spans="2:75" x14ac:dyDescent="0.25"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</row>
    <row r="432" spans="2:75" x14ac:dyDescent="0.25"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</row>
    <row r="433" spans="2:75" x14ac:dyDescent="0.25"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</row>
    <row r="434" spans="2:75" x14ac:dyDescent="0.25"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</row>
    <row r="435" spans="2:75" x14ac:dyDescent="0.25"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</row>
    <row r="436" spans="2:75" x14ac:dyDescent="0.25"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</row>
    <row r="437" spans="2:75" x14ac:dyDescent="0.25"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</row>
    <row r="438" spans="2:75" x14ac:dyDescent="0.25"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</row>
    <row r="439" spans="2:75" x14ac:dyDescent="0.25"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</row>
    <row r="440" spans="2:75" x14ac:dyDescent="0.25"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</row>
    <row r="441" spans="2:75" x14ac:dyDescent="0.25"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</row>
    <row r="442" spans="2:75" x14ac:dyDescent="0.25"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</row>
    <row r="443" spans="2:75" x14ac:dyDescent="0.25"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</row>
    <row r="444" spans="2:75" x14ac:dyDescent="0.25"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</row>
    <row r="445" spans="2:75" x14ac:dyDescent="0.25"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</row>
    <row r="446" spans="2:75" x14ac:dyDescent="0.25"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</row>
    <row r="447" spans="2:75" x14ac:dyDescent="0.25"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</row>
    <row r="448" spans="2:75" x14ac:dyDescent="0.25"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</row>
    <row r="449" spans="2:75" x14ac:dyDescent="0.25"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</row>
    <row r="450" spans="2:75" x14ac:dyDescent="0.25"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</row>
    <row r="451" spans="2:75" x14ac:dyDescent="0.25"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</row>
    <row r="452" spans="2:75" x14ac:dyDescent="0.25"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</row>
    <row r="453" spans="2:75" x14ac:dyDescent="0.25"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</row>
    <row r="454" spans="2:75" x14ac:dyDescent="0.25"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</row>
    <row r="455" spans="2:75" x14ac:dyDescent="0.25"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</row>
    <row r="456" spans="2:75" x14ac:dyDescent="0.25"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</row>
    <row r="457" spans="2:75" x14ac:dyDescent="0.25"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</row>
    <row r="458" spans="2:75" x14ac:dyDescent="0.25"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</row>
    <row r="459" spans="2:75" x14ac:dyDescent="0.25"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</row>
    <row r="460" spans="2:75" x14ac:dyDescent="0.25"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</row>
    <row r="461" spans="2:75" x14ac:dyDescent="0.25"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</row>
    <row r="462" spans="2:75" x14ac:dyDescent="0.25"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</row>
    <row r="463" spans="2:75" x14ac:dyDescent="0.25"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</row>
    <row r="464" spans="2:75" x14ac:dyDescent="0.25"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</row>
    <row r="465" spans="2:75" x14ac:dyDescent="0.25"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</row>
    <row r="466" spans="2:75" x14ac:dyDescent="0.25"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</row>
    <row r="467" spans="2:75" x14ac:dyDescent="0.25"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</row>
    <row r="468" spans="2:75" x14ac:dyDescent="0.25"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</row>
    <row r="469" spans="2:75" x14ac:dyDescent="0.25"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</row>
    <row r="470" spans="2:75" x14ac:dyDescent="0.25"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</row>
    <row r="471" spans="2:75" x14ac:dyDescent="0.25"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</row>
    <row r="472" spans="2:75" x14ac:dyDescent="0.25"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</row>
    <row r="473" spans="2:75" x14ac:dyDescent="0.25"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</row>
    <row r="474" spans="2:75" x14ac:dyDescent="0.25"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</row>
    <row r="475" spans="2:75" x14ac:dyDescent="0.25"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</row>
    <row r="476" spans="2:75" x14ac:dyDescent="0.25"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</row>
    <row r="477" spans="2:75" x14ac:dyDescent="0.25"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</row>
    <row r="478" spans="2:75" x14ac:dyDescent="0.25"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</row>
    <row r="479" spans="2:75" x14ac:dyDescent="0.25"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</row>
    <row r="480" spans="2:75" x14ac:dyDescent="0.25"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</row>
    <row r="481" spans="2:75" x14ac:dyDescent="0.25"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</row>
    <row r="482" spans="2:75" x14ac:dyDescent="0.25"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</row>
    <row r="483" spans="2:75" x14ac:dyDescent="0.25"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</row>
    <row r="484" spans="2:75" x14ac:dyDescent="0.25"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</row>
    <row r="485" spans="2:75" x14ac:dyDescent="0.25"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</row>
    <row r="486" spans="2:75" x14ac:dyDescent="0.25"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</row>
    <row r="487" spans="2:75" x14ac:dyDescent="0.25"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</row>
    <row r="488" spans="2:75" x14ac:dyDescent="0.25"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</row>
    <row r="489" spans="2:75" x14ac:dyDescent="0.25"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</row>
    <row r="490" spans="2:75" x14ac:dyDescent="0.25"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</row>
    <row r="491" spans="2:75" x14ac:dyDescent="0.25"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</row>
    <row r="492" spans="2:75" x14ac:dyDescent="0.25"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</row>
    <row r="493" spans="2:75" x14ac:dyDescent="0.25"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</row>
    <row r="494" spans="2:75" x14ac:dyDescent="0.25"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</row>
    <row r="495" spans="2:75" x14ac:dyDescent="0.25"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</row>
    <row r="496" spans="2:75" x14ac:dyDescent="0.25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</row>
    <row r="497" spans="2:75" x14ac:dyDescent="0.25"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</row>
    <row r="498" spans="2:75" x14ac:dyDescent="0.25"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</row>
    <row r="499" spans="2:75" x14ac:dyDescent="0.25"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</row>
    <row r="500" spans="2:75" x14ac:dyDescent="0.25"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</row>
    <row r="501" spans="2:75" x14ac:dyDescent="0.25"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</row>
    <row r="502" spans="2:75" x14ac:dyDescent="0.25"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</row>
    <row r="503" spans="2:75" x14ac:dyDescent="0.25"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  <c r="BC503" s="20"/>
      <c r="BD503" s="20"/>
      <c r="BE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</row>
    <row r="504" spans="2:75" x14ac:dyDescent="0.25"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B504" s="20"/>
      <c r="BC504" s="20"/>
      <c r="BD504" s="20"/>
      <c r="BE504" s="20"/>
      <c r="BF504" s="20"/>
      <c r="BG504" s="20"/>
      <c r="BH504" s="20"/>
      <c r="BI504" s="20"/>
      <c r="BJ504" s="20"/>
      <c r="BK504" s="20"/>
      <c r="BL504" s="20"/>
      <c r="BM504" s="20"/>
      <c r="BN504" s="20"/>
      <c r="BO504" s="20"/>
      <c r="BP504" s="20"/>
      <c r="BQ504" s="20"/>
      <c r="BR504" s="20"/>
      <c r="BS504" s="20"/>
      <c r="BT504" s="20"/>
      <c r="BU504" s="20"/>
      <c r="BV504" s="20"/>
      <c r="BW504" s="20"/>
    </row>
    <row r="505" spans="2:75" x14ac:dyDescent="0.25"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B505" s="20"/>
      <c r="BC505" s="20"/>
      <c r="BD505" s="20"/>
      <c r="BE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</row>
    <row r="506" spans="2:75" x14ac:dyDescent="0.25"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B506" s="20"/>
      <c r="BC506" s="20"/>
      <c r="BD506" s="20"/>
      <c r="BE506" s="20"/>
      <c r="BF506" s="20"/>
      <c r="BG506" s="20"/>
      <c r="BH506" s="20"/>
      <c r="BI506" s="20"/>
      <c r="BJ506" s="20"/>
      <c r="BK506" s="20"/>
      <c r="BL506" s="20"/>
      <c r="BM506" s="20"/>
      <c r="BN506" s="20"/>
      <c r="BO506" s="20"/>
      <c r="BP506" s="20"/>
      <c r="BQ506" s="20"/>
      <c r="BR506" s="20"/>
      <c r="BS506" s="20"/>
      <c r="BT506" s="20"/>
      <c r="BU506" s="20"/>
      <c r="BV506" s="20"/>
      <c r="BW506" s="20"/>
    </row>
    <row r="507" spans="2:75" x14ac:dyDescent="0.25"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  <c r="BC507" s="20"/>
      <c r="BD507" s="20"/>
      <c r="BE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</row>
    <row r="508" spans="2:75" x14ac:dyDescent="0.25"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B508" s="20"/>
      <c r="BC508" s="20"/>
      <c r="BD508" s="20"/>
      <c r="BE508" s="20"/>
      <c r="BF508" s="20"/>
      <c r="BG508" s="20"/>
      <c r="BH508" s="20"/>
      <c r="BI508" s="20"/>
      <c r="BJ508" s="20"/>
      <c r="BK508" s="20"/>
      <c r="BL508" s="20"/>
      <c r="BM508" s="20"/>
      <c r="BN508" s="20"/>
      <c r="BO508" s="20"/>
      <c r="BP508" s="20"/>
      <c r="BQ508" s="20"/>
      <c r="BR508" s="20"/>
      <c r="BS508" s="20"/>
      <c r="BT508" s="20"/>
      <c r="BU508" s="20"/>
      <c r="BV508" s="20"/>
      <c r="BW508" s="20"/>
    </row>
    <row r="509" spans="2:75" x14ac:dyDescent="0.25"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B509" s="20"/>
      <c r="BC509" s="20"/>
      <c r="BD509" s="20"/>
      <c r="BE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</row>
    <row r="510" spans="2:75" x14ac:dyDescent="0.25"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B510" s="20"/>
      <c r="BC510" s="20"/>
      <c r="BD510" s="20"/>
      <c r="BE510" s="20"/>
      <c r="BF510" s="20"/>
      <c r="BG510" s="20"/>
      <c r="BH510" s="20"/>
      <c r="BI510" s="20"/>
      <c r="BJ510" s="20"/>
      <c r="BK510" s="20"/>
      <c r="BL510" s="20"/>
      <c r="BM510" s="20"/>
      <c r="BN510" s="20"/>
      <c r="BO510" s="20"/>
      <c r="BP510" s="20"/>
      <c r="BQ510" s="20"/>
      <c r="BR510" s="20"/>
      <c r="BS510" s="20"/>
      <c r="BT510" s="20"/>
      <c r="BU510" s="20"/>
      <c r="BV510" s="20"/>
      <c r="BW510" s="20"/>
    </row>
    <row r="511" spans="2:75" x14ac:dyDescent="0.25"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  <c r="BC511" s="20"/>
      <c r="BD511" s="20"/>
      <c r="BE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</row>
    <row r="512" spans="2:75" x14ac:dyDescent="0.25"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B512" s="20"/>
      <c r="BC512" s="20"/>
      <c r="BD512" s="20"/>
      <c r="BE512" s="20"/>
      <c r="BF512" s="20"/>
      <c r="BG512" s="20"/>
      <c r="BH512" s="20"/>
      <c r="BI512" s="20"/>
      <c r="BJ512" s="20"/>
      <c r="BK512" s="20"/>
      <c r="BL512" s="20"/>
      <c r="BM512" s="20"/>
      <c r="BN512" s="20"/>
      <c r="BO512" s="20"/>
      <c r="BP512" s="20"/>
      <c r="BQ512" s="20"/>
      <c r="BR512" s="20"/>
      <c r="BS512" s="20"/>
      <c r="BT512" s="20"/>
      <c r="BU512" s="20"/>
      <c r="BV512" s="20"/>
      <c r="BW512" s="20"/>
    </row>
    <row r="513" spans="2:75" x14ac:dyDescent="0.25"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0"/>
      <c r="BC513" s="20"/>
      <c r="BD513" s="20"/>
      <c r="BE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</row>
  </sheetData>
  <mergeCells count="4">
    <mergeCell ref="E1:F1"/>
    <mergeCell ref="I1:N1"/>
    <mergeCell ref="R1:X1"/>
    <mergeCell ref="Y1:AD1"/>
  </mergeCells>
  <conditionalFormatting sqref="B4:B513 C4:D502">
    <cfRule type="expression" dxfId="6" priority="6">
      <formula>D4="TOTAL"</formula>
    </cfRule>
  </conditionalFormatting>
  <conditionalFormatting sqref="B4:D502">
    <cfRule type="containsText" dxfId="5" priority="7" operator="containsText" text="*">
      <formula>NOT(ISERROR(SEARCH("*",B4)))</formula>
    </cfRule>
  </conditionalFormatting>
  <conditionalFormatting sqref="B503:D513">
    <cfRule type="containsText" dxfId="4" priority="3" operator="containsText" text="*">
      <formula>NOT(ISERROR(SEARCH("*",B503)))</formula>
    </cfRule>
  </conditionalFormatting>
  <conditionalFormatting sqref="C503:C513">
    <cfRule type="expression" dxfId="3" priority="5">
      <formula>D503="TOTAL"</formula>
    </cfRule>
  </conditionalFormatting>
  <conditionalFormatting sqref="D503:D513 B2:D3">
    <cfRule type="containsText" dxfId="2" priority="4" operator="containsText" text="TOTAL">
      <formula>NOT(ISERROR(SEARCH("TOTAL",B2)))</formula>
    </cfRule>
  </conditionalFormatting>
  <conditionalFormatting sqref="E4:BW502">
    <cfRule type="cellIs" dxfId="1" priority="1" operator="between">
      <formula>0.1</formula>
      <formula>500000</formula>
    </cfRule>
    <cfRule type="containsText" dxfId="0" priority="2" operator="containsText" text="*">
      <formula>NOT(ISERROR(SEARCH("*",E4)))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OVERALL ACH</vt:lpstr>
      <vt:lpstr>TALLY BOX DUMP</vt:lpstr>
      <vt:lpstr>TALLY KG DUMP</vt:lpstr>
      <vt:lpstr>CODE</vt:lpstr>
      <vt:lpstr>ACH 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Sunraja Oil</dc:creator>
  <cp:lastModifiedBy>sampath kumar</cp:lastModifiedBy>
  <dcterms:created xsi:type="dcterms:W3CDTF">2015-06-05T18:17:20Z</dcterms:created>
  <dcterms:modified xsi:type="dcterms:W3CDTF">2025-05-28T11:02:09Z</dcterms:modified>
</cp:coreProperties>
</file>